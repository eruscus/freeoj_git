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shipping_manufacturing!$G$4:$G$12</definedName>
    <definedName name="AddColumn2">shipping_manufacturing!$E$16:$E$20</definedName>
    <definedName name="AddColumn3">shipping_manufacturing!$F$24:$F$30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E29" i="7" l="1"/>
  <c r="D29" i="7"/>
  <c r="C29" i="7"/>
  <c r="D19" i="7"/>
  <c r="F11" i="7"/>
  <c r="F10" i="7"/>
  <c r="F9" i="7"/>
  <c r="F8" i="7"/>
  <c r="F7" i="7"/>
  <c r="F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<sst xmlns="http://schemas.openxmlformats.org/spreadsheetml/2006/main" count="499" uniqueCount="167">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</sst>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tabSelected="1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84" t="s">
        <v>165</v>
      </c>
      <c r="E4" s="85"/>
      <c r="F4" s="86"/>
    </row>
    <row r="5" spans="2:6" x14ac:dyDescent="0.2">
      <c r="B5" s="6"/>
      <c r="C5" s="7" t="s">
        <v>111</v>
      </c>
      <c r="D5" s="87">
        <v>2016</v>
      </c>
      <c r="E5" s="88"/>
      <c r="F5" s="89"/>
    </row>
    <row r="6" spans="2:6" x14ac:dyDescent="0.2">
      <c r="B6" s="3"/>
      <c r="C6" s="3"/>
      <c r="D6" s="3"/>
      <c r="E6" s="3"/>
      <c r="F6" s="3"/>
    </row>
  </sheetData>
  <sheetProtection algorithmName="SHA-512" hashValue="Nsdmjhk/OwR6VrYMWsQDiY144/4P6sZfqaCiH4Sj+76hiR1NyiPMbvPtYNG9E+qx3LV51Fa36qwU3Ho10XF1rQ==" saltValue="8R/0Csq278MK99EC6nI8v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90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90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90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90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90"/>
      <c r="D10" s="15">
        <v>0</v>
      </c>
      <c r="E10" s="15" t="s">
        <v>166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90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90"/>
      <c r="D12" s="15">
        <v>3748</v>
      </c>
      <c r="E12" s="15" t="s">
        <v>166</v>
      </c>
      <c r="F12" s="15" t="s">
        <v>6</v>
      </c>
      <c r="G12" s="15">
        <f t="shared" si="0"/>
        <v>3748</v>
      </c>
      <c r="H12" s="17" t="str">
        <f t="shared" si="1"/>
        <v/>
      </c>
    </row>
    <row r="13" spans="2:8" x14ac:dyDescent="0.2">
      <c r="B13" s="14" t="s">
        <v>13</v>
      </c>
      <c r="C13" s="90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90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90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1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91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91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91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91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91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91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91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91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91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91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90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90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90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90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90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90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90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90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90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90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90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90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90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90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90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90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90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90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90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90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90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90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90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90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90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91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91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91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91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91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91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91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91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91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91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91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91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91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91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91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91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91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91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91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91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91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91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91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91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91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91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91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91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91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91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91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91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91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91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91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91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91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91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91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91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91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91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91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91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91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91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Z/M4v/Uz9pNfddQHNStqoK7QIic37LrHW7vzMQobteuAWzv9fPL+H0VMAtyYqn9j7X0d3sUeNfbJpBkFnwpALA==" saltValue="nJbxkELJg3axA4hpoZ/Zx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2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2:14" x14ac:dyDescent="0.2">
      <c r="B7" s="36" t="s">
        <v>105</v>
      </c>
      <c r="C7" s="94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8" spans="2:14" x14ac:dyDescent="0.2">
      <c r="B8" s="36" t="s">
        <v>106</v>
      </c>
      <c r="C8" s="94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</row>
    <row r="9" spans="2:14" x14ac:dyDescent="0.2">
      <c r="B9" s="36" t="s">
        <v>107</v>
      </c>
      <c r="C9" s="94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</row>
    <row r="10" spans="2:14" x14ac:dyDescent="0.2">
      <c r="B10" s="36" t="s">
        <v>108</v>
      </c>
      <c r="C10" s="94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</row>
    <row r="11" spans="2:14" x14ac:dyDescent="0.2">
      <c r="B11" s="37" t="s">
        <v>109</v>
      </c>
      <c r="C11" s="94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6"/>
      <c r="D17" s="96"/>
      <c r="E17" s="96"/>
      <c r="F17" s="96"/>
      <c r="G17" s="96"/>
      <c r="H17" s="96"/>
      <c r="I17" s="29" t="s">
        <v>110</v>
      </c>
    </row>
    <row r="18" spans="2:33" x14ac:dyDescent="0.2">
      <c r="B18" s="36" t="s">
        <v>105</v>
      </c>
      <c r="C18" s="97"/>
      <c r="D18" s="97"/>
      <c r="E18" s="97"/>
      <c r="F18" s="97"/>
      <c r="G18" s="97"/>
      <c r="H18" s="97"/>
      <c r="I18" s="29" t="s">
        <v>110</v>
      </c>
    </row>
    <row r="19" spans="2:33" x14ac:dyDescent="0.2">
      <c r="B19" s="36" t="s">
        <v>106</v>
      </c>
      <c r="C19" s="97"/>
      <c r="D19" s="97"/>
      <c r="E19" s="97"/>
      <c r="F19" s="97"/>
      <c r="G19" s="97"/>
      <c r="H19" s="97"/>
      <c r="I19" s="29" t="s">
        <v>110</v>
      </c>
    </row>
    <row r="20" spans="2:33" x14ac:dyDescent="0.2">
      <c r="B20" s="36" t="s">
        <v>107</v>
      </c>
      <c r="C20" s="97"/>
      <c r="D20" s="97"/>
      <c r="E20" s="97"/>
      <c r="F20" s="97"/>
      <c r="G20" s="97"/>
      <c r="H20" s="97"/>
    </row>
    <row r="21" spans="2:33" x14ac:dyDescent="0.2">
      <c r="B21" s="36" t="s">
        <v>108</v>
      </c>
      <c r="C21" s="97"/>
      <c r="D21" s="97"/>
      <c r="E21" s="97"/>
      <c r="F21" s="97"/>
      <c r="G21" s="97"/>
      <c r="H21" s="97"/>
    </row>
    <row r="22" spans="2:33" x14ac:dyDescent="0.2">
      <c r="B22" s="37" t="s">
        <v>109</v>
      </c>
      <c r="C22" s="97"/>
      <c r="D22" s="97"/>
      <c r="E22" s="97"/>
      <c r="F22" s="97"/>
      <c r="G22" s="97"/>
      <c r="H22" s="97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2016</v>
      </c>
      <c r="D30" s="44">
        <v>0.71552384896278387</v>
      </c>
      <c r="E30" s="35">
        <v>400000</v>
      </c>
      <c r="F30" s="47">
        <v>0.73352858177408109</v>
      </c>
      <c r="G30" s="46">
        <v>400000</v>
      </c>
      <c r="H30" s="47">
        <v>0.80596927418180841</v>
      </c>
      <c r="I30" s="46"/>
      <c r="J30" s="47">
        <v>0.7928423142468306</v>
      </c>
      <c r="K30" s="46"/>
      <c r="L30" s="47">
        <v>0.71750585281449886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2017</v>
      </c>
      <c r="D31" s="76"/>
      <c r="E31" s="75"/>
      <c r="F31" s="69">
        <v>0.68859153167605403</v>
      </c>
      <c r="G31" s="79">
        <v>400000</v>
      </c>
      <c r="H31" s="61">
        <v>0.76378054147734653</v>
      </c>
      <c r="I31" s="62">
        <v>400000</v>
      </c>
      <c r="J31" s="61">
        <v>0.76345216251861092</v>
      </c>
      <c r="K31" s="62"/>
      <c r="L31" s="61">
        <v>0.71336651790549455</v>
      </c>
      <c r="M31" s="62"/>
      <c r="N31" s="63">
        <v>0.79663835323969678</v>
      </c>
      <c r="O31" s="95"/>
      <c r="P31" s="63">
        <f>O31+M31+K31+I31+G31</f>
        <v>800000</v>
      </c>
    </row>
    <row r="32" spans="2:33" x14ac:dyDescent="0.2">
      <c r="B32" s="36"/>
      <c r="C32" s="47">
        <f>basic_info!$D$5+2</f>
        <v>2018</v>
      </c>
      <c r="D32" s="76"/>
      <c r="E32" s="75"/>
      <c r="F32" s="75"/>
      <c r="G32" s="75"/>
      <c r="H32" s="69">
        <v>0.71205421746969233</v>
      </c>
      <c r="I32" s="79">
        <v>400000</v>
      </c>
      <c r="J32" s="61">
        <v>0.71138841414852361</v>
      </c>
      <c r="K32" s="62">
        <v>400000</v>
      </c>
      <c r="L32" s="61">
        <v>0.70385164023753377</v>
      </c>
      <c r="M32" s="62"/>
      <c r="N32" s="63">
        <v>0.72983412091618527</v>
      </c>
      <c r="O32" s="95"/>
      <c r="P32" s="63">
        <f>O32+M32+K32+I32</f>
        <v>800000</v>
      </c>
    </row>
    <row r="33" spans="2:17" x14ac:dyDescent="0.2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0.64779822950959209</v>
      </c>
      <c r="K33" s="79">
        <v>400000</v>
      </c>
      <c r="L33" s="61">
        <v>0.70324457323394596</v>
      </c>
      <c r="M33" s="62">
        <v>400000</v>
      </c>
      <c r="N33" s="63">
        <v>0.69096273574501099</v>
      </c>
      <c r="O33" s="95"/>
      <c r="P33" s="63">
        <f>O33+M33+K33</f>
        <v>800000</v>
      </c>
    </row>
    <row r="34" spans="2:17" x14ac:dyDescent="0.2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0.68883503439426419</v>
      </c>
      <c r="M34" s="79">
        <v>400000</v>
      </c>
      <c r="N34" s="63">
        <v>0.63561347387518119</v>
      </c>
      <c r="O34" s="95"/>
      <c r="P34" s="63">
        <f>O34+M34</f>
        <v>400000</v>
      </c>
    </row>
    <row r="35" spans="2:17" x14ac:dyDescent="0.2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0.63826440133452411</v>
      </c>
      <c r="O35" s="95"/>
      <c r="P35" s="65">
        <f>O35</f>
        <v>0</v>
      </c>
    </row>
    <row r="36" spans="2:17" x14ac:dyDescent="0.2">
      <c r="B36" s="41" t="s">
        <v>113</v>
      </c>
      <c r="C36" s="36">
        <f>basic_info!$D$5</f>
        <v>2016</v>
      </c>
      <c r="D36" s="44">
        <v>1.023757758513093</v>
      </c>
      <c r="E36" s="35">
        <v>300000</v>
      </c>
      <c r="F36" s="73">
        <v>1.057380701748182</v>
      </c>
      <c r="G36" s="74">
        <v>300000</v>
      </c>
      <c r="H36" s="73">
        <v>1.0326319130993309</v>
      </c>
      <c r="I36" s="74">
        <v>300000</v>
      </c>
      <c r="J36" s="73">
        <v>0.98761410383669901</v>
      </c>
      <c r="K36" s="74">
        <v>300000</v>
      </c>
      <c r="L36" s="66">
        <v>1.220323087273776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2017</v>
      </c>
      <c r="D37" s="76"/>
      <c r="E37" s="75"/>
      <c r="F37" s="69">
        <v>0.96417330466210838</v>
      </c>
      <c r="G37" s="79">
        <v>300000</v>
      </c>
      <c r="H37" s="61">
        <v>1.0068793309599473</v>
      </c>
      <c r="I37" s="62">
        <v>300000</v>
      </c>
      <c r="J37" s="61">
        <v>0.92888160054944402</v>
      </c>
      <c r="K37" s="62">
        <v>300000</v>
      </c>
      <c r="L37" s="61">
        <v>1.1965873199126678</v>
      </c>
      <c r="M37" s="62">
        <v>300000</v>
      </c>
      <c r="N37" s="61">
        <v>1.0462858466047913</v>
      </c>
      <c r="O37" s="95"/>
      <c r="P37" s="63">
        <f>O37+M37+K37+I37+G37</f>
        <v>1200000</v>
      </c>
    </row>
    <row r="38" spans="2:17" x14ac:dyDescent="0.2">
      <c r="B38" s="36"/>
      <c r="C38" s="47">
        <f>basic_info!$D$5+2</f>
        <v>2018</v>
      </c>
      <c r="D38" s="76"/>
      <c r="E38" s="75"/>
      <c r="F38" s="75"/>
      <c r="G38" s="75"/>
      <c r="H38" s="69">
        <v>0.98247019918262957</v>
      </c>
      <c r="I38" s="79">
        <v>300000</v>
      </c>
      <c r="J38" s="61">
        <v>0.89159402523119113</v>
      </c>
      <c r="K38" s="62">
        <v>300000</v>
      </c>
      <c r="L38" s="61">
        <v>1.0960048363700774</v>
      </c>
      <c r="M38" s="62">
        <v>300000</v>
      </c>
      <c r="N38" s="61">
        <v>1.02224518434864</v>
      </c>
      <c r="O38" s="95"/>
      <c r="P38" s="63">
        <f>O38+M38+K38+I38</f>
        <v>900000</v>
      </c>
    </row>
    <row r="39" spans="2:17" x14ac:dyDescent="0.2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0.88621167258918288</v>
      </c>
      <c r="K39" s="79">
        <v>300000</v>
      </c>
      <c r="L39" s="61">
        <v>1.056931589689706</v>
      </c>
      <c r="M39" s="62">
        <v>300000</v>
      </c>
      <c r="N39" s="61">
        <v>0.93281131383436111</v>
      </c>
      <c r="O39" s="95"/>
      <c r="P39" s="63">
        <f>O39+M39+K39</f>
        <v>600000</v>
      </c>
    </row>
    <row r="40" spans="2:17" x14ac:dyDescent="0.2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1.0197174708992243</v>
      </c>
      <c r="M40" s="79">
        <v>300000</v>
      </c>
      <c r="N40" s="61">
        <v>0.86130552542183847</v>
      </c>
      <c r="O40" s="95"/>
      <c r="P40" s="63">
        <f>O40+M40</f>
        <v>300000</v>
      </c>
    </row>
    <row r="41" spans="2:17" x14ac:dyDescent="0.2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0.87688502262532708</v>
      </c>
      <c r="O41" s="95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33">
        <f>SUM(C47:N47)</f>
        <v>0</v>
      </c>
    </row>
    <row r="48" spans="2:17" x14ac:dyDescent="0.2">
      <c r="B48" s="37" t="s">
        <v>113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33">
        <f>SUM(C48:N48)</f>
        <v>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2Y1YAo13SFIffe5NdQ8a+GVA26gWI7xdqfb9QOuR6nK65FpTHeWEpPu9/H1SIPkVJrNEjOTa7x5twtOkINXB9g==" saltValue="IxXYCq1pLtHNam85/FUZ9w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/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5" x14ac:dyDescent="0.2">
      <c r="B2" s="28" t="s">
        <v>114</v>
      </c>
    </row>
    <row r="3" spans="2:15" x14ac:dyDescent="0.2">
      <c r="B3" s="30" t="s">
        <v>144</v>
      </c>
    </row>
    <row r="4" spans="2:15" x14ac:dyDescent="0.2">
      <c r="B4" s="48"/>
      <c r="C4" s="48"/>
      <c r="D4" s="48"/>
      <c r="E4" s="48"/>
      <c r="F4" s="48"/>
      <c r="G4" s="49"/>
      <c r="H4" s="49"/>
      <c r="I4" s="49"/>
      <c r="J4" s="49"/>
      <c r="K4" s="49"/>
      <c r="L4" s="49"/>
    </row>
    <row r="5" spans="2:15" x14ac:dyDescent="0.2">
      <c r="B5" s="45" t="s">
        <v>115</v>
      </c>
      <c r="C5" s="45" t="s">
        <v>12</v>
      </c>
      <c r="D5" s="45" t="s">
        <v>22</v>
      </c>
      <c r="E5" s="45" t="s">
        <v>59</v>
      </c>
      <c r="F5" s="45" t="s">
        <v>150</v>
      </c>
      <c r="G5" s="50"/>
      <c r="H5" s="50"/>
      <c r="I5" s="50"/>
      <c r="J5" s="50"/>
      <c r="K5" s="50"/>
      <c r="L5" s="50"/>
      <c r="M5" s="50"/>
      <c r="N5" s="50"/>
      <c r="O5" s="50"/>
    </row>
    <row r="6" spans="2:15" x14ac:dyDescent="0.2">
      <c r="B6" s="45" t="s">
        <v>163</v>
      </c>
      <c r="C6" s="99"/>
      <c r="D6" s="99"/>
      <c r="E6" s="99"/>
      <c r="F6" s="103">
        <f>SUM($C$6:$E$6)</f>
        <v>0</v>
      </c>
      <c r="G6" s="49"/>
      <c r="H6" s="49"/>
      <c r="I6" s="49"/>
      <c r="J6" s="49"/>
      <c r="K6" s="49"/>
      <c r="L6" s="49"/>
      <c r="M6" s="50"/>
      <c r="N6" s="50"/>
      <c r="O6" s="50"/>
    </row>
    <row r="7" spans="2:15" x14ac:dyDescent="0.2">
      <c r="B7" s="45" t="s">
        <v>105</v>
      </c>
      <c r="C7" s="99"/>
      <c r="D7" s="99"/>
      <c r="E7" s="99"/>
      <c r="F7" s="103">
        <f>SUM($C$7:$E$7)</f>
        <v>0</v>
      </c>
      <c r="G7" s="49"/>
      <c r="H7" s="49"/>
      <c r="I7" s="49"/>
      <c r="J7" s="49"/>
      <c r="K7" s="49"/>
      <c r="L7" s="49"/>
      <c r="M7" s="50"/>
      <c r="N7" s="50"/>
      <c r="O7" s="50"/>
    </row>
    <row r="8" spans="2:15" x14ac:dyDescent="0.2">
      <c r="B8" s="45" t="s">
        <v>106</v>
      </c>
      <c r="C8" s="99"/>
      <c r="D8" s="99"/>
      <c r="E8" s="99"/>
      <c r="F8" s="103">
        <f>SUM($C$8:$E$8)</f>
        <v>0</v>
      </c>
      <c r="G8" s="49"/>
      <c r="H8" s="49"/>
      <c r="I8" s="49"/>
      <c r="J8" s="49"/>
      <c r="K8" s="49"/>
      <c r="L8" s="49"/>
      <c r="M8" s="50"/>
      <c r="N8" s="50"/>
      <c r="O8" s="50"/>
    </row>
    <row r="9" spans="2:15" x14ac:dyDescent="0.2">
      <c r="B9" s="45" t="s">
        <v>107</v>
      </c>
      <c r="C9" s="99"/>
      <c r="D9" s="99"/>
      <c r="E9" s="99"/>
      <c r="F9" s="103">
        <f>SUM($C$9:$E$9)</f>
        <v>0</v>
      </c>
      <c r="G9" s="49"/>
      <c r="H9" s="49"/>
      <c r="I9" s="49"/>
      <c r="J9" s="49"/>
      <c r="K9" s="49"/>
      <c r="L9" s="49"/>
      <c r="M9" s="50"/>
      <c r="N9" s="50"/>
      <c r="O9" s="50"/>
    </row>
    <row r="10" spans="2:15" x14ac:dyDescent="0.2">
      <c r="B10" s="45" t="s">
        <v>108</v>
      </c>
      <c r="C10" s="99"/>
      <c r="D10" s="99"/>
      <c r="E10" s="99"/>
      <c r="F10" s="103">
        <f>SUM($C$10:$E$10)</f>
        <v>0</v>
      </c>
      <c r="G10" s="49"/>
      <c r="H10" s="49"/>
      <c r="I10" s="49"/>
      <c r="J10" s="49"/>
      <c r="K10" s="49"/>
      <c r="L10" s="49"/>
      <c r="M10" s="50"/>
      <c r="N10" s="50"/>
      <c r="O10" s="50"/>
    </row>
    <row r="11" spans="2:15" x14ac:dyDescent="0.2">
      <c r="B11" s="45" t="s">
        <v>109</v>
      </c>
      <c r="C11" s="100"/>
      <c r="D11" s="100"/>
      <c r="E11" s="100"/>
      <c r="F11" s="102">
        <f>SUM($C$11:$E$11)</f>
        <v>0</v>
      </c>
      <c r="G11" s="49"/>
      <c r="H11" s="49"/>
      <c r="I11" s="49"/>
      <c r="J11" s="49"/>
      <c r="K11" s="49"/>
      <c r="L11" s="49"/>
      <c r="M11" s="50"/>
      <c r="N11" s="50"/>
      <c r="O11" s="50"/>
    </row>
    <row r="12" spans="2:15" x14ac:dyDescent="0.2">
      <c r="B12" s="51"/>
      <c r="C12" s="51"/>
      <c r="D12" s="51"/>
      <c r="E12" s="51"/>
      <c r="F12" s="51"/>
      <c r="G12" s="49"/>
      <c r="H12" s="49"/>
      <c r="I12" s="49"/>
      <c r="J12" s="49"/>
      <c r="K12" s="49"/>
      <c r="L12" s="49"/>
      <c r="M12" s="50"/>
      <c r="N12" s="50"/>
      <c r="O12" s="50"/>
    </row>
    <row r="13" spans="2:15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5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5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5" x14ac:dyDescent="0.2">
      <c r="B16" s="31"/>
      <c r="C16" s="31"/>
      <c r="D16" s="31"/>
      <c r="E16" s="50"/>
      <c r="F16" s="50"/>
      <c r="G16" s="50"/>
      <c r="H16" s="50"/>
      <c r="K16" s="50"/>
      <c r="L16" s="50"/>
      <c r="M16" s="50"/>
    </row>
    <row r="17" spans="2:14" x14ac:dyDescent="0.2">
      <c r="B17" s="45" t="s">
        <v>118</v>
      </c>
      <c r="C17" s="45" t="s">
        <v>12</v>
      </c>
      <c r="D17" s="45"/>
      <c r="E17" s="50"/>
      <c r="F17" s="50"/>
      <c r="G17" s="50"/>
      <c r="H17" s="50"/>
      <c r="K17" s="50"/>
      <c r="L17" s="50"/>
      <c r="M17" s="50"/>
    </row>
    <row r="18" spans="2:14" x14ac:dyDescent="0.2">
      <c r="B18" s="45" t="s">
        <v>119</v>
      </c>
      <c r="C18" s="45" t="s">
        <v>133</v>
      </c>
      <c r="D18" s="45" t="s">
        <v>123</v>
      </c>
      <c r="E18" s="50"/>
      <c r="F18" s="50"/>
      <c r="G18" s="50"/>
      <c r="H18" s="50"/>
      <c r="I18" s="50"/>
      <c r="K18" s="50"/>
      <c r="L18" s="50"/>
      <c r="M18" s="50"/>
    </row>
    <row r="19" spans="2:14" x14ac:dyDescent="0.2">
      <c r="B19" s="45" t="s">
        <v>120</v>
      </c>
      <c r="C19" s="100"/>
      <c r="D19" s="33">
        <f>100-$C$19</f>
        <v>100</v>
      </c>
      <c r="K19" s="50"/>
      <c r="L19" s="50"/>
      <c r="M19" s="50"/>
    </row>
    <row r="20" spans="2:14" x14ac:dyDescent="0.2">
      <c r="B20" s="54"/>
      <c r="C20" s="54"/>
      <c r="D20" s="54"/>
      <c r="E20" s="50"/>
      <c r="F20" s="50"/>
      <c r="G20" s="50"/>
      <c r="H20" s="50"/>
      <c r="K20" s="50"/>
      <c r="L20" s="50"/>
      <c r="M20" s="50"/>
    </row>
    <row r="21" spans="2:14" x14ac:dyDescent="0.2">
      <c r="I21" s="50"/>
      <c r="J21" s="50"/>
      <c r="K21" s="50"/>
    </row>
    <row r="22" spans="2:14" x14ac:dyDescent="0.2">
      <c r="B22" s="52" t="s">
        <v>114</v>
      </c>
      <c r="I22" s="50"/>
      <c r="J22" s="50"/>
      <c r="K22" s="50"/>
    </row>
    <row r="23" spans="2:14" x14ac:dyDescent="0.2">
      <c r="B23" s="55" t="s">
        <v>145</v>
      </c>
      <c r="I23" s="50"/>
      <c r="J23" s="50"/>
      <c r="K23" s="50"/>
    </row>
    <row r="24" spans="2:14" x14ac:dyDescent="0.2">
      <c r="B24" s="31"/>
      <c r="C24" s="31"/>
      <c r="D24" s="31"/>
      <c r="E24" s="31"/>
      <c r="L24" s="50"/>
      <c r="M24" s="50"/>
      <c r="N24" s="50"/>
    </row>
    <row r="25" spans="2:14" x14ac:dyDescent="0.2">
      <c r="B25" s="45" t="s">
        <v>121</v>
      </c>
      <c r="C25" s="45" t="s">
        <v>122</v>
      </c>
      <c r="D25" s="45" t="s">
        <v>12</v>
      </c>
      <c r="E25" s="45"/>
      <c r="L25" s="50"/>
      <c r="M25" s="50"/>
      <c r="N25" s="50"/>
    </row>
    <row r="26" spans="2:14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L26" s="50"/>
      <c r="M26" s="50"/>
      <c r="N26" s="50"/>
    </row>
    <row r="27" spans="2:14" x14ac:dyDescent="0.2">
      <c r="B27" s="45" t="s">
        <v>22</v>
      </c>
      <c r="C27" s="99"/>
      <c r="D27" s="99"/>
      <c r="E27" s="101"/>
      <c r="L27" s="50"/>
      <c r="M27" s="50"/>
      <c r="N27" s="50"/>
    </row>
    <row r="28" spans="2:14" x14ac:dyDescent="0.2">
      <c r="B28" s="45" t="s">
        <v>59</v>
      </c>
      <c r="C28" s="99"/>
      <c r="D28" s="99"/>
      <c r="E28" s="101"/>
      <c r="L28" s="50"/>
      <c r="M28" s="50"/>
      <c r="N28" s="50"/>
    </row>
    <row r="29" spans="2:14" x14ac:dyDescent="0.2">
      <c r="B29" s="45" t="s">
        <v>150</v>
      </c>
      <c r="C29" s="104">
        <f>SUM($C$27:$C$28)</f>
        <v>0</v>
      </c>
      <c r="D29" s="104">
        <f>SUM($D$27:$D$28)</f>
        <v>0</v>
      </c>
      <c r="E29" s="102">
        <f>SUM($E$27:$E$28)</f>
        <v>0</v>
      </c>
      <c r="L29" s="50"/>
      <c r="M29" s="50"/>
      <c r="N29" s="50"/>
    </row>
    <row r="30" spans="2:14" x14ac:dyDescent="0.2">
      <c r="B30" s="54"/>
      <c r="C30" s="54"/>
      <c r="D30" s="54"/>
      <c r="E30" s="54"/>
      <c r="L30" s="50"/>
      <c r="M30" s="50"/>
      <c r="N30" s="50"/>
    </row>
    <row r="31" spans="2:14" x14ac:dyDescent="0.2">
      <c r="I31" s="50"/>
      <c r="J31" s="50"/>
      <c r="K31" s="50"/>
    </row>
    <row r="32" spans="2:14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9"/>
      <c r="D36" s="99"/>
      <c r="E36" s="99"/>
      <c r="F36" s="99"/>
      <c r="G36" s="99"/>
      <c r="H36" s="99"/>
      <c r="I36" s="99"/>
      <c r="J36" s="99"/>
      <c r="K36" s="99"/>
      <c r="L36" s="99"/>
      <c r="M36" s="99"/>
      <c r="N36" s="101"/>
    </row>
    <row r="37" spans="2:14" x14ac:dyDescent="0.2">
      <c r="B37" s="45" t="s">
        <v>59</v>
      </c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95"/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/q9LkSXWVeBbDb+bV0oyCDjqasxZ0K9sEfjRBLesB3h7E2HruebToK29I1lOMIKe4Jqb++lIrq3S2IVFGUl5qw==" saltValue="XPlGsF8gZApPTRDRKgBkzw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E11 C19 C27:E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</row>
    <row r="7" spans="2:15" x14ac:dyDescent="0.2">
      <c r="C7" s="36" t="s">
        <v>127</v>
      </c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</row>
    <row r="8" spans="2:15" x14ac:dyDescent="0.2">
      <c r="C8" s="36" t="s">
        <v>128</v>
      </c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</row>
    <row r="9" spans="2:15" x14ac:dyDescent="0.2">
      <c r="C9" s="36" t="s">
        <v>129</v>
      </c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</row>
    <row r="10" spans="2:15" x14ac:dyDescent="0.2">
      <c r="C10" s="36" t="s">
        <v>130</v>
      </c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2:15" x14ac:dyDescent="0.2">
      <c r="C11" s="36" t="s">
        <v>131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</row>
    <row r="12" spans="2:15" x14ac:dyDescent="0.2">
      <c r="C12" s="37" t="s">
        <v>132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2:15" x14ac:dyDescent="0.2">
      <c r="C16" s="36" t="s">
        <v>127</v>
      </c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</row>
    <row r="17" spans="2:15" x14ac:dyDescent="0.2">
      <c r="C17" s="36" t="s">
        <v>128</v>
      </c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</row>
    <row r="18" spans="2:15" x14ac:dyDescent="0.2">
      <c r="C18" s="36" t="s">
        <v>129</v>
      </c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</row>
    <row r="19" spans="2:15" x14ac:dyDescent="0.2">
      <c r="C19" s="36" t="s">
        <v>130</v>
      </c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</row>
    <row r="20" spans="2:15" x14ac:dyDescent="0.2">
      <c r="C20" s="36" t="s">
        <v>131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</row>
    <row r="21" spans="2:15" x14ac:dyDescent="0.2">
      <c r="C21" s="37" t="s">
        <v>132</v>
      </c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</row>
    <row r="25" spans="2:15" x14ac:dyDescent="0.2">
      <c r="C25" s="36" t="s">
        <v>127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</row>
    <row r="26" spans="2:15" x14ac:dyDescent="0.2">
      <c r="C26" s="36" t="s">
        <v>128</v>
      </c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</row>
    <row r="27" spans="2:15" x14ac:dyDescent="0.2">
      <c r="C27" s="36" t="s">
        <v>129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</row>
    <row r="28" spans="2:15" x14ac:dyDescent="0.2">
      <c r="C28" s="36" t="s">
        <v>130</v>
      </c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</row>
    <row r="29" spans="2:15" x14ac:dyDescent="0.2">
      <c r="C29" s="36" t="s">
        <v>131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</row>
    <row r="30" spans="2:15" x14ac:dyDescent="0.2">
      <c r="C30" s="37" t="s">
        <v>132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</row>
    <row r="34" spans="3:15" x14ac:dyDescent="0.2">
      <c r="C34" s="36" t="s">
        <v>127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</row>
    <row r="35" spans="3:15" x14ac:dyDescent="0.2">
      <c r="C35" s="36" t="s">
        <v>128</v>
      </c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</row>
    <row r="36" spans="3:15" x14ac:dyDescent="0.2">
      <c r="C36" s="36" t="s">
        <v>129</v>
      </c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</row>
    <row r="37" spans="3:15" x14ac:dyDescent="0.2">
      <c r="C37" s="36" t="s">
        <v>130</v>
      </c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</row>
    <row r="38" spans="3:15" x14ac:dyDescent="0.2">
      <c r="C38" s="36" t="s">
        <v>131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</row>
    <row r="39" spans="3:15" x14ac:dyDescent="0.2">
      <c r="C39" s="37" t="s">
        <v>132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eAusTzrHHnnCg2o8DWGfJRO+uGVQPLB0HYQFL/L8MEWxqjyHs5R6iaXRmpbN0bxicfLHriDwji7qfJYvEFkC5g==" saltValue="aAnf2d9eFhBUaZ6xl5lB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2016-10-10T15:41:56Z</dcterms:modified>
</cp:coreProperties>
</file>