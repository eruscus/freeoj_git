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<sst xmlns="http://schemas.openxmlformats.org/spreadsheetml/2006/main" count="513" uniqueCount="167">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</sst>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2007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moM0XAbzE2fakqYRQXr2VUVixrv1+TpDZ1kOh0hD9/RP7IKw7FpJtCB+CeGH1Ub15rW2QPDWoo/5F9eENNj3qg==" saltValue="rksdiPMPv6OqK0si2hgQvQ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abSelected="1" topLeftCell="A7" workbookViewId="0">
      <selection activeCell="I23" sqref="I23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-786</v>
      </c>
      <c r="D6" s="15">
        <v>1257</v>
      </c>
      <c r="E6" s="15" t="s">
        <v>166</v>
      </c>
      <c r="F6" s="15" t="s">
        <v>6</v>
      </c>
      <c r="G6" s="15">
        <f t="shared" ref="G6:G15" si="0">$D6+$C6</f>
        <v>471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-600</v>
      </c>
      <c r="D10" s="15">
        <v>913</v>
      </c>
      <c r="E10" s="15" t="s">
        <v>166</v>
      </c>
      <c r="F10" s="15" t="s">
        <v>6</v>
      </c>
      <c r="G10" s="15">
        <f t="shared" si="0"/>
        <v>313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4981</v>
      </c>
      <c r="E12" s="15" t="s">
        <v>166</v>
      </c>
      <c r="F12" s="15" t="s">
        <v>6</v>
      </c>
      <c r="G12" s="15">
        <f t="shared" si="0"/>
        <v>4689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-11</v>
      </c>
      <c r="D21" s="15">
        <v>22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-15</v>
      </c>
      <c r="D25" s="15">
        <v>29</v>
      </c>
      <c r="E25" s="15"/>
      <c r="F25" s="15" t="s">
        <v>6</v>
      </c>
      <c r="G25" s="15">
        <f t="shared" si="2"/>
        <v>14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-43</v>
      </c>
      <c r="D27" s="15">
        <v>112</v>
      </c>
      <c r="E27" s="15"/>
      <c r="F27" s="15" t="s">
        <v>6</v>
      </c>
      <c r="G27" s="15">
        <f t="shared" si="2"/>
        <v>69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163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/lgrvnKYERMRZJlkb9WPw0MM/1nrM/4VHJos9Pn11BS9n07ywt7naCSUv5614DNlmj7fykejTKF2L9qR3FJl8g==" saltValue="ZtpgYiWQVsrWAt1wmzD5v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topLeftCell="A7" workbookViewId="0">
      <selection activeCell="N48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2002</v>
      </c>
      <c r="E28" s="49"/>
      <c r="F28" s="45">
        <f>basic_info!$D$5-4</f>
        <v>2003</v>
      </c>
      <c r="G28" s="49"/>
      <c r="H28" s="45">
        <f>basic_info!$D$5-3</f>
        <v>2004</v>
      </c>
      <c r="I28" s="49"/>
      <c r="J28" s="45">
        <f>basic_info!$D$5-2</f>
        <v>2005</v>
      </c>
      <c r="K28" s="49"/>
      <c r="L28" s="45">
        <f>basic_info!$D$5-1</f>
        <v>2006</v>
      </c>
      <c r="N28" s="45">
        <f>basic_info!$D$5</f>
        <v>2007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2007</v>
      </c>
      <c r="D30" s="44">
        <v>0.87020508707976429</v>
      </c>
      <c r="E30" s="35">
        <v>0</v>
      </c>
      <c r="F30" s="47">
        <v>0.86299991590536052</v>
      </c>
      <c r="G30" s="46">
        <v>0</v>
      </c>
      <c r="H30" s="47">
        <v>0.79485878402772314</v>
      </c>
      <c r="I30" s="46">
        <v>0</v>
      </c>
      <c r="J30" s="47">
        <v>0.74055946737908196</v>
      </c>
      <c r="K30" s="46">
        <v>0</v>
      </c>
      <c r="L30" s="47">
        <v>0.78901217047933125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2008</v>
      </c>
      <c r="D31" s="76"/>
      <c r="E31" s="75"/>
      <c r="F31" s="69">
        <v>0.78584368908792024</v>
      </c>
      <c r="G31" s="79">
        <v>0</v>
      </c>
      <c r="H31" s="61">
        <v>0.78609720553568063</v>
      </c>
      <c r="I31" s="62">
        <v>0</v>
      </c>
      <c r="J31" s="61">
        <v>0.73078852244812054</v>
      </c>
      <c r="K31" s="62">
        <v>0</v>
      </c>
      <c r="L31" s="61">
        <v>0.79541919266908367</v>
      </c>
      <c r="M31" s="62"/>
      <c r="N31" s="63">
        <v>0.76138148527371097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2009</v>
      </c>
      <c r="D32" s="76"/>
      <c r="E32" s="75"/>
      <c r="F32" s="75"/>
      <c r="G32" s="75"/>
      <c r="H32" s="69">
        <v>0.7399849637887721</v>
      </c>
      <c r="I32" s="79">
        <v>0</v>
      </c>
      <c r="J32" s="61">
        <v>0.69782766257496576</v>
      </c>
      <c r="K32" s="62">
        <v>400000</v>
      </c>
      <c r="L32" s="61">
        <v>0.7777456783815756</v>
      </c>
      <c r="M32" s="62"/>
      <c r="N32" s="63">
        <v>0.76161556793937901</v>
      </c>
      <c r="O32" s="89"/>
      <c r="P32" s="63">
        <f>O32+M32+K32+I32</f>
        <v>400000</v>
      </c>
    </row>
    <row r="33" spans="2:17" x14ac:dyDescent="0.2">
      <c r="B33" s="36"/>
      <c r="C33" s="47">
        <f>basic_info!$D$5+3</f>
        <v>2010</v>
      </c>
      <c r="D33" s="76"/>
      <c r="E33" s="75"/>
      <c r="F33" s="75"/>
      <c r="G33" s="75"/>
      <c r="H33" s="75"/>
      <c r="I33" s="75"/>
      <c r="J33" s="69">
        <v>0.64606856993436812</v>
      </c>
      <c r="K33" s="79">
        <v>400000</v>
      </c>
      <c r="L33" s="61">
        <v>0.72055098531842476</v>
      </c>
      <c r="M33" s="62">
        <v>400000</v>
      </c>
      <c r="N33" s="63">
        <v>0.71377004027579827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2011</v>
      </c>
      <c r="D34" s="76"/>
      <c r="E34" s="75"/>
      <c r="F34" s="75"/>
      <c r="G34" s="75"/>
      <c r="H34" s="75"/>
      <c r="I34" s="75"/>
      <c r="J34" s="75"/>
      <c r="K34" s="75"/>
      <c r="L34" s="69">
        <v>0.6808876388132572</v>
      </c>
      <c r="M34" s="79">
        <v>400000</v>
      </c>
      <c r="N34" s="63">
        <v>0.71201828987937288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0.66759713542461396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2007</v>
      </c>
      <c r="D36" s="44">
        <v>1.0710118786053693</v>
      </c>
      <c r="E36" s="35">
        <v>0</v>
      </c>
      <c r="F36" s="73">
        <v>1.0946334830229054</v>
      </c>
      <c r="G36" s="74">
        <v>0</v>
      </c>
      <c r="H36" s="73">
        <v>1.0994159571183295</v>
      </c>
      <c r="I36" s="74">
        <v>0</v>
      </c>
      <c r="J36" s="73">
        <v>1.1916827819048752</v>
      </c>
      <c r="K36" s="74">
        <v>300000</v>
      </c>
      <c r="L36" s="66">
        <v>1.1318170427930718</v>
      </c>
      <c r="M36" s="67">
        <v>600000</v>
      </c>
      <c r="N36" s="68"/>
      <c r="O36" s="71" t="s">
        <v>162</v>
      </c>
      <c r="P36" s="41">
        <f>M36+K36+I36+E36+G36</f>
        <v>900000</v>
      </c>
      <c r="Q36" s="70"/>
    </row>
    <row r="37" spans="2:17" x14ac:dyDescent="0.2">
      <c r="B37" s="36"/>
      <c r="C37" s="47">
        <f>basic_info!$D$5+1</f>
        <v>2008</v>
      </c>
      <c r="D37" s="76"/>
      <c r="E37" s="75"/>
      <c r="F37" s="69">
        <v>1.0290085296932949</v>
      </c>
      <c r="G37" s="79">
        <v>0</v>
      </c>
      <c r="H37" s="61">
        <v>1.1054417090410307</v>
      </c>
      <c r="I37" s="62">
        <v>0</v>
      </c>
      <c r="J37" s="61">
        <v>1.1101569663340529</v>
      </c>
      <c r="K37" s="62">
        <v>300000</v>
      </c>
      <c r="L37" s="61">
        <v>1.0946302598191511</v>
      </c>
      <c r="M37" s="62">
        <v>300000</v>
      </c>
      <c r="N37" s="61">
        <v>1.0366480005182297</v>
      </c>
      <c r="O37" s="89">
        <v>600000</v>
      </c>
      <c r="P37" s="63">
        <f>O37+M37+K37+I37+G37</f>
        <v>1200000</v>
      </c>
    </row>
    <row r="38" spans="2:17" x14ac:dyDescent="0.2">
      <c r="B38" s="36"/>
      <c r="C38" s="47">
        <f>basic_info!$D$5+2</f>
        <v>2009</v>
      </c>
      <c r="D38" s="76"/>
      <c r="E38" s="75"/>
      <c r="F38" s="75"/>
      <c r="G38" s="75"/>
      <c r="H38" s="69">
        <v>1.0257547201122916</v>
      </c>
      <c r="I38" s="79">
        <v>0</v>
      </c>
      <c r="J38" s="61">
        <v>1.1300023102276531</v>
      </c>
      <c r="K38" s="62">
        <v>300000</v>
      </c>
      <c r="L38" s="61">
        <v>1.0547878477209383</v>
      </c>
      <c r="M38" s="62">
        <v>300000</v>
      </c>
      <c r="N38" s="61">
        <v>0.98750252831704477</v>
      </c>
      <c r="O38" s="89">
        <v>300000</v>
      </c>
      <c r="P38" s="63">
        <f>O38+M38+K38+I38</f>
        <v>900000</v>
      </c>
    </row>
    <row r="39" spans="2:17" x14ac:dyDescent="0.2">
      <c r="B39" s="36"/>
      <c r="C39" s="47">
        <f>basic_info!$D$5+3</f>
        <v>2010</v>
      </c>
      <c r="D39" s="76"/>
      <c r="E39" s="75"/>
      <c r="F39" s="75"/>
      <c r="G39" s="75"/>
      <c r="H39" s="75"/>
      <c r="I39" s="75"/>
      <c r="J39" s="69">
        <v>1.051191025570035</v>
      </c>
      <c r="K39" s="79">
        <v>300000</v>
      </c>
      <c r="L39" s="61">
        <v>1.0390313119782215</v>
      </c>
      <c r="M39" s="62">
        <v>300000</v>
      </c>
      <c r="N39" s="61">
        <v>0.93822729942509209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2011</v>
      </c>
      <c r="D40" s="76"/>
      <c r="E40" s="75"/>
      <c r="F40" s="75"/>
      <c r="G40" s="75"/>
      <c r="H40" s="75"/>
      <c r="I40" s="75"/>
      <c r="J40" s="75"/>
      <c r="K40" s="75"/>
      <c r="L40" s="69">
        <v>0.95771333889663224</v>
      </c>
      <c r="M40" s="79">
        <v>300000</v>
      </c>
      <c r="N40" s="61">
        <v>0.89726357364389364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0.89032073213160046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PE4HXBTXpLYoL1P7KKEdfrMq0+G/ykowHR4XCmcbzgBDiWIknLfGKGF8P2k3Uw+al5yJg7XnGlc/8MFCF3dH1Q==" saltValue="t3gB12x5xMGkiaD8K/keZ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C36" sqref="C36:N37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netqHdFUG/nac9KEedoE0JNGNvAT/Q1wO/oevEyVp91GYrtySCvkM8xwY+q/ksEeoqg5v1e2RDCLu1d9RMGdIQ==" saltValue="bWNVp0HYaVQ2ZajMP0M4J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KG0PpE7C+gpSMMLz4mamFZtMzGl6NrdG3wojzWTS04ZHFiJxVo2VIoK16wy3YgiZ/K33Zs6IPy+S+cYt0YaIsA==" saltValue="u+8jfnXDiy35kiXyiKb0i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2016-10-10T15:06:37Z</dcterms:modified>
</cp:coreProperties>
</file>