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TeamFolders\MomPop\Decisions\"/>
    </mc:Choice>
  </mc:AlternateContent>
  <bookViews>
    <workbookView xWindow="0" yWindow="45" windowWidth="15480" windowHeight="11640" activeTab="4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shipping_manufacturing!$H$4:$H$12</definedName>
    <definedName name="AddColumn2">shipping_manufacturing!$G$16:$G$20</definedName>
    <definedName name="AddColumn3">shipping_manufacturing!$H$24:$H$30</definedName>
    <definedName name="AddRow3">shipping_manufacturing!$B$30</definedName>
    <definedName name="AddRow4">shipping_manufacturing!$B$38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shipping_manufacturing!$B$34</definedName>
  </definedNames>
  <calcPr calcId="152511"/>
</workbook>
</file>

<file path=xl/calcChain.xml><?xml version="1.0" encoding="utf-8"?>
<calcChain xmlns="http://schemas.openxmlformats.org/spreadsheetml/2006/main">
  <c r="G29" i="7" l="1"/>
  <c r="F29" i="7"/>
  <c r="E29" i="7"/>
  <c r="D29" i="7"/>
  <c r="C29" i="7"/>
  <c r="F19" i="7"/>
  <c r="D19" i="7"/>
  <c r="G11" i="7"/>
  <c r="G10" i="7"/>
  <c r="G9" i="7"/>
  <c r="G8" i="7"/>
  <c r="G7" i="7"/>
  <c r="G6" i="7"/>
  <c r="G12" i="5" l="1"/>
  <c r="G9" i="5"/>
  <c r="D16" i="5"/>
  <c r="P36" i="6" l="1"/>
  <c r="P30" i="6"/>
  <c r="G21" i="5"/>
  <c r="G6" i="5"/>
  <c r="G7" i="5"/>
  <c r="H7" i="5" s="1"/>
  <c r="G8" i="5"/>
  <c r="H8" i="5" s="1"/>
  <c r="H9" i="5"/>
  <c r="G10" i="5"/>
  <c r="H10" i="5" s="1"/>
  <c r="G11" i="5"/>
  <c r="H11" i="5" s="1"/>
  <c r="H12" i="5"/>
  <c r="G13" i="5"/>
  <c r="H13" i="5" s="1"/>
  <c r="G14" i="5"/>
  <c r="H14" i="5" s="1"/>
  <c r="G15" i="5"/>
  <c r="H15" i="5" s="1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 s="1"/>
  <c r="G39" i="5"/>
  <c r="H39" i="5"/>
  <c r="G40" i="5"/>
  <c r="H40" i="5" s="1"/>
  <c r="G41" i="5"/>
  <c r="H41" i="5"/>
  <c r="G42" i="5"/>
  <c r="H42" i="5" s="1"/>
  <c r="G43" i="5"/>
  <c r="H43" i="5"/>
  <c r="G44" i="5"/>
  <c r="H44" i="5" s="1"/>
  <c r="G45" i="5"/>
  <c r="H45" i="5"/>
  <c r="G46" i="5"/>
  <c r="H46" i="5" s="1"/>
  <c r="G47" i="5"/>
  <c r="H47" i="5"/>
  <c r="G48" i="5"/>
  <c r="H48" i="5" s="1"/>
  <c r="G49" i="5"/>
  <c r="H49" i="5"/>
  <c r="G50" i="5"/>
  <c r="H50" i="5" s="1"/>
  <c r="G51" i="5"/>
  <c r="H51" i="5"/>
  <c r="G52" i="5"/>
  <c r="H52" i="5" s="1"/>
  <c r="G53" i="5"/>
  <c r="H53" i="5"/>
  <c r="G54" i="5"/>
  <c r="H54" i="5" s="1"/>
  <c r="G55" i="5"/>
  <c r="H55" i="5"/>
  <c r="G56" i="5"/>
  <c r="H56" i="5" s="1"/>
  <c r="G57" i="5"/>
  <c r="H57" i="5"/>
  <c r="G58" i="5"/>
  <c r="H58" i="5" s="1"/>
  <c r="G59" i="5"/>
  <c r="H59" i="5"/>
  <c r="G60" i="5"/>
  <c r="H60" i="5" s="1"/>
  <c r="G61" i="5"/>
  <c r="H61" i="5"/>
  <c r="G62" i="5"/>
  <c r="H62" i="5" s="1"/>
  <c r="G63" i="5"/>
  <c r="H63" i="5"/>
  <c r="G64" i="5"/>
  <c r="H64" i="5" s="1"/>
  <c r="G65" i="5"/>
  <c r="H65" i="5"/>
  <c r="G66" i="5"/>
  <c r="H66" i="5" s="1"/>
  <c r="G67" i="5"/>
  <c r="H67" i="5"/>
  <c r="G68" i="5"/>
  <c r="H68" i="5" s="1"/>
  <c r="G69" i="5"/>
  <c r="H69" i="5"/>
  <c r="G70" i="5"/>
  <c r="H70" i="5" s="1"/>
  <c r="G71" i="5"/>
  <c r="H71" i="5"/>
  <c r="G72" i="5"/>
  <c r="H72" i="5" s="1"/>
  <c r="G73" i="5"/>
  <c r="H73" i="5"/>
  <c r="G74" i="5"/>
  <c r="H74" i="5" s="1"/>
  <c r="G75" i="5"/>
  <c r="H75" i="5"/>
  <c r="G76" i="5"/>
  <c r="H76" i="5" s="1"/>
  <c r="G77" i="5"/>
  <c r="H77" i="5"/>
  <c r="G78" i="5"/>
  <c r="H78" i="5" s="1"/>
  <c r="G79" i="5"/>
  <c r="H79" i="5"/>
  <c r="G80" i="5"/>
  <c r="H80" i="5" s="1"/>
  <c r="G81" i="5"/>
  <c r="H81" i="5"/>
  <c r="G82" i="5"/>
  <c r="H82" i="5" s="1"/>
  <c r="G83" i="5"/>
  <c r="H83" i="5"/>
  <c r="G84" i="5"/>
  <c r="H84" i="5" s="1"/>
  <c r="G85" i="5"/>
  <c r="H85" i="5"/>
  <c r="G86" i="5"/>
  <c r="H86" i="5" s="1"/>
  <c r="G87" i="5"/>
  <c r="H87" i="5"/>
  <c r="G88" i="5"/>
  <c r="H88" i="5" s="1"/>
  <c r="G89" i="5"/>
  <c r="H89" i="5"/>
  <c r="G90" i="5"/>
  <c r="H90" i="5" s="1"/>
  <c r="G91" i="5"/>
  <c r="H91" i="5"/>
  <c r="G92" i="5"/>
  <c r="H92" i="5" s="1"/>
  <c r="G93" i="5"/>
  <c r="H93" i="5"/>
  <c r="G94" i="5"/>
  <c r="H94" i="5" s="1"/>
  <c r="G95" i="5"/>
  <c r="H95" i="5"/>
  <c r="G96" i="5"/>
  <c r="H96" i="5" s="1"/>
  <c r="G97" i="5"/>
  <c r="H97" i="5"/>
  <c r="G98" i="5"/>
  <c r="H98" i="5" s="1"/>
  <c r="G99" i="5"/>
  <c r="H99" i="5"/>
  <c r="G100" i="5"/>
  <c r="H100" i="5" s="1"/>
  <c r="G101" i="5"/>
  <c r="H101" i="5"/>
  <c r="G102" i="5"/>
  <c r="H102" i="5" s="1"/>
  <c r="G103" i="5"/>
  <c r="H103" i="5"/>
  <c r="G104" i="5"/>
  <c r="H104" i="5" s="1"/>
  <c r="G105" i="5"/>
  <c r="H105" i="5"/>
  <c r="G106" i="5"/>
  <c r="H106" i="5" s="1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 l="1"/>
  <c r="H36" i="5"/>
  <c r="H6" i="5"/>
  <c r="G16" i="5"/>
</calcChain>
</file>

<file path=xl/sharedStrings.xml><?xml version="1.0" encoding="utf-8"?>
<sst xmlns="http://schemas.openxmlformats.org/spreadsheetml/2006/main" count="506" uniqueCount="168">
  <si>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</si>
  <si>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</si>
  <si>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</si>
  <si>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</si>
  <si>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</si>
  <si>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</si>
  <si>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</si>
  <si>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</si>
  <si>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</si>
  <si>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</si>
  <si>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</si>
  <si>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</si>
  <si>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</si>
  <si>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</si>
  <si>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</si>
  <si>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</si>
  <si>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</si>
  <si>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</si>
  <si>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</si>
  <si>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</si>
  <si>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</si>
  <si>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</si>
  <si>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</si>
  <si>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</si>
  <si>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</si>
  <si>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</si>
  <si>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</si>
  <si>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</si>
  <si>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</si>
  <si>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</si>
  <si>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</si>
  <si>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</si>
  <si>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</si>
  <si>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</si>
  <si>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</si>
  <si>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</si>
  <si>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</si>
  <si>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</si>
  <si>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</si>
  <si>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</si>
  <si>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</si>
  <si>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</si>
  <si>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</si>
  <si>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</si>
  <si>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</si>
  <si>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</si>
  <si>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</si>
  <si>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</si>
  <si>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</si>
  <si>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</si>
  <si>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</si>
  <si>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</si>
  <si>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</si>
  <si>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</si>
  <si>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</si>
  <si>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</si>
  <si>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</si>
  <si>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</si>
  <si>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</si>
  <si>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</si>
  <si>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</si>
  <si>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</si>
  <si>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</si>
  <si>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</si>
  <si>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</si>
  <si>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</si>
  <si>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</si>
  <si>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</si>
  <si>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</si>
  <si>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</si>
  <si>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</si>
  <si>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</si>
  <si>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</si>
  <si>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</si>
  <si>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</si>
  <si>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</si>
  <si>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</si>
  <si>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</si>
  <si>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</si>
  <si>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</si>
  <si>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</si>
  <si>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</si>
  <si>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</si>
  <si>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</si>
  <si>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</si>
  <si>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</si>
  <si>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</si>
  <si>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</si>
  <si>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</si>
  <si>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</si>
  <si>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</si>
  <si>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</si>
  <si>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</si>
  <si>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</si>
  <si>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</si>
  <si>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</si>
  <si>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</si>
  <si>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</si>
  <si>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</si>
  <si>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</si>
  <si>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</si>
  <si>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</si>
  <si>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</si>
  <si>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</si>
  <si>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</si>
  <si>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</si>
  <si>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</si>
  <si>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</si>
  <si>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</si>
  <si>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</si>
  <si>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</si>
  <si>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</si>
  <si>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</si>
  <si>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</si>
  <si>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</si>
  <si>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</si>
  <si>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</si>
  <si>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</si>
  <si>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</si>
  <si>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</si>
  <si>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</si>
  <si>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</si>
  <si>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</si>
  <si>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</si>
  <si>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</si>
  <si>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</si>
  <si>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</si>
  <si>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</si>
  <si>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</si>
  <si>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</si>
  <si>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</si>
  <si>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</si>
  <si>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</si>
  <si>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</si>
  <si>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</si>
  <si>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</si>
  <si>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</si>
  <si>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</si>
  <si>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</si>
  <si>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</si>
  <si>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</si>
  <si>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</si>
  <si>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</si>
  <si>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</si>
  <si>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</si>
  <si>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</si>
  <si>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</si>
  <si>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</si>
  <si>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</si>
  <si>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</si>
  <si>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</si>
  <si>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</si>
  <si>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</si>
  <si>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</si>
  <si>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</si>
  <si>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</si>
  <si>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</si>
  <si>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</si>
  <si>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</si>
  <si>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</si>
  <si>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</si>
  <si>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</si>
  <si>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</si>
  <si>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</si>
  <si>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</si>
  <si>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MomPop</t>
  </si>
  <si>
    <t/>
  </si>
  <si>
    <t>sold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</si>
</sst>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5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F6"/>
  <sheetViews>
    <sheetView showGridLines="0" workbookViewId="0"/>
  </sheetViews>
  <sheetFormatPr defaultRowHeight="12.75" x14ac:dyDescent="0.2"/>
  <cols>
    <col min="1" max="1" width="4.7109375" customWidth="1"/>
  </cols>
  <sheetData>
    <row r="2" spans="2:6" x14ac:dyDescent="0.2">
      <c r="B2" s="1" t="s">
        <v>0</v>
      </c>
    </row>
    <row r="3" spans="2:6" x14ac:dyDescent="0.2">
      <c r="B3" s="2"/>
      <c r="C3" s="3"/>
      <c r="D3" s="3"/>
      <c r="E3" s="3"/>
      <c r="F3" s="3"/>
    </row>
    <row r="4" spans="2:6" x14ac:dyDescent="0.2">
      <c r="B4" s="4"/>
      <c r="C4" s="5" t="s">
        <v>1</v>
      </c>
      <c r="D4" s="99" t="s">
        <v>165</v>
      </c>
      <c r="E4" s="100"/>
      <c r="F4" s="101"/>
    </row>
    <row r="5" spans="2:6" x14ac:dyDescent="0.2">
      <c r="B5" s="6"/>
      <c r="C5" s="7" t="s">
        <v>111</v>
      </c>
      <c r="D5" s="102">
        <v>2013</v>
      </c>
      <c r="E5" s="103"/>
      <c r="F5" s="104"/>
    </row>
    <row r="6" spans="2:6" x14ac:dyDescent="0.2">
      <c r="B6" s="3"/>
      <c r="C6" s="3"/>
      <c r="D6" s="3"/>
      <c r="E6" s="3"/>
      <c r="F6" s="3"/>
    </row>
  </sheetData>
  <sheetProtection algorithmName="SHA-512" hashValue="Puc85OU0YGfRieUsLcr6lA1+yC5xyeZtG5SXkGPvQFdNpi1wU1m5McGfaws7di2rlB07ExnSuoONcV42QGotrA==" saltValue="R2F2c+li8bCqXeDnXK1u3A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07"/>
  <sheetViews>
    <sheetView showGridLines="0" workbookViewId="0">
      <selection activeCell="L17" sqref="L17"/>
    </sheetView>
  </sheetViews>
  <sheetFormatPr defaultRowHeight="12.75" x14ac:dyDescent="0.2"/>
  <cols>
    <col min="1" max="1" width="4.7109375" style="9" customWidth="1"/>
    <col min="2" max="2" width="8" style="9" bestFit="1" customWidth="1"/>
    <col min="3" max="3" width="15.7109375" style="9" bestFit="1" customWidth="1"/>
    <col min="4" max="4" width="8.7109375" style="9" customWidth="1"/>
    <col min="5" max="5" width="4.42578125" style="9" customWidth="1"/>
    <col min="6" max="6" width="3.28515625" style="9" bestFit="1" customWidth="1"/>
    <col min="7" max="7" width="8.7109375" style="9" customWidth="1"/>
    <col min="8" max="8" width="9.42578125" style="9" customWidth="1"/>
    <col min="9" max="16384" width="9.140625" style="9"/>
  </cols>
  <sheetData>
    <row r="2" spans="2:8" x14ac:dyDescent="0.2">
      <c r="B2" s="8" t="s">
        <v>2</v>
      </c>
    </row>
    <row r="3" spans="2:8" x14ac:dyDescent="0.2">
      <c r="B3" s="10" t="s">
        <v>155</v>
      </c>
    </row>
    <row r="4" spans="2:8" x14ac:dyDescent="0.2">
      <c r="B4" s="11"/>
      <c r="C4" s="12"/>
      <c r="D4" s="12"/>
      <c r="E4" s="12"/>
      <c r="F4" s="12"/>
      <c r="G4" s="12"/>
      <c r="H4" s="12"/>
    </row>
    <row r="5" spans="2:8" x14ac:dyDescent="0.2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 x14ac:dyDescent="0.2">
      <c r="B6" s="14" t="s">
        <v>5</v>
      </c>
      <c r="C6" s="85">
        <v>-1</v>
      </c>
      <c r="D6" s="15">
        <v>1</v>
      </c>
      <c r="E6" s="15" t="s">
        <v>166</v>
      </c>
      <c r="F6" s="15" t="s">
        <v>6</v>
      </c>
      <c r="G6" s="15">
        <f t="shared" ref="G6:G15" si="0">$D6+$C6</f>
        <v>0</v>
      </c>
      <c r="H6" s="16" t="str">
        <f t="shared" ref="H6:H15" si="1">IF(AND($D6=0, $G6&gt;0),"new", IF(AND($D6&gt;0, $G6=0),"sold",""))</f>
        <v>sold</v>
      </c>
    </row>
    <row r="7" spans="2:8" x14ac:dyDescent="0.2">
      <c r="B7" s="14" t="s">
        <v>7</v>
      </c>
      <c r="C7" s="85"/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 x14ac:dyDescent="0.2">
      <c r="B8" s="14" t="s">
        <v>8</v>
      </c>
      <c r="C8" s="85"/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 x14ac:dyDescent="0.2">
      <c r="B9" s="14" t="s">
        <v>9</v>
      </c>
      <c r="C9" s="85"/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 x14ac:dyDescent="0.2">
      <c r="B10" s="14" t="s">
        <v>10</v>
      </c>
      <c r="C10" s="85">
        <v>0</v>
      </c>
      <c r="D10" s="15">
        <v>0</v>
      </c>
      <c r="E10" s="15" t="s">
        <v>167</v>
      </c>
      <c r="F10" s="15" t="s">
        <v>6</v>
      </c>
      <c r="G10" s="15">
        <f t="shared" si="0"/>
        <v>0</v>
      </c>
      <c r="H10" s="17" t="str">
        <f t="shared" si="1"/>
        <v/>
      </c>
    </row>
    <row r="11" spans="2:8" x14ac:dyDescent="0.2">
      <c r="B11" s="14" t="s">
        <v>11</v>
      </c>
      <c r="C11" s="85"/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 x14ac:dyDescent="0.2">
      <c r="B12" s="14" t="s">
        <v>12</v>
      </c>
      <c r="C12" s="85">
        <v>-13</v>
      </c>
      <c r="D12" s="15">
        <v>3787</v>
      </c>
      <c r="E12" s="15" t="s">
        <v>166</v>
      </c>
      <c r="F12" s="15" t="s">
        <v>6</v>
      </c>
      <c r="G12" s="15">
        <f t="shared" si="0"/>
        <v>3774</v>
      </c>
      <c r="H12" s="17" t="str">
        <f t="shared" si="1"/>
        <v/>
      </c>
    </row>
    <row r="13" spans="2:8" x14ac:dyDescent="0.2">
      <c r="B13" s="14" t="s">
        <v>13</v>
      </c>
      <c r="C13" s="84"/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 x14ac:dyDescent="0.2">
      <c r="B14" s="14" t="s">
        <v>14</v>
      </c>
      <c r="C14" s="84"/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 x14ac:dyDescent="0.2">
      <c r="B15" s="18" t="s">
        <v>15</v>
      </c>
      <c r="C15" s="84"/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 x14ac:dyDescent="0.2">
      <c r="B16" s="21"/>
      <c r="C16" s="21"/>
      <c r="D16" s="21">
        <f>COUNTIF($D$6:$D$15,"&gt;0")</f>
        <v>2</v>
      </c>
      <c r="E16" s="21" t="s">
        <v>16</v>
      </c>
      <c r="F16" s="12"/>
      <c r="G16" s="21">
        <f>COUNTIF(G6:G15,"&gt;0")</f>
        <v>1</v>
      </c>
      <c r="H16" s="82" t="s">
        <v>16</v>
      </c>
    </row>
    <row r="18" spans="2:8" x14ac:dyDescent="0.2">
      <c r="B18" s="10" t="s">
        <v>148</v>
      </c>
    </row>
    <row r="19" spans="2:8" x14ac:dyDescent="0.2">
      <c r="B19" s="11"/>
      <c r="C19" s="12"/>
      <c r="D19" s="12"/>
      <c r="E19" s="12"/>
      <c r="F19" s="12"/>
      <c r="G19" s="12"/>
      <c r="H19" s="12"/>
    </row>
    <row r="20" spans="2:8" x14ac:dyDescent="0.2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 x14ac:dyDescent="0.2">
      <c r="B21" s="14" t="s">
        <v>5</v>
      </c>
      <c r="C21" s="85"/>
      <c r="D21" s="15">
        <v>0</v>
      </c>
      <c r="E21" s="15"/>
      <c r="F21" s="15" t="s">
        <v>6</v>
      </c>
      <c r="G21" s="15">
        <f t="shared" ref="G21:G30" si="2">$D21+$C21</f>
        <v>0</v>
      </c>
      <c r="H21" s="17"/>
    </row>
    <row r="22" spans="2:8" x14ac:dyDescent="0.2">
      <c r="B22" s="14" t="s">
        <v>7</v>
      </c>
      <c r="C22" s="85"/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 x14ac:dyDescent="0.2">
      <c r="B23" s="14" t="s">
        <v>8</v>
      </c>
      <c r="C23" s="85"/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 x14ac:dyDescent="0.2">
      <c r="B24" s="14" t="s">
        <v>9</v>
      </c>
      <c r="C24" s="85"/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 x14ac:dyDescent="0.2">
      <c r="B25" s="14" t="s">
        <v>10</v>
      </c>
      <c r="C25" s="85"/>
      <c r="D25" s="15">
        <v>0</v>
      </c>
      <c r="E25" s="15"/>
      <c r="F25" s="15" t="s">
        <v>6</v>
      </c>
      <c r="G25" s="15">
        <f t="shared" si="2"/>
        <v>0</v>
      </c>
      <c r="H25" s="17"/>
    </row>
    <row r="26" spans="2:8" x14ac:dyDescent="0.2">
      <c r="B26" s="14" t="s">
        <v>11</v>
      </c>
      <c r="C26" s="85"/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 x14ac:dyDescent="0.2">
      <c r="B27" s="14" t="s">
        <v>12</v>
      </c>
      <c r="C27" s="85"/>
      <c r="D27" s="15">
        <v>0</v>
      </c>
      <c r="E27" s="15"/>
      <c r="F27" s="15" t="s">
        <v>6</v>
      </c>
      <c r="G27" s="15">
        <f t="shared" si="2"/>
        <v>0</v>
      </c>
      <c r="H27" s="17"/>
    </row>
    <row r="28" spans="2:8" x14ac:dyDescent="0.2">
      <c r="B28" s="14" t="s">
        <v>13</v>
      </c>
      <c r="C28" s="85"/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 x14ac:dyDescent="0.2">
      <c r="B29" s="14" t="s">
        <v>14</v>
      </c>
      <c r="C29" s="85"/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 x14ac:dyDescent="0.2">
      <c r="B30" s="18" t="s">
        <v>15</v>
      </c>
      <c r="C30" s="85"/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 x14ac:dyDescent="0.2">
      <c r="B31" s="21"/>
      <c r="C31" s="21"/>
      <c r="D31" s="21">
        <f>SUM($D$21:$D$30)</f>
        <v>0</v>
      </c>
      <c r="E31" s="21" t="s">
        <v>18</v>
      </c>
      <c r="F31" s="21"/>
      <c r="G31" s="21"/>
      <c r="H31" s="22"/>
    </row>
    <row r="33" spans="2:8" x14ac:dyDescent="0.2">
      <c r="B33" s="10" t="s">
        <v>156</v>
      </c>
    </row>
    <row r="34" spans="2:8" x14ac:dyDescent="0.2">
      <c r="B34" s="11"/>
      <c r="C34" s="12"/>
      <c r="D34" s="12"/>
      <c r="E34" s="12"/>
      <c r="F34" s="12"/>
      <c r="G34" s="12"/>
      <c r="H34" s="12"/>
    </row>
    <row r="35" spans="2:8" x14ac:dyDescent="0.2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 x14ac:dyDescent="0.2">
      <c r="B36" s="25" t="s">
        <v>19</v>
      </c>
      <c r="C36" s="84"/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 x14ac:dyDescent="0.2">
      <c r="B37" s="14" t="s">
        <v>20</v>
      </c>
      <c r="C37" s="84"/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 x14ac:dyDescent="0.2">
      <c r="B38" s="14" t="s">
        <v>21</v>
      </c>
      <c r="C38" s="84"/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 x14ac:dyDescent="0.2">
      <c r="B39" s="14" t="s">
        <v>22</v>
      </c>
      <c r="C39" s="84"/>
      <c r="D39" s="14">
        <v>50000</v>
      </c>
      <c r="E39" s="15" t="s">
        <v>166</v>
      </c>
      <c r="F39" s="15" t="s">
        <v>6</v>
      </c>
      <c r="G39" s="15">
        <f t="shared" si="3"/>
        <v>50000</v>
      </c>
      <c r="H39" s="17" t="str">
        <f t="shared" si="4"/>
        <v/>
      </c>
    </row>
    <row r="40" spans="2:8" x14ac:dyDescent="0.2">
      <c r="B40" s="14" t="s">
        <v>23</v>
      </c>
      <c r="C40" s="84"/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 x14ac:dyDescent="0.2">
      <c r="B41" s="14" t="s">
        <v>24</v>
      </c>
      <c r="C41" s="84"/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 x14ac:dyDescent="0.2">
      <c r="B42" s="14" t="s">
        <v>25</v>
      </c>
      <c r="C42" s="84"/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 x14ac:dyDescent="0.2">
      <c r="B43" s="14" t="s">
        <v>26</v>
      </c>
      <c r="C43" s="84"/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 x14ac:dyDescent="0.2">
      <c r="B44" s="14" t="s">
        <v>27</v>
      </c>
      <c r="C44" s="84"/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 x14ac:dyDescent="0.2">
      <c r="B45" s="14" t="s">
        <v>28</v>
      </c>
      <c r="C45" s="84"/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 x14ac:dyDescent="0.2">
      <c r="B46" s="14" t="s">
        <v>29</v>
      </c>
      <c r="C46" s="84"/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 x14ac:dyDescent="0.2">
      <c r="B47" s="14" t="s">
        <v>30</v>
      </c>
      <c r="C47" s="84"/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 x14ac:dyDescent="0.2">
      <c r="B48" s="14" t="s">
        <v>31</v>
      </c>
      <c r="C48" s="84"/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 x14ac:dyDescent="0.2">
      <c r="B49" s="14" t="s">
        <v>32</v>
      </c>
      <c r="C49" s="84"/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 x14ac:dyDescent="0.2">
      <c r="B50" s="14" t="s">
        <v>33</v>
      </c>
      <c r="C50" s="84"/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 x14ac:dyDescent="0.2">
      <c r="B51" s="14" t="s">
        <v>34</v>
      </c>
      <c r="C51" s="84"/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 x14ac:dyDescent="0.2">
      <c r="B52" s="14" t="s">
        <v>35</v>
      </c>
      <c r="C52" s="84"/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 x14ac:dyDescent="0.2">
      <c r="B53" s="14" t="s">
        <v>36</v>
      </c>
      <c r="C53" s="84"/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 x14ac:dyDescent="0.2">
      <c r="B54" s="14" t="s">
        <v>37</v>
      </c>
      <c r="C54" s="84"/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 x14ac:dyDescent="0.2">
      <c r="B55" s="14" t="s">
        <v>38</v>
      </c>
      <c r="C55" s="84"/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 x14ac:dyDescent="0.2">
      <c r="B56" s="14" t="s">
        <v>39</v>
      </c>
      <c r="C56" s="84"/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 x14ac:dyDescent="0.2">
      <c r="B57" s="14" t="s">
        <v>40</v>
      </c>
      <c r="C57" s="84"/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 x14ac:dyDescent="0.2">
      <c r="B58" s="14" t="s">
        <v>41</v>
      </c>
      <c r="C58" s="84"/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 x14ac:dyDescent="0.2">
      <c r="B59" s="14" t="s">
        <v>42</v>
      </c>
      <c r="C59" s="84"/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 x14ac:dyDescent="0.2">
      <c r="B60" s="14" t="s">
        <v>43</v>
      </c>
      <c r="C60" s="84"/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 x14ac:dyDescent="0.2">
      <c r="B61" s="14" t="s">
        <v>44</v>
      </c>
      <c r="C61" s="85"/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 x14ac:dyDescent="0.2">
      <c r="B62" s="14" t="s">
        <v>45</v>
      </c>
      <c r="C62" s="85"/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 x14ac:dyDescent="0.2">
      <c r="B63" s="14" t="s">
        <v>46</v>
      </c>
      <c r="C63" s="85"/>
      <c r="D63" s="15">
        <v>0</v>
      </c>
      <c r="E63" s="15" t="s">
        <v>166</v>
      </c>
      <c r="F63" s="15" t="s">
        <v>6</v>
      </c>
      <c r="G63" s="15">
        <f t="shared" si="3"/>
        <v>0</v>
      </c>
      <c r="H63" s="17" t="str">
        <f t="shared" si="4"/>
        <v/>
      </c>
    </row>
    <row r="64" spans="2:8" x14ac:dyDescent="0.2">
      <c r="B64" s="14" t="s">
        <v>47</v>
      </c>
      <c r="C64" s="85"/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 x14ac:dyDescent="0.2">
      <c r="B65" s="14" t="s">
        <v>48</v>
      </c>
      <c r="C65" s="85"/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 x14ac:dyDescent="0.2">
      <c r="B66" s="14" t="s">
        <v>49</v>
      </c>
      <c r="C66" s="85"/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 x14ac:dyDescent="0.2">
      <c r="B67" s="14" t="s">
        <v>50</v>
      </c>
      <c r="C67" s="85"/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 x14ac:dyDescent="0.2">
      <c r="B68" s="14" t="s">
        <v>51</v>
      </c>
      <c r="C68" s="85"/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 x14ac:dyDescent="0.2">
      <c r="B69" s="14" t="s">
        <v>52</v>
      </c>
      <c r="C69" s="85"/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 x14ac:dyDescent="0.2">
      <c r="B70" s="14" t="s">
        <v>53</v>
      </c>
      <c r="C70" s="85"/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 x14ac:dyDescent="0.2">
      <c r="B71" s="14" t="s">
        <v>54</v>
      </c>
      <c r="C71" s="85"/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 x14ac:dyDescent="0.2">
      <c r="B72" s="14" t="s">
        <v>55</v>
      </c>
      <c r="C72" s="85"/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 x14ac:dyDescent="0.2">
      <c r="B73" s="14" t="s">
        <v>56</v>
      </c>
      <c r="C73" s="85"/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 x14ac:dyDescent="0.2">
      <c r="B74" s="14" t="s">
        <v>57</v>
      </c>
      <c r="C74" s="85"/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 x14ac:dyDescent="0.2">
      <c r="B75" s="14" t="s">
        <v>58</v>
      </c>
      <c r="C75" s="85"/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 x14ac:dyDescent="0.2">
      <c r="B76" s="14" t="s">
        <v>59</v>
      </c>
      <c r="C76" s="85"/>
      <c r="D76" s="15">
        <v>51000</v>
      </c>
      <c r="E76" s="15" t="s">
        <v>166</v>
      </c>
      <c r="F76" s="15" t="s">
        <v>6</v>
      </c>
      <c r="G76" s="15">
        <f t="shared" si="5"/>
        <v>51000</v>
      </c>
      <c r="H76" s="17" t="str">
        <f t="shared" si="6"/>
        <v/>
      </c>
    </row>
    <row r="77" spans="2:8" x14ac:dyDescent="0.2">
      <c r="B77" s="14" t="s">
        <v>60</v>
      </c>
      <c r="C77" s="85"/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 x14ac:dyDescent="0.2">
      <c r="B78" s="14" t="s">
        <v>61</v>
      </c>
      <c r="C78" s="85"/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 x14ac:dyDescent="0.2">
      <c r="B79" s="14" t="s">
        <v>62</v>
      </c>
      <c r="C79" s="85"/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 x14ac:dyDescent="0.2">
      <c r="B80" s="14" t="s">
        <v>63</v>
      </c>
      <c r="C80" s="85"/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 x14ac:dyDescent="0.2">
      <c r="B81" s="14" t="s">
        <v>64</v>
      </c>
      <c r="C81" s="85"/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 x14ac:dyDescent="0.2">
      <c r="B82" s="14" t="s">
        <v>65</v>
      </c>
      <c r="C82" s="85"/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 x14ac:dyDescent="0.2">
      <c r="B83" s="27" t="s">
        <v>66</v>
      </c>
      <c r="C83" s="85"/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 x14ac:dyDescent="0.2">
      <c r="B84" s="14" t="s">
        <v>67</v>
      </c>
      <c r="C84" s="85"/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 x14ac:dyDescent="0.2">
      <c r="B85" s="14" t="s">
        <v>68</v>
      </c>
      <c r="C85" s="85"/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 x14ac:dyDescent="0.2">
      <c r="B86" s="14" t="s">
        <v>69</v>
      </c>
      <c r="C86" s="85"/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 x14ac:dyDescent="0.2">
      <c r="B87" s="14" t="s">
        <v>70</v>
      </c>
      <c r="C87" s="85"/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 x14ac:dyDescent="0.2">
      <c r="B88" s="14" t="s">
        <v>71</v>
      </c>
      <c r="C88" s="85"/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 x14ac:dyDescent="0.2">
      <c r="B89" s="14" t="s">
        <v>72</v>
      </c>
      <c r="C89" s="85"/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 x14ac:dyDescent="0.2">
      <c r="B90" s="14" t="s">
        <v>73</v>
      </c>
      <c r="C90" s="85"/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 x14ac:dyDescent="0.2">
      <c r="B91" s="14" t="s">
        <v>74</v>
      </c>
      <c r="C91" s="85"/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 x14ac:dyDescent="0.2">
      <c r="B92" s="14" t="s">
        <v>75</v>
      </c>
      <c r="C92" s="85"/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 x14ac:dyDescent="0.2">
      <c r="B93" s="14" t="s">
        <v>76</v>
      </c>
      <c r="C93" s="85"/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 x14ac:dyDescent="0.2">
      <c r="B94" s="14" t="s">
        <v>77</v>
      </c>
      <c r="C94" s="85"/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 x14ac:dyDescent="0.2">
      <c r="B95" s="14" t="s">
        <v>78</v>
      </c>
      <c r="C95" s="85"/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 x14ac:dyDescent="0.2">
      <c r="B96" s="14" t="s">
        <v>79</v>
      </c>
      <c r="C96" s="85"/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 x14ac:dyDescent="0.2">
      <c r="B97" s="14" t="s">
        <v>80</v>
      </c>
      <c r="C97" s="85"/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 x14ac:dyDescent="0.2">
      <c r="B98" s="14" t="s">
        <v>81</v>
      </c>
      <c r="C98" s="85"/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 x14ac:dyDescent="0.2">
      <c r="B99" s="14" t="s">
        <v>82</v>
      </c>
      <c r="C99" s="85"/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 x14ac:dyDescent="0.2">
      <c r="B100" s="14" t="s">
        <v>83</v>
      </c>
      <c r="C100" s="85"/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 x14ac:dyDescent="0.2">
      <c r="B101" s="14" t="s">
        <v>84</v>
      </c>
      <c r="C101" s="85"/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 x14ac:dyDescent="0.2">
      <c r="B102" s="14" t="s">
        <v>85</v>
      </c>
      <c r="C102" s="85"/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 x14ac:dyDescent="0.2">
      <c r="B103" s="14" t="s">
        <v>86</v>
      </c>
      <c r="C103" s="85"/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 x14ac:dyDescent="0.2">
      <c r="B104" s="14" t="s">
        <v>87</v>
      </c>
      <c r="C104" s="85"/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 x14ac:dyDescent="0.2">
      <c r="B105" s="14" t="s">
        <v>88</v>
      </c>
      <c r="C105" s="85"/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 x14ac:dyDescent="0.2">
      <c r="B106" s="18" t="s">
        <v>89</v>
      </c>
      <c r="C106" s="85"/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 x14ac:dyDescent="0.2">
      <c r="B107" s="12"/>
      <c r="C107" s="12"/>
      <c r="D107" s="12">
        <f>COUNTIF($D$36:$D$106,"&gt;0")</f>
        <v>2</v>
      </c>
      <c r="E107" s="12" t="s">
        <v>90</v>
      </c>
      <c r="F107" s="12"/>
      <c r="G107" s="12">
        <f>COUNTIF(G36:G106,"&gt;0")</f>
        <v>2</v>
      </c>
      <c r="H107" s="83" t="s">
        <v>90</v>
      </c>
    </row>
  </sheetData>
  <sheetProtection algorithmName="SHA-512" hashValue="bkFBl61aHhauvB2Eg4eH/s3Coy3MAK+MveymFkSRHDwdkV/BEuXpeQ5u/z/fDL6J2zk7r0sSGKbXxh2IUD0SKA==" saltValue="Nm/Jr3S14B+L9Oln5s/p6Q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AG49"/>
  <sheetViews>
    <sheetView showGridLines="0" workbookViewId="0">
      <selection activeCell="C47" sqref="C47:N48"/>
    </sheetView>
  </sheetViews>
  <sheetFormatPr defaultRowHeight="12.75" x14ac:dyDescent="0.2"/>
  <cols>
    <col min="1" max="1" width="4.7109375" style="29" customWidth="1"/>
    <col min="2" max="2" width="16.7109375" style="29" customWidth="1"/>
    <col min="3" max="14" width="8.7109375" style="29" customWidth="1"/>
    <col min="15" max="16384" width="9.140625" style="29"/>
  </cols>
  <sheetData>
    <row r="2" spans="2:14" x14ac:dyDescent="0.2">
      <c r="B2" s="28" t="s">
        <v>140</v>
      </c>
    </row>
    <row r="3" spans="2:14" x14ac:dyDescent="0.2">
      <c r="B3" s="30" t="s">
        <v>164</v>
      </c>
    </row>
    <row r="4" spans="2:14" x14ac:dyDescent="0.2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 x14ac:dyDescent="0.2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 x14ac:dyDescent="0.2">
      <c r="B6" s="36" t="s">
        <v>104</v>
      </c>
      <c r="C6" s="86">
        <v>0</v>
      </c>
      <c r="D6" s="87">
        <v>0</v>
      </c>
      <c r="E6" s="87">
        <v>0</v>
      </c>
      <c r="F6" s="87">
        <v>0</v>
      </c>
      <c r="G6" s="87">
        <v>0</v>
      </c>
      <c r="H6" s="87">
        <v>0</v>
      </c>
      <c r="I6" s="87">
        <v>0</v>
      </c>
      <c r="J6" s="87">
        <v>0</v>
      </c>
      <c r="K6" s="87">
        <v>0</v>
      </c>
      <c r="L6" s="87">
        <v>0</v>
      </c>
      <c r="M6" s="87">
        <v>0</v>
      </c>
      <c r="N6" s="87">
        <v>0</v>
      </c>
    </row>
    <row r="7" spans="2:14" x14ac:dyDescent="0.2">
      <c r="B7" s="36" t="s">
        <v>105</v>
      </c>
      <c r="C7" s="88">
        <v>3203.3999387586405</v>
      </c>
      <c r="D7" s="89">
        <v>3203.3999387586405</v>
      </c>
      <c r="E7" s="89">
        <v>3203.3999387586405</v>
      </c>
      <c r="F7" s="89">
        <v>3203.3999387586405</v>
      </c>
      <c r="G7" s="89">
        <v>3203.3999387586405</v>
      </c>
      <c r="H7" s="89">
        <v>3203.3999387586405</v>
      </c>
      <c r="I7" s="89">
        <v>3203.3999387586405</v>
      </c>
      <c r="J7" s="89">
        <v>3203.3999387586405</v>
      </c>
      <c r="K7" s="89">
        <v>3203.3999387586405</v>
      </c>
      <c r="L7" s="89">
        <v>3203.3999387586405</v>
      </c>
      <c r="M7" s="89">
        <v>3203.3999387586405</v>
      </c>
      <c r="N7" s="89">
        <v>3203.3999387586405</v>
      </c>
    </row>
    <row r="8" spans="2:14" x14ac:dyDescent="0.2">
      <c r="B8" s="36" t="s">
        <v>106</v>
      </c>
      <c r="C8" s="88">
        <v>2958.1665880602222</v>
      </c>
      <c r="D8" s="89">
        <v>2958.1665880602222</v>
      </c>
      <c r="E8" s="89">
        <v>2958.1665880602222</v>
      </c>
      <c r="F8" s="89">
        <v>2958.1665880602222</v>
      </c>
      <c r="G8" s="89">
        <v>2958.1665880602222</v>
      </c>
      <c r="H8" s="89">
        <v>2958.1665880602222</v>
      </c>
      <c r="I8" s="89">
        <v>2958.1665880602222</v>
      </c>
      <c r="J8" s="89">
        <v>2958.1665880602222</v>
      </c>
      <c r="K8" s="89">
        <v>2958.1665880602222</v>
      </c>
      <c r="L8" s="89">
        <v>2958.1665880602222</v>
      </c>
      <c r="M8" s="89">
        <v>2958.1665880602222</v>
      </c>
      <c r="N8" s="89">
        <v>2958.1665880602222</v>
      </c>
    </row>
    <row r="9" spans="2:14" x14ac:dyDescent="0.2">
      <c r="B9" s="36" t="s">
        <v>107</v>
      </c>
      <c r="C9" s="88">
        <v>0</v>
      </c>
      <c r="D9" s="89">
        <v>0</v>
      </c>
      <c r="E9" s="89">
        <v>0</v>
      </c>
      <c r="F9" s="89">
        <v>0</v>
      </c>
      <c r="G9" s="89">
        <v>0</v>
      </c>
      <c r="H9" s="89">
        <v>0</v>
      </c>
      <c r="I9" s="89">
        <v>0</v>
      </c>
      <c r="J9" s="89">
        <v>0</v>
      </c>
      <c r="K9" s="89">
        <v>0</v>
      </c>
      <c r="L9" s="89">
        <v>0</v>
      </c>
      <c r="M9" s="89">
        <v>0</v>
      </c>
      <c r="N9" s="89">
        <v>0</v>
      </c>
    </row>
    <row r="10" spans="2:14" x14ac:dyDescent="0.2">
      <c r="B10" s="36" t="s">
        <v>108</v>
      </c>
      <c r="C10" s="88">
        <v>0</v>
      </c>
      <c r="D10" s="89">
        <v>0</v>
      </c>
      <c r="E10" s="89">
        <v>0</v>
      </c>
      <c r="F10" s="89">
        <v>0</v>
      </c>
      <c r="G10" s="89">
        <v>0</v>
      </c>
      <c r="H10" s="89">
        <v>0</v>
      </c>
      <c r="I10" s="89">
        <v>0</v>
      </c>
      <c r="J10" s="89">
        <v>0</v>
      </c>
      <c r="K10" s="89">
        <v>0</v>
      </c>
      <c r="L10" s="89">
        <v>0</v>
      </c>
      <c r="M10" s="89">
        <v>0</v>
      </c>
      <c r="N10" s="89">
        <v>0</v>
      </c>
    </row>
    <row r="11" spans="2:14" x14ac:dyDescent="0.2">
      <c r="B11" s="37" t="s">
        <v>109</v>
      </c>
      <c r="C11" s="88">
        <v>0</v>
      </c>
      <c r="D11" s="89">
        <v>0</v>
      </c>
      <c r="E11" s="89">
        <v>0</v>
      </c>
      <c r="F11" s="89">
        <v>0</v>
      </c>
      <c r="G11" s="89">
        <v>0</v>
      </c>
      <c r="H11" s="89">
        <v>0</v>
      </c>
      <c r="I11" s="89">
        <v>0</v>
      </c>
      <c r="J11" s="89">
        <v>0</v>
      </c>
      <c r="K11" s="89">
        <v>0</v>
      </c>
      <c r="L11" s="89">
        <v>0</v>
      </c>
      <c r="M11" s="89">
        <v>0</v>
      </c>
      <c r="N11" s="89">
        <v>0</v>
      </c>
    </row>
    <row r="12" spans="2:14" x14ac:dyDescent="0.2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 x14ac:dyDescent="0.2">
      <c r="B14" s="30" t="s">
        <v>157</v>
      </c>
    </row>
    <row r="15" spans="2:14" x14ac:dyDescent="0.2">
      <c r="B15" s="31"/>
      <c r="C15" s="32"/>
      <c r="D15" s="32"/>
      <c r="E15" s="51"/>
      <c r="F15" s="32"/>
      <c r="G15" s="32"/>
      <c r="H15" s="32"/>
    </row>
    <row r="16" spans="2:14" x14ac:dyDescent="0.2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 x14ac:dyDescent="0.2">
      <c r="B17" s="41" t="s">
        <v>104</v>
      </c>
      <c r="C17" s="90">
        <v>1</v>
      </c>
      <c r="D17" s="90">
        <v>0</v>
      </c>
      <c r="E17" s="90">
        <v>1</v>
      </c>
      <c r="F17" s="90">
        <v>5</v>
      </c>
      <c r="G17" s="90">
        <v>1</v>
      </c>
      <c r="H17" s="90">
        <v>10</v>
      </c>
      <c r="I17" s="29" t="s">
        <v>110</v>
      </c>
    </row>
    <row r="18" spans="2:33" x14ac:dyDescent="0.2">
      <c r="B18" s="36" t="s">
        <v>105</v>
      </c>
      <c r="C18" s="91">
        <v>1</v>
      </c>
      <c r="D18" s="91">
        <v>0</v>
      </c>
      <c r="E18" s="91">
        <v>1</v>
      </c>
      <c r="F18" s="91">
        <v>5</v>
      </c>
      <c r="G18" s="91">
        <v>1</v>
      </c>
      <c r="H18" s="91">
        <v>10</v>
      </c>
      <c r="I18" s="29" t="s">
        <v>110</v>
      </c>
    </row>
    <row r="19" spans="2:33" x14ac:dyDescent="0.2">
      <c r="B19" s="36" t="s">
        <v>106</v>
      </c>
      <c r="C19" s="91">
        <v>1</v>
      </c>
      <c r="D19" s="91">
        <v>0</v>
      </c>
      <c r="E19" s="91">
        <v>1</v>
      </c>
      <c r="F19" s="91">
        <v>5</v>
      </c>
      <c r="G19" s="91">
        <v>1</v>
      </c>
      <c r="H19" s="91">
        <v>10</v>
      </c>
      <c r="I19" s="29" t="s">
        <v>110</v>
      </c>
    </row>
    <row r="20" spans="2:33" x14ac:dyDescent="0.2">
      <c r="B20" s="36" t="s">
        <v>107</v>
      </c>
      <c r="C20" s="91">
        <v>1</v>
      </c>
      <c r="D20" s="91">
        <v>0</v>
      </c>
      <c r="E20" s="91">
        <v>1</v>
      </c>
      <c r="F20" s="91">
        <v>5</v>
      </c>
      <c r="G20" s="91">
        <v>1</v>
      </c>
      <c r="H20" s="91">
        <v>10</v>
      </c>
    </row>
    <row r="21" spans="2:33" x14ac:dyDescent="0.2">
      <c r="B21" s="36" t="s">
        <v>108</v>
      </c>
      <c r="C21" s="91">
        <v>1</v>
      </c>
      <c r="D21" s="91">
        <v>0</v>
      </c>
      <c r="E21" s="91">
        <v>1</v>
      </c>
      <c r="F21" s="91">
        <v>5</v>
      </c>
      <c r="G21" s="91">
        <v>1</v>
      </c>
      <c r="H21" s="91">
        <v>10</v>
      </c>
    </row>
    <row r="22" spans="2:33" x14ac:dyDescent="0.2">
      <c r="B22" s="37" t="s">
        <v>109</v>
      </c>
      <c r="C22" s="91">
        <v>1</v>
      </c>
      <c r="D22" s="91">
        <v>0</v>
      </c>
      <c r="E22" s="91">
        <v>1</v>
      </c>
      <c r="F22" s="91">
        <v>5</v>
      </c>
      <c r="G22" s="91">
        <v>1</v>
      </c>
      <c r="H22" s="91">
        <v>10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 x14ac:dyDescent="0.2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 x14ac:dyDescent="0.2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 x14ac:dyDescent="0.2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 x14ac:dyDescent="0.2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 x14ac:dyDescent="0.2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 x14ac:dyDescent="0.2">
      <c r="D28" s="45">
        <f>basic_info!$D$5-5</f>
        <v>2008</v>
      </c>
      <c r="E28" s="49"/>
      <c r="F28" s="45">
        <f>basic_info!$D$5-4</f>
        <v>2009</v>
      </c>
      <c r="G28" s="49"/>
      <c r="H28" s="45">
        <f>basic_info!$D$5-3</f>
        <v>2010</v>
      </c>
      <c r="I28" s="49"/>
      <c r="J28" s="45">
        <f>basic_info!$D$5-2</f>
        <v>2011</v>
      </c>
      <c r="K28" s="49"/>
      <c r="L28" s="45">
        <f>basic_info!$D$5-1</f>
        <v>2012</v>
      </c>
      <c r="N28" s="45">
        <f>basic_info!$D$5</f>
        <v>2013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 x14ac:dyDescent="0.2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 x14ac:dyDescent="0.2">
      <c r="B30" s="41" t="s">
        <v>112</v>
      </c>
      <c r="C30" s="36">
        <f>basic_info!$D$5</f>
        <v>2013</v>
      </c>
      <c r="D30" s="44">
        <v>0.77419792761206629</v>
      </c>
      <c r="E30" s="35">
        <v>400000</v>
      </c>
      <c r="F30" s="47">
        <v>0.75988620984963406</v>
      </c>
      <c r="G30" s="46">
        <v>400000</v>
      </c>
      <c r="H30" s="47">
        <v>0.70400269357188838</v>
      </c>
      <c r="I30" s="46"/>
      <c r="J30" s="47">
        <v>0.75933230319260714</v>
      </c>
      <c r="K30" s="46"/>
      <c r="L30" s="47">
        <v>0.79110236905498132</v>
      </c>
      <c r="M30" s="46"/>
      <c r="N30" s="60"/>
      <c r="O30" s="71" t="s">
        <v>162</v>
      </c>
      <c r="P30" s="41">
        <f>M30+K30+I30+E30+G30</f>
        <v>800000</v>
      </c>
      <c r="Q30" s="70"/>
    </row>
    <row r="31" spans="2:33" x14ac:dyDescent="0.2">
      <c r="B31" s="36"/>
      <c r="C31" s="47">
        <f>basic_info!$D$5+1</f>
        <v>2014</v>
      </c>
      <c r="D31" s="76"/>
      <c r="E31" s="75"/>
      <c r="F31" s="69">
        <v>0.72473765751123431</v>
      </c>
      <c r="G31" s="79">
        <v>400000</v>
      </c>
      <c r="H31" s="61">
        <v>0.71441382370859263</v>
      </c>
      <c r="I31" s="62">
        <v>400000</v>
      </c>
      <c r="J31" s="61">
        <v>0.69091416758853352</v>
      </c>
      <c r="K31" s="62"/>
      <c r="L31" s="61">
        <v>0.75192074042674273</v>
      </c>
      <c r="M31" s="62"/>
      <c r="N31" s="63">
        <v>0.91028405278760516</v>
      </c>
      <c r="O31" s="89"/>
      <c r="P31" s="63">
        <f>O31+M31+K31+I31+G31</f>
        <v>800000</v>
      </c>
    </row>
    <row r="32" spans="2:33" x14ac:dyDescent="0.2">
      <c r="B32" s="36"/>
      <c r="C32" s="47">
        <f>basic_info!$D$5+2</f>
        <v>2015</v>
      </c>
      <c r="D32" s="76"/>
      <c r="E32" s="75"/>
      <c r="F32" s="75"/>
      <c r="G32" s="75"/>
      <c r="H32" s="69">
        <v>0.67398288510441784</v>
      </c>
      <c r="I32" s="79">
        <v>400000</v>
      </c>
      <c r="J32" s="61">
        <v>0.7025784495475329</v>
      </c>
      <c r="K32" s="62">
        <v>400000</v>
      </c>
      <c r="L32" s="61">
        <v>0.75974471053693216</v>
      </c>
      <c r="M32" s="62"/>
      <c r="N32" s="63">
        <v>0.84022986680849976</v>
      </c>
      <c r="O32" s="89"/>
      <c r="P32" s="63">
        <f>O32+M32+K32+I32</f>
        <v>800000</v>
      </c>
    </row>
    <row r="33" spans="2:17" x14ac:dyDescent="0.2">
      <c r="B33" s="36"/>
      <c r="C33" s="47">
        <f>basic_info!$D$5+3</f>
        <v>2016</v>
      </c>
      <c r="D33" s="76"/>
      <c r="E33" s="75"/>
      <c r="F33" s="75"/>
      <c r="G33" s="75"/>
      <c r="H33" s="75"/>
      <c r="I33" s="75"/>
      <c r="J33" s="69">
        <v>0.71552384896278387</v>
      </c>
      <c r="K33" s="79">
        <v>400000</v>
      </c>
      <c r="L33" s="61">
        <v>0.73352858177408109</v>
      </c>
      <c r="M33" s="62">
        <v>400000</v>
      </c>
      <c r="N33" s="63">
        <v>0.80596927418180841</v>
      </c>
      <c r="O33" s="89"/>
      <c r="P33" s="63">
        <f>O33+M33+K33</f>
        <v>800000</v>
      </c>
    </row>
    <row r="34" spans="2:17" x14ac:dyDescent="0.2">
      <c r="B34" s="36"/>
      <c r="C34" s="47">
        <f>basic_info!$D$5+4</f>
        <v>2017</v>
      </c>
      <c r="D34" s="76"/>
      <c r="E34" s="75"/>
      <c r="F34" s="75"/>
      <c r="G34" s="75"/>
      <c r="H34" s="75"/>
      <c r="I34" s="75"/>
      <c r="J34" s="75"/>
      <c r="K34" s="75"/>
      <c r="L34" s="69">
        <v>0.68859153167605403</v>
      </c>
      <c r="M34" s="79">
        <v>400000</v>
      </c>
      <c r="N34" s="63">
        <v>0.76378054147734653</v>
      </c>
      <c r="O34" s="89">
        <v>400000</v>
      </c>
      <c r="P34" s="63">
        <f>O34+M34</f>
        <v>800000</v>
      </c>
    </row>
    <row r="35" spans="2:17" x14ac:dyDescent="0.2">
      <c r="B35" s="37"/>
      <c r="C35" s="72">
        <f>basic_info!$D$5+5</f>
        <v>2018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0.71205421746969233</v>
      </c>
      <c r="O35" s="89">
        <v>400000</v>
      </c>
      <c r="P35" s="65">
        <f>O35</f>
        <v>400000</v>
      </c>
    </row>
    <row r="36" spans="2:17" x14ac:dyDescent="0.2">
      <c r="B36" s="41" t="s">
        <v>113</v>
      </c>
      <c r="C36" s="36">
        <f>basic_info!$D$5</f>
        <v>2013</v>
      </c>
      <c r="D36" s="44">
        <v>0.87400841210782521</v>
      </c>
      <c r="E36" s="35">
        <v>300000</v>
      </c>
      <c r="F36" s="73">
        <v>0.98773074448833686</v>
      </c>
      <c r="G36" s="74">
        <v>300000</v>
      </c>
      <c r="H36" s="73">
        <v>1.0158087168858814</v>
      </c>
      <c r="I36" s="74">
        <v>300000</v>
      </c>
      <c r="J36" s="73">
        <v>1.1144936542893142</v>
      </c>
      <c r="K36" s="74">
        <v>300000</v>
      </c>
      <c r="L36" s="66">
        <v>1.1730117703794187</v>
      </c>
      <c r="M36" s="67">
        <v>600000</v>
      </c>
      <c r="N36" s="68"/>
      <c r="O36" s="71" t="s">
        <v>162</v>
      </c>
      <c r="P36" s="41">
        <f>M36+K36+I36+E36+G36</f>
        <v>1800000</v>
      </c>
      <c r="Q36" s="70"/>
    </row>
    <row r="37" spans="2:17" x14ac:dyDescent="0.2">
      <c r="B37" s="36"/>
      <c r="C37" s="47">
        <f>basic_info!$D$5+1</f>
        <v>2014</v>
      </c>
      <c r="D37" s="76"/>
      <c r="E37" s="75"/>
      <c r="F37" s="69">
        <v>0.97905324764549728</v>
      </c>
      <c r="G37" s="79">
        <v>300000</v>
      </c>
      <c r="H37" s="61">
        <v>1.004390797006619</v>
      </c>
      <c r="I37" s="62">
        <v>300000</v>
      </c>
      <c r="J37" s="61">
        <v>1.1358391365953338</v>
      </c>
      <c r="K37" s="62">
        <v>300000</v>
      </c>
      <c r="L37" s="61">
        <v>1.114568040022595</v>
      </c>
      <c r="M37" s="62">
        <v>300000</v>
      </c>
      <c r="N37" s="61">
        <v>1.101552478630456</v>
      </c>
      <c r="O37" s="89">
        <v>600000</v>
      </c>
      <c r="P37" s="63">
        <f>O37+M37+K37+I37+G37</f>
        <v>1800000</v>
      </c>
    </row>
    <row r="38" spans="2:17" x14ac:dyDescent="0.2">
      <c r="B38" s="36"/>
      <c r="C38" s="47">
        <f>basic_info!$D$5+2</f>
        <v>2015</v>
      </c>
      <c r="D38" s="76"/>
      <c r="E38" s="75"/>
      <c r="F38" s="75"/>
      <c r="G38" s="75"/>
      <c r="H38" s="69">
        <v>0.92318454591929922</v>
      </c>
      <c r="I38" s="79">
        <v>300000</v>
      </c>
      <c r="J38" s="61">
        <v>1.0932932166591005</v>
      </c>
      <c r="K38" s="62">
        <v>300000</v>
      </c>
      <c r="L38" s="61">
        <v>1.0797159727823964</v>
      </c>
      <c r="M38" s="62">
        <v>300000</v>
      </c>
      <c r="N38" s="61">
        <v>1.0226750667195514</v>
      </c>
      <c r="O38" s="89">
        <v>300000</v>
      </c>
      <c r="P38" s="63">
        <f>O38+M38+K38+I38</f>
        <v>1200000</v>
      </c>
    </row>
    <row r="39" spans="2:17" x14ac:dyDescent="0.2">
      <c r="B39" s="36"/>
      <c r="C39" s="47">
        <f>basic_info!$D$5+3</f>
        <v>2016</v>
      </c>
      <c r="D39" s="76"/>
      <c r="E39" s="75"/>
      <c r="F39" s="75"/>
      <c r="G39" s="75"/>
      <c r="H39" s="75"/>
      <c r="I39" s="75"/>
      <c r="J39" s="69">
        <v>1.023757758513093</v>
      </c>
      <c r="K39" s="79">
        <v>300000</v>
      </c>
      <c r="L39" s="61">
        <v>1.057380701748182</v>
      </c>
      <c r="M39" s="62">
        <v>300000</v>
      </c>
      <c r="N39" s="61">
        <v>1.0326319130993309</v>
      </c>
      <c r="O39" s="89">
        <v>300000</v>
      </c>
      <c r="P39" s="63">
        <f>O39+M39+K39</f>
        <v>900000</v>
      </c>
    </row>
    <row r="40" spans="2:17" x14ac:dyDescent="0.2">
      <c r="B40" s="36"/>
      <c r="C40" s="47">
        <f>basic_info!$D$5+4</f>
        <v>2017</v>
      </c>
      <c r="D40" s="76"/>
      <c r="E40" s="75"/>
      <c r="F40" s="75"/>
      <c r="G40" s="75"/>
      <c r="H40" s="75"/>
      <c r="I40" s="75"/>
      <c r="J40" s="75"/>
      <c r="K40" s="75"/>
      <c r="L40" s="69">
        <v>0.96417330466210838</v>
      </c>
      <c r="M40" s="79">
        <v>300000</v>
      </c>
      <c r="N40" s="61">
        <v>1.0068793309599473</v>
      </c>
      <c r="O40" s="89">
        <v>300000</v>
      </c>
      <c r="P40" s="63">
        <f>O40+M40</f>
        <v>600000</v>
      </c>
    </row>
    <row r="41" spans="2:17" x14ac:dyDescent="0.2">
      <c r="B41" s="37"/>
      <c r="C41" s="72">
        <f>basic_info!$D$5+5</f>
        <v>2018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0.98247019918262957</v>
      </c>
      <c r="O41" s="89">
        <v>300000</v>
      </c>
      <c r="P41" s="64">
        <f>O41</f>
        <v>300000</v>
      </c>
    </row>
    <row r="42" spans="2:17" x14ac:dyDescent="0.2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 x14ac:dyDescent="0.2">
      <c r="B44" s="30" t="s">
        <v>153</v>
      </c>
    </row>
    <row r="45" spans="2:17" x14ac:dyDescent="0.2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 x14ac:dyDescent="0.2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 x14ac:dyDescent="0.2">
      <c r="B47" s="41" t="s">
        <v>112</v>
      </c>
      <c r="C47" s="92">
        <v>9</v>
      </c>
      <c r="D47" s="92">
        <v>8</v>
      </c>
      <c r="E47" s="92">
        <v>8</v>
      </c>
      <c r="F47" s="92">
        <v>9</v>
      </c>
      <c r="G47" s="92">
        <v>8</v>
      </c>
      <c r="H47" s="92">
        <v>8</v>
      </c>
      <c r="I47" s="92">
        <v>9</v>
      </c>
      <c r="J47" s="92">
        <v>8</v>
      </c>
      <c r="K47" s="92">
        <v>8</v>
      </c>
      <c r="L47" s="92">
        <v>9</v>
      </c>
      <c r="M47" s="92">
        <v>8</v>
      </c>
      <c r="N47" s="92">
        <v>8</v>
      </c>
      <c r="O47" s="33">
        <f>SUM(C47:N47)</f>
        <v>100</v>
      </c>
    </row>
    <row r="48" spans="2:17" x14ac:dyDescent="0.2">
      <c r="B48" s="37" t="s">
        <v>113</v>
      </c>
      <c r="C48" s="92">
        <v>9</v>
      </c>
      <c r="D48" s="92">
        <v>8</v>
      </c>
      <c r="E48" s="92">
        <v>8</v>
      </c>
      <c r="F48" s="92">
        <v>9</v>
      </c>
      <c r="G48" s="92">
        <v>8</v>
      </c>
      <c r="H48" s="92">
        <v>8</v>
      </c>
      <c r="I48" s="92">
        <v>9</v>
      </c>
      <c r="J48" s="92">
        <v>8</v>
      </c>
      <c r="K48" s="92">
        <v>8</v>
      </c>
      <c r="L48" s="92">
        <v>9</v>
      </c>
      <c r="M48" s="92">
        <v>8</v>
      </c>
      <c r="N48" s="92">
        <v>8</v>
      </c>
      <c r="O48" s="33">
        <f>SUM(C48:N48)</f>
        <v>100</v>
      </c>
    </row>
    <row r="49" spans="2:15" x14ac:dyDescent="0.2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Eo+V3xNrAYrEftUluF6L5GsebRd0JD/+MDnbWir+hmqE+mnPFVZHZAkGOhnSPTJ7z3dwR3axqqss1fSZmaIiaQ==" saltValue="zN/31umZNHjUO9HKiz8Dx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X63"/>
  <sheetViews>
    <sheetView showGridLines="0" workbookViewId="0">
      <selection activeCell="C36" sqref="C36:N37"/>
    </sheetView>
  </sheetViews>
  <sheetFormatPr defaultRowHeight="12.75" x14ac:dyDescent="0.2"/>
  <cols>
    <col min="1" max="1" width="4.7109375" style="29" customWidth="1"/>
    <col min="2" max="2" width="17.28515625" style="29" customWidth="1"/>
    <col min="3" max="16384" width="9.140625" style="29"/>
  </cols>
  <sheetData>
    <row r="2" spans="2:16" x14ac:dyDescent="0.2">
      <c r="B2" s="28" t="s">
        <v>114</v>
      </c>
    </row>
    <row r="3" spans="2:16" x14ac:dyDescent="0.2">
      <c r="B3" s="30" t="s">
        <v>144</v>
      </c>
    </row>
    <row r="4" spans="2:16" x14ac:dyDescent="0.2">
      <c r="B4" s="48"/>
      <c r="C4" s="48"/>
      <c r="D4" s="48"/>
      <c r="E4" s="48"/>
      <c r="F4" s="48"/>
      <c r="G4" s="48"/>
      <c r="H4" s="49"/>
      <c r="I4" s="49"/>
      <c r="J4" s="49"/>
      <c r="K4" s="49"/>
      <c r="L4" s="49"/>
      <c r="M4" s="49"/>
    </row>
    <row r="5" spans="2:16" x14ac:dyDescent="0.2">
      <c r="B5" s="45" t="s">
        <v>115</v>
      </c>
      <c r="C5" s="45" t="s">
        <v>5</v>
      </c>
      <c r="D5" s="45" t="s">
        <v>12</v>
      </c>
      <c r="E5" s="45" t="s">
        <v>22</v>
      </c>
      <c r="F5" s="45" t="s">
        <v>59</v>
      </c>
      <c r="G5" s="45" t="s">
        <v>150</v>
      </c>
      <c r="H5" s="50"/>
      <c r="I5" s="50"/>
      <c r="J5" s="50"/>
      <c r="K5" s="50"/>
      <c r="L5" s="50"/>
      <c r="M5" s="50"/>
      <c r="N5" s="50"/>
      <c r="O5" s="50"/>
      <c r="P5" s="50"/>
    </row>
    <row r="6" spans="2:16" x14ac:dyDescent="0.2">
      <c r="B6" s="45" t="s">
        <v>163</v>
      </c>
      <c r="C6" s="93">
        <v>6.083281169442694</v>
      </c>
      <c r="D6" s="93">
        <v>21.322558656143194</v>
      </c>
      <c r="E6" s="93">
        <v>43.576000000000001</v>
      </c>
      <c r="F6" s="93">
        <v>29.018160174414106</v>
      </c>
      <c r="G6" s="97">
        <f>SUM($C$6:$F$6)</f>
        <v>100</v>
      </c>
      <c r="H6" s="49"/>
      <c r="I6" s="49"/>
      <c r="J6" s="49"/>
      <c r="K6" s="49"/>
      <c r="L6" s="49"/>
      <c r="M6" s="49"/>
      <c r="N6" s="50"/>
      <c r="O6" s="50"/>
      <c r="P6" s="50"/>
    </row>
    <row r="7" spans="2:16" x14ac:dyDescent="0.2">
      <c r="B7" s="45" t="s">
        <v>105</v>
      </c>
      <c r="C7" s="93"/>
      <c r="D7" s="93"/>
      <c r="E7" s="93">
        <v>5.2536970999885284</v>
      </c>
      <c r="F7" s="93">
        <v>65.472999999999999</v>
      </c>
      <c r="G7" s="97">
        <f>SUM($C$7:$F$7)</f>
        <v>70.726697099988527</v>
      </c>
      <c r="H7" s="49"/>
      <c r="I7" s="49"/>
      <c r="J7" s="49"/>
      <c r="K7" s="49"/>
      <c r="L7" s="49"/>
      <c r="M7" s="49"/>
      <c r="N7" s="50"/>
      <c r="O7" s="50"/>
      <c r="P7" s="50"/>
    </row>
    <row r="8" spans="2:16" x14ac:dyDescent="0.2">
      <c r="B8" s="45" t="s">
        <v>106</v>
      </c>
      <c r="C8" s="93"/>
      <c r="D8" s="93"/>
      <c r="E8" s="93">
        <v>41.02235616894972</v>
      </c>
      <c r="F8" s="93">
        <v>45.665999999999997</v>
      </c>
      <c r="G8" s="97">
        <f>SUM($C$8:$F$8)</f>
        <v>86.688356168949724</v>
      </c>
      <c r="H8" s="49"/>
      <c r="I8" s="49"/>
      <c r="J8" s="49"/>
      <c r="K8" s="49"/>
      <c r="L8" s="49"/>
      <c r="M8" s="49"/>
      <c r="N8" s="50"/>
      <c r="O8" s="50"/>
      <c r="P8" s="50"/>
    </row>
    <row r="9" spans="2:16" x14ac:dyDescent="0.2">
      <c r="B9" s="45" t="s">
        <v>107</v>
      </c>
      <c r="C9" s="93">
        <v>100</v>
      </c>
      <c r="D9" s="93"/>
      <c r="E9" s="93"/>
      <c r="F9" s="93"/>
      <c r="G9" s="97">
        <f>SUM($C$9:$F$9)</f>
        <v>100</v>
      </c>
      <c r="H9" s="49"/>
      <c r="I9" s="49"/>
      <c r="J9" s="49"/>
      <c r="K9" s="49"/>
      <c r="L9" s="49"/>
      <c r="M9" s="49"/>
      <c r="N9" s="50"/>
      <c r="O9" s="50"/>
      <c r="P9" s="50"/>
    </row>
    <row r="10" spans="2:16" x14ac:dyDescent="0.2">
      <c r="B10" s="45" t="s">
        <v>108</v>
      </c>
      <c r="C10" s="93">
        <v>100</v>
      </c>
      <c r="D10" s="93"/>
      <c r="E10" s="93"/>
      <c r="F10" s="93"/>
      <c r="G10" s="97">
        <f>SUM($C$10:$F$10)</f>
        <v>100</v>
      </c>
      <c r="H10" s="49"/>
      <c r="I10" s="49"/>
      <c r="J10" s="49"/>
      <c r="K10" s="49"/>
      <c r="L10" s="49"/>
      <c r="M10" s="49"/>
      <c r="N10" s="50"/>
      <c r="O10" s="50"/>
      <c r="P10" s="50"/>
    </row>
    <row r="11" spans="2:16" x14ac:dyDescent="0.2">
      <c r="B11" s="45" t="s">
        <v>109</v>
      </c>
      <c r="C11" s="94">
        <v>100</v>
      </c>
      <c r="D11" s="94"/>
      <c r="E11" s="94"/>
      <c r="F11" s="94"/>
      <c r="G11" s="96">
        <f>SUM($C$11:$F$11)</f>
        <v>100</v>
      </c>
      <c r="H11" s="49"/>
      <c r="I11" s="49"/>
      <c r="J11" s="49"/>
      <c r="K11" s="49"/>
      <c r="L11" s="49"/>
      <c r="M11" s="49"/>
      <c r="N11" s="50"/>
      <c r="O11" s="50"/>
      <c r="P11" s="50"/>
    </row>
    <row r="12" spans="2:16" x14ac:dyDescent="0.2">
      <c r="B12" s="51"/>
      <c r="C12" s="51"/>
      <c r="D12" s="51"/>
      <c r="E12" s="51"/>
      <c r="F12" s="51"/>
      <c r="G12" s="51"/>
      <c r="H12" s="49"/>
      <c r="I12" s="49"/>
      <c r="J12" s="49"/>
      <c r="K12" s="49"/>
      <c r="L12" s="49"/>
      <c r="M12" s="49"/>
      <c r="N12" s="50"/>
      <c r="O12" s="50"/>
      <c r="P12" s="50"/>
    </row>
    <row r="13" spans="2:16" x14ac:dyDescent="0.2">
      <c r="C13" s="49"/>
      <c r="D13" s="49"/>
      <c r="E13" s="49"/>
      <c r="F13" s="49"/>
      <c r="G13" s="49"/>
      <c r="H13" s="49"/>
      <c r="I13" s="50"/>
      <c r="J13" s="50"/>
      <c r="K13" s="50"/>
    </row>
    <row r="14" spans="2:16" x14ac:dyDescent="0.2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6" x14ac:dyDescent="0.2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6" x14ac:dyDescent="0.2">
      <c r="B16" s="31"/>
      <c r="C16" s="31"/>
      <c r="D16" s="31"/>
      <c r="E16" s="31"/>
      <c r="F16" s="31"/>
      <c r="G16" s="50"/>
      <c r="H16" s="50"/>
      <c r="I16" s="50"/>
      <c r="J16" s="50"/>
      <c r="M16" s="50"/>
      <c r="N16" s="50"/>
      <c r="O16" s="50"/>
    </row>
    <row r="17" spans="2:16" x14ac:dyDescent="0.2">
      <c r="B17" s="45" t="s">
        <v>118</v>
      </c>
      <c r="C17" s="45" t="s">
        <v>5</v>
      </c>
      <c r="D17" s="45"/>
      <c r="E17" s="45" t="s">
        <v>12</v>
      </c>
      <c r="F17" s="45"/>
      <c r="G17" s="50"/>
      <c r="H17" s="50"/>
      <c r="I17" s="50"/>
      <c r="J17" s="50"/>
      <c r="M17" s="50"/>
      <c r="N17" s="50"/>
      <c r="O17" s="50"/>
    </row>
    <row r="18" spans="2:16" x14ac:dyDescent="0.2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50"/>
      <c r="H18" s="50"/>
      <c r="I18" s="50"/>
      <c r="J18" s="50"/>
      <c r="K18" s="50"/>
      <c r="M18" s="50"/>
      <c r="N18" s="50"/>
      <c r="O18" s="50"/>
    </row>
    <row r="19" spans="2:16" x14ac:dyDescent="0.2">
      <c r="B19" s="45" t="s">
        <v>120</v>
      </c>
      <c r="C19" s="94">
        <v>100</v>
      </c>
      <c r="D19" s="44">
        <f>100-$C$19</f>
        <v>0</v>
      </c>
      <c r="E19" s="94">
        <v>100</v>
      </c>
      <c r="F19" s="33">
        <f>100-$E$19</f>
        <v>0</v>
      </c>
      <c r="M19" s="50"/>
      <c r="N19" s="50"/>
      <c r="O19" s="50"/>
    </row>
    <row r="20" spans="2:16" x14ac:dyDescent="0.2">
      <c r="B20" s="54"/>
      <c r="C20" s="54"/>
      <c r="D20" s="54"/>
      <c r="E20" s="54"/>
      <c r="F20" s="54"/>
      <c r="G20" s="50"/>
      <c r="H20" s="50"/>
      <c r="I20" s="50"/>
      <c r="J20" s="50"/>
      <c r="M20" s="50"/>
      <c r="N20" s="50"/>
      <c r="O20" s="50"/>
    </row>
    <row r="21" spans="2:16" x14ac:dyDescent="0.2">
      <c r="I21" s="50"/>
      <c r="J21" s="50"/>
      <c r="K21" s="50"/>
    </row>
    <row r="22" spans="2:16" x14ac:dyDescent="0.2">
      <c r="B22" s="52" t="s">
        <v>114</v>
      </c>
      <c r="I22" s="50"/>
      <c r="J22" s="50"/>
      <c r="K22" s="50"/>
    </row>
    <row r="23" spans="2:16" x14ac:dyDescent="0.2">
      <c r="B23" s="55" t="s">
        <v>145</v>
      </c>
      <c r="I23" s="50"/>
      <c r="J23" s="50"/>
      <c r="K23" s="50"/>
    </row>
    <row r="24" spans="2:16" x14ac:dyDescent="0.2">
      <c r="B24" s="31"/>
      <c r="C24" s="31"/>
      <c r="D24" s="31"/>
      <c r="E24" s="31"/>
      <c r="F24" s="31"/>
      <c r="G24" s="31"/>
      <c r="N24" s="50"/>
      <c r="O24" s="50"/>
      <c r="P24" s="50"/>
    </row>
    <row r="25" spans="2:16" x14ac:dyDescent="0.2">
      <c r="B25" s="45" t="s">
        <v>121</v>
      </c>
      <c r="C25" s="45" t="s">
        <v>122</v>
      </c>
      <c r="D25" s="45" t="s">
        <v>5</v>
      </c>
      <c r="E25" s="45"/>
      <c r="F25" s="45" t="s">
        <v>12</v>
      </c>
      <c r="G25" s="45"/>
      <c r="N25" s="50"/>
      <c r="O25" s="50"/>
      <c r="P25" s="50"/>
    </row>
    <row r="26" spans="2:16" x14ac:dyDescent="0.2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N26" s="50"/>
      <c r="O26" s="50"/>
      <c r="P26" s="50"/>
    </row>
    <row r="27" spans="2:16" x14ac:dyDescent="0.2">
      <c r="B27" s="45" t="s">
        <v>22</v>
      </c>
      <c r="C27" s="93">
        <v>10.386729968289858</v>
      </c>
      <c r="D27" s="93">
        <v>100</v>
      </c>
      <c r="E27" s="93">
        <v>100</v>
      </c>
      <c r="F27" s="93"/>
      <c r="G27" s="95">
        <v>100</v>
      </c>
      <c r="N27" s="50"/>
      <c r="O27" s="50"/>
      <c r="P27" s="50"/>
    </row>
    <row r="28" spans="2:16" x14ac:dyDescent="0.2">
      <c r="B28" s="45" t="s">
        <v>59</v>
      </c>
      <c r="C28" s="93">
        <v>89.613270031710144</v>
      </c>
      <c r="D28" s="93"/>
      <c r="E28" s="93"/>
      <c r="F28" s="93">
        <v>100</v>
      </c>
      <c r="G28" s="95"/>
      <c r="N28" s="50"/>
      <c r="O28" s="50"/>
      <c r="P28" s="50"/>
    </row>
    <row r="29" spans="2:16" x14ac:dyDescent="0.2">
      <c r="B29" s="45" t="s">
        <v>150</v>
      </c>
      <c r="C29" s="98">
        <f>SUM($C$27:$C$28)</f>
        <v>100</v>
      </c>
      <c r="D29" s="98">
        <f>SUM($D$27:$D$28)</f>
        <v>100</v>
      </c>
      <c r="E29" s="98">
        <f>SUM($E$27:$E$28)</f>
        <v>100</v>
      </c>
      <c r="F29" s="98">
        <f>SUM($F$27:$F$28)</f>
        <v>100</v>
      </c>
      <c r="G29" s="96">
        <f>SUM($G$27:$G$28)</f>
        <v>100</v>
      </c>
      <c r="N29" s="50"/>
      <c r="O29" s="50"/>
      <c r="P29" s="50"/>
    </row>
    <row r="30" spans="2:16" x14ac:dyDescent="0.2">
      <c r="B30" s="54"/>
      <c r="C30" s="54"/>
      <c r="D30" s="54"/>
      <c r="E30" s="54"/>
      <c r="F30" s="54"/>
      <c r="G30" s="54"/>
      <c r="N30" s="50"/>
      <c r="O30" s="50"/>
      <c r="P30" s="50"/>
    </row>
    <row r="31" spans="2:16" x14ac:dyDescent="0.2">
      <c r="I31" s="50"/>
      <c r="J31" s="50"/>
      <c r="K31" s="50"/>
    </row>
    <row r="32" spans="2:16" x14ac:dyDescent="0.2">
      <c r="B32" s="52" t="s">
        <v>124</v>
      </c>
      <c r="C32" s="50"/>
      <c r="D32" s="50"/>
      <c r="E32" s="50"/>
      <c r="F32" s="50"/>
      <c r="G32" s="50"/>
      <c r="H32" s="50"/>
      <c r="I32" s="50"/>
      <c r="J32" s="50"/>
      <c r="K32" s="50"/>
    </row>
    <row r="33" spans="2:14" x14ac:dyDescent="0.2">
      <c r="B33" s="53" t="s">
        <v>143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 x14ac:dyDescent="0.2">
      <c r="B34" s="32"/>
      <c r="C34" s="32"/>
      <c r="D34" s="32"/>
      <c r="E34" s="32"/>
      <c r="F34" s="32"/>
      <c r="G34" s="32"/>
      <c r="H34" s="32"/>
      <c r="I34" s="32"/>
      <c r="J34" s="32"/>
      <c r="K34" s="32"/>
      <c r="L34" s="32"/>
      <c r="M34" s="32"/>
      <c r="N34" s="32"/>
    </row>
    <row r="35" spans="2:14" x14ac:dyDescent="0.2">
      <c r="B35" s="45" t="s">
        <v>147</v>
      </c>
      <c r="C35" s="45" t="s">
        <v>92</v>
      </c>
      <c r="D35" s="45" t="s">
        <v>93</v>
      </c>
      <c r="E35" s="45" t="s">
        <v>94</v>
      </c>
      <c r="F35" s="45" t="s">
        <v>95</v>
      </c>
      <c r="G35" s="45" t="s">
        <v>96</v>
      </c>
      <c r="H35" s="45" t="s">
        <v>97</v>
      </c>
      <c r="I35" s="45" t="s">
        <v>98</v>
      </c>
      <c r="J35" s="45" t="s">
        <v>99</v>
      </c>
      <c r="K35" s="45" t="s">
        <v>100</v>
      </c>
      <c r="L35" s="45" t="s">
        <v>101</v>
      </c>
      <c r="M35" s="45" t="s">
        <v>102</v>
      </c>
      <c r="N35" s="45" t="s">
        <v>103</v>
      </c>
    </row>
    <row r="36" spans="2:14" x14ac:dyDescent="0.2">
      <c r="B36" s="45" t="s">
        <v>22</v>
      </c>
      <c r="C36" s="93">
        <v>27.54034748087782</v>
      </c>
      <c r="D36" s="93">
        <v>27.54034748087782</v>
      </c>
      <c r="E36" s="93">
        <v>27.54034748087782</v>
      </c>
      <c r="F36" s="93">
        <v>27.54034748087782</v>
      </c>
      <c r="G36" s="93">
        <v>27.54034748087782</v>
      </c>
      <c r="H36" s="93">
        <v>27.54034748087782</v>
      </c>
      <c r="I36" s="93">
        <v>27.54034748087782</v>
      </c>
      <c r="J36" s="93">
        <v>27.54034748087782</v>
      </c>
      <c r="K36" s="93">
        <v>27.54034748087782</v>
      </c>
      <c r="L36" s="93">
        <v>27.54034748087782</v>
      </c>
      <c r="M36" s="93">
        <v>27.54034748087782</v>
      </c>
      <c r="N36" s="95">
        <v>27.54034748087782</v>
      </c>
    </row>
    <row r="37" spans="2:14" x14ac:dyDescent="0.2">
      <c r="B37" s="45" t="s">
        <v>59</v>
      </c>
      <c r="C37" s="94">
        <v>43.062944370491799</v>
      </c>
      <c r="D37" s="94">
        <v>43.06294437049182</v>
      </c>
      <c r="E37" s="94">
        <v>43.06294437049182</v>
      </c>
      <c r="F37" s="94">
        <v>43.06294437049182</v>
      </c>
      <c r="G37" s="94">
        <v>43.06294437049182</v>
      </c>
      <c r="H37" s="94">
        <v>43.06294437049182</v>
      </c>
      <c r="I37" s="94">
        <v>43.06294437049182</v>
      </c>
      <c r="J37" s="94">
        <v>43.06294437049182</v>
      </c>
      <c r="K37" s="94">
        <v>43.06294437049182</v>
      </c>
      <c r="L37" s="94">
        <v>43.06294437049182</v>
      </c>
      <c r="M37" s="94">
        <v>43.06294437049182</v>
      </c>
      <c r="N37" s="89">
        <v>43.062944370491799</v>
      </c>
    </row>
    <row r="38" spans="2:14" x14ac:dyDescent="0.2">
      <c r="B38" s="32"/>
      <c r="C38" s="32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</row>
    <row r="39" spans="2:14" x14ac:dyDescent="0.2">
      <c r="I39" s="50"/>
      <c r="J39" s="50"/>
      <c r="K39" s="50"/>
    </row>
    <row r="40" spans="2:14" x14ac:dyDescent="0.2"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2:14" x14ac:dyDescent="0.2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2:14" x14ac:dyDescent="0.2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 x14ac:dyDescent="0.2">
      <c r="B43" s="56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 x14ac:dyDescent="0.2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 x14ac:dyDescent="0.2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 x14ac:dyDescent="0.2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 x14ac:dyDescent="0.2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9" spans="9:24" x14ac:dyDescent="0.2">
      <c r="P49" s="50"/>
      <c r="Q49" s="50"/>
      <c r="R49" s="50"/>
      <c r="S49" s="50"/>
      <c r="T49" s="50"/>
      <c r="U49" s="50"/>
      <c r="V49" s="50"/>
      <c r="W49" s="50"/>
      <c r="X49" s="50"/>
    </row>
    <row r="61" spans="9:24" x14ac:dyDescent="0.2">
      <c r="I61" s="50"/>
      <c r="J61" s="50"/>
    </row>
    <row r="62" spans="9:24" x14ac:dyDescent="0.2">
      <c r="I62" s="50"/>
      <c r="J62" s="50"/>
    </row>
    <row r="63" spans="9:24" x14ac:dyDescent="0.2">
      <c r="I63" s="50"/>
      <c r="J63" s="50"/>
    </row>
  </sheetData>
  <sheetProtection algorithmName="SHA-512" hashValue="hETW3mF4iyyVDO2FhEHwk1+jXGElAryUYvBXXRbOVqso0M6X9yzpqYDmIOZCLgO6dH4WNvo0OtO0hrED8WRMiw==" saltValue="QWl5ByEq9zr60CdtNkwYBQ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F11 C19 E19 C27:G28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6:N37">
      <formula1>0</formula1>
      <formula2>100</formula2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O41"/>
  <sheetViews>
    <sheetView showGridLines="0" tabSelected="1" workbookViewId="0">
      <selection activeCell="D33" sqref="D33:O39"/>
    </sheetView>
  </sheetViews>
  <sheetFormatPr defaultRowHeight="12.75" x14ac:dyDescent="0.2"/>
  <cols>
    <col min="1" max="2" width="4.7109375" style="29" customWidth="1"/>
    <col min="3" max="3" width="12.7109375" style="29" customWidth="1"/>
    <col min="4" max="15" width="8.7109375" style="29" customWidth="1"/>
    <col min="16" max="16384" width="9.140625" style="29"/>
  </cols>
  <sheetData>
    <row r="2" spans="2:15" x14ac:dyDescent="0.2">
      <c r="C2" s="28" t="s">
        <v>158</v>
      </c>
    </row>
    <row r="3" spans="2:15" x14ac:dyDescent="0.2">
      <c r="C3" s="30" t="s">
        <v>138</v>
      </c>
    </row>
    <row r="4" spans="2:15" x14ac:dyDescent="0.2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 x14ac:dyDescent="0.2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 x14ac:dyDescent="0.2">
      <c r="C6" s="41" t="s">
        <v>126</v>
      </c>
      <c r="D6" s="89">
        <v>3.5401107557824121</v>
      </c>
      <c r="E6" s="89">
        <v>3.0866490383141914</v>
      </c>
      <c r="F6" s="89">
        <v>2.0425745579542873</v>
      </c>
      <c r="G6" s="89">
        <v>1.5097802616059544</v>
      </c>
      <c r="H6" s="89">
        <v>2.2544977000022342</v>
      </c>
      <c r="I6" s="89">
        <v>2.0720950008824257</v>
      </c>
      <c r="J6" s="89">
        <v>2.2817240912740289</v>
      </c>
      <c r="K6" s="89">
        <v>1.4989342804667465</v>
      </c>
      <c r="L6" s="89">
        <v>1.5805613663944622</v>
      </c>
      <c r="M6" s="89">
        <v>2.216419652611787</v>
      </c>
      <c r="N6" s="89">
        <v>3.2261209327634366</v>
      </c>
      <c r="O6" s="89">
        <v>2.5661590282298228</v>
      </c>
    </row>
    <row r="7" spans="2:15" x14ac:dyDescent="0.2">
      <c r="C7" s="36" t="s">
        <v>127</v>
      </c>
      <c r="D7" s="89">
        <v>3.0160419047256171</v>
      </c>
      <c r="E7" s="89">
        <v>2.577329618192568</v>
      </c>
      <c r="F7" s="89">
        <v>1.0669700035519627</v>
      </c>
      <c r="G7" s="89">
        <v>2.5283076723151825</v>
      </c>
      <c r="H7" s="89">
        <v>2.414846545862634</v>
      </c>
      <c r="I7" s="89">
        <v>2.9149669232989908</v>
      </c>
      <c r="J7" s="89">
        <v>2.9669780644560984</v>
      </c>
      <c r="K7" s="89">
        <v>3.2243762206312505</v>
      </c>
      <c r="L7" s="89">
        <v>2.4730195117405405</v>
      </c>
      <c r="M7" s="89">
        <v>1.0396990163290549</v>
      </c>
      <c r="N7" s="89">
        <v>1.2054983144424616</v>
      </c>
      <c r="O7" s="89">
        <v>2.6870462430545214</v>
      </c>
    </row>
    <row r="8" spans="2:15" x14ac:dyDescent="0.2">
      <c r="C8" s="36" t="s">
        <v>128</v>
      </c>
      <c r="D8" s="89">
        <v>3.2720500813632576</v>
      </c>
      <c r="E8" s="89">
        <v>2.0358293843456581</v>
      </c>
      <c r="F8" s="89">
        <v>1.832522483816265</v>
      </c>
      <c r="G8" s="89">
        <v>1.6841095069388858</v>
      </c>
      <c r="H8" s="89">
        <v>2.6401218223632448</v>
      </c>
      <c r="I8" s="89">
        <v>1.3904802756160539</v>
      </c>
      <c r="J8" s="89">
        <v>2.5229472615590147</v>
      </c>
      <c r="K8" s="89">
        <v>2.1028230460036692</v>
      </c>
      <c r="L8" s="89">
        <v>2.4415337078919359</v>
      </c>
      <c r="M8" s="89">
        <v>3.3394861361336563</v>
      </c>
      <c r="N8" s="89">
        <v>1.6837892240758507</v>
      </c>
      <c r="O8" s="89">
        <v>1.8067546412964322</v>
      </c>
    </row>
    <row r="9" spans="2:15" x14ac:dyDescent="0.2">
      <c r="C9" s="36" t="s">
        <v>129</v>
      </c>
      <c r="D9" s="89">
        <v>3.3481814843067896</v>
      </c>
      <c r="E9" s="89">
        <v>3.3616993082083844</v>
      </c>
      <c r="F9" s="89">
        <v>1.1611691003267832</v>
      </c>
      <c r="G9" s="89">
        <v>2.3585674365475677</v>
      </c>
      <c r="H9" s="89">
        <v>1.9457557577174169</v>
      </c>
      <c r="I9" s="89">
        <v>3.5949442094316582</v>
      </c>
      <c r="J9" s="89">
        <v>3.3035095003274888</v>
      </c>
      <c r="K9" s="89">
        <v>3.0277023159566467</v>
      </c>
      <c r="L9" s="89">
        <v>2.27769048247543</v>
      </c>
      <c r="M9" s="89">
        <v>3.5928442854912919</v>
      </c>
      <c r="N9" s="89">
        <v>1.1121168654666862</v>
      </c>
      <c r="O9" s="89">
        <v>2.6121289837272026</v>
      </c>
    </row>
    <row r="10" spans="2:15" x14ac:dyDescent="0.2">
      <c r="C10" s="36" t="s">
        <v>130</v>
      </c>
      <c r="D10" s="89">
        <v>1.3416993422749979</v>
      </c>
      <c r="E10" s="89">
        <v>1.3352506207725445</v>
      </c>
      <c r="F10" s="89">
        <v>1.7539008724129923</v>
      </c>
      <c r="G10" s="89">
        <v>1.9326898699972155</v>
      </c>
      <c r="H10" s="89">
        <v>1.4086545888607007</v>
      </c>
      <c r="I10" s="89">
        <v>1.2179255933894499</v>
      </c>
      <c r="J10" s="89">
        <v>3.2874189944365741</v>
      </c>
      <c r="K10" s="89">
        <v>3.496112498287272</v>
      </c>
      <c r="L10" s="89">
        <v>3.0839652534945952</v>
      </c>
      <c r="M10" s="89">
        <v>1.4709137942223942</v>
      </c>
      <c r="N10" s="89">
        <v>3.5552775175666294</v>
      </c>
      <c r="O10" s="89">
        <v>2.8391615957447023</v>
      </c>
    </row>
    <row r="11" spans="2:15" x14ac:dyDescent="0.2">
      <c r="C11" s="36" t="s">
        <v>131</v>
      </c>
      <c r="D11" s="89">
        <v>3.2235412241886898</v>
      </c>
      <c r="E11" s="89">
        <v>2.5088639914852076</v>
      </c>
      <c r="F11" s="89">
        <v>2.4933314064885845</v>
      </c>
      <c r="G11" s="89">
        <v>1.9653088629980706</v>
      </c>
      <c r="H11" s="89">
        <v>2.1535739145181081</v>
      </c>
      <c r="I11" s="89">
        <v>1.6084083376277387</v>
      </c>
      <c r="J11" s="89">
        <v>3.3211234111159595</v>
      </c>
      <c r="K11" s="89">
        <v>2.2540319040785404</v>
      </c>
      <c r="L11" s="89">
        <v>1.7044894611840145</v>
      </c>
      <c r="M11" s="89">
        <v>2.4036405372574077</v>
      </c>
      <c r="N11" s="89">
        <v>3.170107741726615</v>
      </c>
      <c r="O11" s="89">
        <v>3.5969794204568308</v>
      </c>
    </row>
    <row r="12" spans="2:15" x14ac:dyDescent="0.2">
      <c r="C12" s="37" t="s">
        <v>132</v>
      </c>
      <c r="D12" s="89">
        <v>1.9306537140339839</v>
      </c>
      <c r="E12" s="89">
        <v>1.3411483074904007</v>
      </c>
      <c r="F12" s="89">
        <v>1.8428000118433827</v>
      </c>
      <c r="G12" s="89">
        <v>2.6980786015421709</v>
      </c>
      <c r="H12" s="89">
        <v>2.4302417800566989</v>
      </c>
      <c r="I12" s="89">
        <v>3.4375413664251657</v>
      </c>
      <c r="J12" s="89">
        <v>2.4366815762116736</v>
      </c>
      <c r="K12" s="89">
        <v>2.3754439532201115</v>
      </c>
      <c r="L12" s="89">
        <v>3.3448877420710383</v>
      </c>
      <c r="M12" s="89">
        <v>2.3044296745022876</v>
      </c>
      <c r="N12" s="89">
        <v>2.9793412366894891</v>
      </c>
      <c r="O12" s="89">
        <v>2.3717726595584896</v>
      </c>
    </row>
    <row r="13" spans="2:15" x14ac:dyDescent="0.2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 x14ac:dyDescent="0.2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 x14ac:dyDescent="0.2">
      <c r="C15" s="41" t="s">
        <v>126</v>
      </c>
      <c r="D15" s="89">
        <v>2.1423922664137827</v>
      </c>
      <c r="E15" s="89">
        <v>1.2959737081562266</v>
      </c>
      <c r="F15" s="89">
        <v>3.5093205755151611</v>
      </c>
      <c r="G15" s="89">
        <v>1.8893285296821496</v>
      </c>
      <c r="H15" s="89">
        <v>3.1800718760351678</v>
      </c>
      <c r="I15" s="89">
        <v>1.5276780015697191</v>
      </c>
      <c r="J15" s="89">
        <v>2.930932956523967</v>
      </c>
      <c r="K15" s="89">
        <v>1.2702074599376625</v>
      </c>
      <c r="L15" s="89">
        <v>1.1416289654748526</v>
      </c>
      <c r="M15" s="89">
        <v>2.502000560169372</v>
      </c>
      <c r="N15" s="89">
        <v>2.2433452690124587</v>
      </c>
      <c r="O15" s="89">
        <v>2.4806244344205108</v>
      </c>
    </row>
    <row r="16" spans="2:15" x14ac:dyDescent="0.2">
      <c r="C16" s="36" t="s">
        <v>127</v>
      </c>
      <c r="D16" s="89">
        <v>2.2865117065980165</v>
      </c>
      <c r="E16" s="89">
        <v>3.0761910197565059</v>
      </c>
      <c r="F16" s="89">
        <v>2.4960875030395639</v>
      </c>
      <c r="G16" s="89">
        <v>3.1991040414541492</v>
      </c>
      <c r="H16" s="89">
        <v>2.8857673355193594</v>
      </c>
      <c r="I16" s="89">
        <v>3.0443464227413393</v>
      </c>
      <c r="J16" s="89">
        <v>1.3456213599957256</v>
      </c>
      <c r="K16" s="89">
        <v>3.3919724880584301</v>
      </c>
      <c r="L16" s="89">
        <v>3.3790947562983744</v>
      </c>
      <c r="M16" s="89">
        <v>3.5811399847769736</v>
      </c>
      <c r="N16" s="89">
        <v>1.1094794708596598</v>
      </c>
      <c r="O16" s="89">
        <v>1.0692730221713473</v>
      </c>
    </row>
    <row r="17" spans="2:15" x14ac:dyDescent="0.2">
      <c r="C17" s="36" t="s">
        <v>128</v>
      </c>
      <c r="D17" s="89">
        <v>1.0788786625191176</v>
      </c>
      <c r="E17" s="89">
        <v>2.2721731118917017</v>
      </c>
      <c r="F17" s="89">
        <v>3.0574798357731323</v>
      </c>
      <c r="G17" s="89">
        <v>2.2958365369359113</v>
      </c>
      <c r="H17" s="89">
        <v>2.7570912823939633</v>
      </c>
      <c r="I17" s="89">
        <v>1.0668847852520229</v>
      </c>
      <c r="J17" s="89">
        <v>2.2601603494241473</v>
      </c>
      <c r="K17" s="89">
        <v>2.669586198940419</v>
      </c>
      <c r="L17" s="89">
        <v>2.1450136303637786</v>
      </c>
      <c r="M17" s="89">
        <v>2.4793391192375878</v>
      </c>
      <c r="N17" s="89">
        <v>1.4204240343151104</v>
      </c>
      <c r="O17" s="89">
        <v>2.712643707032234</v>
      </c>
    </row>
    <row r="18" spans="2:15" x14ac:dyDescent="0.2">
      <c r="C18" s="36" t="s">
        <v>129</v>
      </c>
      <c r="D18" s="89">
        <v>1.3835672502273226</v>
      </c>
      <c r="E18" s="89">
        <v>2.7028707261349787</v>
      </c>
      <c r="F18" s="89">
        <v>3.1000405462825742</v>
      </c>
      <c r="G18" s="89">
        <v>3.4949707335807902</v>
      </c>
      <c r="H18" s="89">
        <v>1.8749962584289994</v>
      </c>
      <c r="I18" s="89">
        <v>1.9188799859974224</v>
      </c>
      <c r="J18" s="89">
        <v>2.5019798483326054</v>
      </c>
      <c r="K18" s="89">
        <v>2.0151653889620613</v>
      </c>
      <c r="L18" s="89">
        <v>2.2846261511393617</v>
      </c>
      <c r="M18" s="89">
        <v>1.7180567366634927</v>
      </c>
      <c r="N18" s="89">
        <v>2.0513096013951486</v>
      </c>
      <c r="O18" s="89">
        <v>2.5064896845577045</v>
      </c>
    </row>
    <row r="19" spans="2:15" x14ac:dyDescent="0.2">
      <c r="C19" s="36" t="s">
        <v>130</v>
      </c>
      <c r="D19" s="89">
        <v>2.4481388348452615</v>
      </c>
      <c r="E19" s="89">
        <v>2.0795706203110265</v>
      </c>
      <c r="F19" s="89">
        <v>2.5652036431920093</v>
      </c>
      <c r="G19" s="89">
        <v>2.9158347897502108</v>
      </c>
      <c r="H19" s="89">
        <v>3.0710718566563453</v>
      </c>
      <c r="I19" s="89">
        <v>1.2000993673182372</v>
      </c>
      <c r="J19" s="89">
        <v>3.5922344922753524</v>
      </c>
      <c r="K19" s="89">
        <v>1.6879011638920716</v>
      </c>
      <c r="L19" s="89">
        <v>3.4060127533766189</v>
      </c>
      <c r="M19" s="89">
        <v>2.7432400487020749</v>
      </c>
      <c r="N19" s="89">
        <v>3.3272437246062925</v>
      </c>
      <c r="O19" s="89">
        <v>2.939922517314876</v>
      </c>
    </row>
    <row r="20" spans="2:15" x14ac:dyDescent="0.2">
      <c r="C20" s="36" t="s">
        <v>131</v>
      </c>
      <c r="D20" s="89">
        <v>2.5202521749674869</v>
      </c>
      <c r="E20" s="89">
        <v>1.3808439918572899</v>
      </c>
      <c r="F20" s="89">
        <v>1.1011229947331305</v>
      </c>
      <c r="G20" s="89">
        <v>1.9522744955143283</v>
      </c>
      <c r="H20" s="89">
        <v>1.0829019951720367</v>
      </c>
      <c r="I20" s="89">
        <v>2.5534038917684678</v>
      </c>
      <c r="J20" s="89">
        <v>1.8387053206685755</v>
      </c>
      <c r="K20" s="89">
        <v>1.9701652116922515</v>
      </c>
      <c r="L20" s="89">
        <v>1.3432783498834751</v>
      </c>
      <c r="M20" s="89">
        <v>2.2832360520965835</v>
      </c>
      <c r="N20" s="89">
        <v>1.5738627939776226</v>
      </c>
      <c r="O20" s="89">
        <v>3.0035498619010346</v>
      </c>
    </row>
    <row r="21" spans="2:15" x14ac:dyDescent="0.2">
      <c r="C21" s="37" t="s">
        <v>132</v>
      </c>
      <c r="D21" s="89">
        <v>1.523161942607183</v>
      </c>
      <c r="E21" s="89">
        <v>1.5765459432553641</v>
      </c>
      <c r="F21" s="89">
        <v>1.125551303557855</v>
      </c>
      <c r="G21" s="89">
        <v>3.1444666663550289</v>
      </c>
      <c r="H21" s="89">
        <v>1.7809949061086936</v>
      </c>
      <c r="I21" s="89">
        <v>1.5824089613355521</v>
      </c>
      <c r="J21" s="89">
        <v>2.4698312790256471</v>
      </c>
      <c r="K21" s="89">
        <v>1.9989693662389258</v>
      </c>
      <c r="L21" s="89">
        <v>1.6170734003709328</v>
      </c>
      <c r="M21" s="89">
        <v>1.1110926313550673</v>
      </c>
      <c r="N21" s="89">
        <v>2.850805197393981</v>
      </c>
      <c r="O21" s="89">
        <v>1.6003034673895813</v>
      </c>
    </row>
    <row r="22" spans="2:15" x14ac:dyDescent="0.2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 x14ac:dyDescent="0.2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 x14ac:dyDescent="0.2">
      <c r="C24" s="41" t="s">
        <v>126</v>
      </c>
      <c r="D24" s="89">
        <v>1.2206516357600274</v>
      </c>
      <c r="E24" s="89">
        <v>1.3714544667884601</v>
      </c>
      <c r="F24" s="89">
        <v>2.7552347249175</v>
      </c>
      <c r="G24" s="89">
        <v>2.7885856838248344</v>
      </c>
      <c r="H24" s="89">
        <v>3.467193370747248</v>
      </c>
      <c r="I24" s="89">
        <v>3.2283519102753608</v>
      </c>
      <c r="J24" s="89">
        <v>1.4311211175710743</v>
      </c>
      <c r="K24" s="89">
        <v>1.6180686186673001</v>
      </c>
      <c r="L24" s="89">
        <v>3.1456053248251239</v>
      </c>
      <c r="M24" s="89">
        <v>1.1306978906525669</v>
      </c>
      <c r="N24" s="89">
        <v>2.2926476135213787</v>
      </c>
      <c r="O24" s="89">
        <v>2.9631187635881258</v>
      </c>
    </row>
    <row r="25" spans="2:15" x14ac:dyDescent="0.2">
      <c r="C25" s="36" t="s">
        <v>127</v>
      </c>
      <c r="D25" s="89">
        <v>2.2096391736669734</v>
      </c>
      <c r="E25" s="89">
        <v>2.130761357750822</v>
      </c>
      <c r="F25" s="89">
        <v>2.6128792132735152</v>
      </c>
      <c r="G25" s="89">
        <v>3.0532780177232861</v>
      </c>
      <c r="H25" s="89">
        <v>3.1895991674839075</v>
      </c>
      <c r="I25" s="89">
        <v>3.2161853331933155</v>
      </c>
      <c r="J25" s="89">
        <v>3.2373553954434597</v>
      </c>
      <c r="K25" s="89">
        <v>2.152089867755282</v>
      </c>
      <c r="L25" s="89">
        <v>2.5557028878312575</v>
      </c>
      <c r="M25" s="89">
        <v>2.1555457712079629</v>
      </c>
      <c r="N25" s="89">
        <v>1.2154733357085707</v>
      </c>
      <c r="O25" s="89">
        <v>1.6159866373174063</v>
      </c>
    </row>
    <row r="26" spans="2:15" x14ac:dyDescent="0.2">
      <c r="C26" s="36" t="s">
        <v>128</v>
      </c>
      <c r="D26" s="89">
        <v>1.3164541109964643</v>
      </c>
      <c r="E26" s="89">
        <v>1.5582073342365836</v>
      </c>
      <c r="F26" s="89">
        <v>2.7996430007556441</v>
      </c>
      <c r="G26" s="89">
        <v>2.7994719173804663</v>
      </c>
      <c r="H26" s="89">
        <v>2.9585740496124471</v>
      </c>
      <c r="I26" s="89">
        <v>3.5645209906211326</v>
      </c>
      <c r="J26" s="89">
        <v>2.9624610396165392</v>
      </c>
      <c r="K26" s="89">
        <v>1.1547218944448647</v>
      </c>
      <c r="L26" s="89">
        <v>2.0708154474179166</v>
      </c>
      <c r="M26" s="89">
        <v>3.2689630709562301</v>
      </c>
      <c r="N26" s="89">
        <v>1.8138677610983156</v>
      </c>
      <c r="O26" s="89">
        <v>2.4519797922569224</v>
      </c>
    </row>
    <row r="27" spans="2:15" x14ac:dyDescent="0.2">
      <c r="C27" s="36" t="s">
        <v>129</v>
      </c>
      <c r="D27" s="89">
        <v>1.8702664130756488</v>
      </c>
      <c r="E27" s="89">
        <v>1.5309626200591353</v>
      </c>
      <c r="F27" s="89">
        <v>1.9437225280309898</v>
      </c>
      <c r="G27" s="89">
        <v>3.3503757994513346</v>
      </c>
      <c r="H27" s="89">
        <v>3.1501048962872962</v>
      </c>
      <c r="I27" s="89">
        <v>2.8385865897347009</v>
      </c>
      <c r="J27" s="89">
        <v>1.2712012608218206</v>
      </c>
      <c r="K27" s="89">
        <v>3.2361728838136852</v>
      </c>
      <c r="L27" s="89">
        <v>3.3060748115204874</v>
      </c>
      <c r="M27" s="89">
        <v>2.7790582888962656</v>
      </c>
      <c r="N27" s="89">
        <v>2.6099633720192159</v>
      </c>
      <c r="O27" s="89">
        <v>1.5381478243722138</v>
      </c>
    </row>
    <row r="28" spans="2:15" x14ac:dyDescent="0.2">
      <c r="C28" s="36" t="s">
        <v>130</v>
      </c>
      <c r="D28" s="89">
        <v>2.5533921656081988</v>
      </c>
      <c r="E28" s="89">
        <v>3.5302987118094626</v>
      </c>
      <c r="F28" s="89">
        <v>1.4312770534921639</v>
      </c>
      <c r="G28" s="89">
        <v>1.9955937081210235</v>
      </c>
      <c r="H28" s="89">
        <v>2.0613456795256031</v>
      </c>
      <c r="I28" s="89">
        <v>1.8023429996628828</v>
      </c>
      <c r="J28" s="89">
        <v>3.2843176896988671</v>
      </c>
      <c r="K28" s="89">
        <v>1.963967419711155</v>
      </c>
      <c r="L28" s="89">
        <v>2.8455451866143289</v>
      </c>
      <c r="M28" s="89">
        <v>2.9543354217756987</v>
      </c>
      <c r="N28" s="89">
        <v>1.9088348663720744</v>
      </c>
      <c r="O28" s="89">
        <v>3.1502299730053247</v>
      </c>
    </row>
    <row r="29" spans="2:15" x14ac:dyDescent="0.2">
      <c r="C29" s="36" t="s">
        <v>131</v>
      </c>
      <c r="D29" s="89">
        <v>3.3994657961999684</v>
      </c>
      <c r="E29" s="89">
        <v>1.7816323862202308</v>
      </c>
      <c r="F29" s="89">
        <v>1.2876461940788906</v>
      </c>
      <c r="G29" s="89">
        <v>2.4114962451256519</v>
      </c>
      <c r="H29" s="89">
        <v>2.0917861849523502</v>
      </c>
      <c r="I29" s="89">
        <v>3.0348945224808417</v>
      </c>
      <c r="J29" s="89">
        <v>2.6319743644809441</v>
      </c>
      <c r="K29" s="89">
        <v>1.7890205616054615</v>
      </c>
      <c r="L29" s="89">
        <v>1.2331075123680533</v>
      </c>
      <c r="M29" s="89">
        <v>1.4365534941982634</v>
      </c>
      <c r="N29" s="89">
        <v>2.2956659339676539</v>
      </c>
      <c r="O29" s="89">
        <v>3.2376576494768705</v>
      </c>
    </row>
    <row r="30" spans="2:15" x14ac:dyDescent="0.2">
      <c r="C30" s="37" t="s">
        <v>132</v>
      </c>
      <c r="D30" s="89">
        <v>3.1809669217580971</v>
      </c>
      <c r="E30" s="89">
        <v>2.7284420323669334</v>
      </c>
      <c r="F30" s="89">
        <v>2.5781866168748264</v>
      </c>
      <c r="G30" s="89">
        <v>1.3674683453887053</v>
      </c>
      <c r="H30" s="89">
        <v>3.4422890802135773</v>
      </c>
      <c r="I30" s="89">
        <v>1.5327150373059337</v>
      </c>
      <c r="J30" s="89">
        <v>1.8765758169181306</v>
      </c>
      <c r="K30" s="89">
        <v>1.6704470260914024</v>
      </c>
      <c r="L30" s="89">
        <v>1.9431954587992935</v>
      </c>
      <c r="M30" s="89">
        <v>1.8425072875737261</v>
      </c>
      <c r="N30" s="89">
        <v>2.0090355038332999</v>
      </c>
      <c r="O30" s="89">
        <v>1.0075979318978794</v>
      </c>
    </row>
    <row r="31" spans="2:15" x14ac:dyDescent="0.2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 x14ac:dyDescent="0.2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 x14ac:dyDescent="0.2">
      <c r="C33" s="41" t="s">
        <v>126</v>
      </c>
      <c r="D33" s="89">
        <v>3.3760294982479446</v>
      </c>
      <c r="E33" s="89">
        <v>3.4253846968196893</v>
      </c>
      <c r="F33" s="89">
        <v>2.6034116819278093</v>
      </c>
      <c r="G33" s="89">
        <v>1.4348121700821808</v>
      </c>
      <c r="H33" s="89">
        <v>3.2274956005272282</v>
      </c>
      <c r="I33" s="89">
        <v>2.042396599570854</v>
      </c>
      <c r="J33" s="89">
        <v>2.9035686550578768</v>
      </c>
      <c r="K33" s="89">
        <v>2.5703237292587993</v>
      </c>
      <c r="L33" s="89">
        <v>1.3686991517053695</v>
      </c>
      <c r="M33" s="89">
        <v>3.2578447691258487</v>
      </c>
      <c r="N33" s="89">
        <v>1.4445228057908266</v>
      </c>
      <c r="O33" s="89">
        <v>2.3813478682690454</v>
      </c>
    </row>
    <row r="34" spans="3:15" x14ac:dyDescent="0.2">
      <c r="C34" s="36" t="s">
        <v>127</v>
      </c>
      <c r="D34" s="89">
        <v>3.118735431508143</v>
      </c>
      <c r="E34" s="89">
        <v>1.5464434217571745</v>
      </c>
      <c r="F34" s="89">
        <v>3.0115390110209121</v>
      </c>
      <c r="G34" s="89">
        <v>3.1488275950938638</v>
      </c>
      <c r="H34" s="89">
        <v>1.9323589885335091</v>
      </c>
      <c r="I34" s="89">
        <v>1.3272864892485807</v>
      </c>
      <c r="J34" s="89">
        <v>3.297534381977687</v>
      </c>
      <c r="K34" s="89">
        <v>1.8755327819510141</v>
      </c>
      <c r="L34" s="89">
        <v>3.3377377765530212</v>
      </c>
      <c r="M34" s="89">
        <v>1.547754503169398</v>
      </c>
      <c r="N34" s="89">
        <v>1.4378090341002869</v>
      </c>
      <c r="O34" s="89">
        <v>1.5263871290321422</v>
      </c>
    </row>
    <row r="35" spans="3:15" x14ac:dyDescent="0.2">
      <c r="C35" s="36" t="s">
        <v>128</v>
      </c>
      <c r="D35" s="89">
        <v>2.2838047140847006</v>
      </c>
      <c r="E35" s="89">
        <v>1.0851180457970802</v>
      </c>
      <c r="F35" s="89">
        <v>3.2954896654731001</v>
      </c>
      <c r="G35" s="89">
        <v>1.1108600976439995</v>
      </c>
      <c r="H35" s="89">
        <v>1.2013070273376159</v>
      </c>
      <c r="I35" s="89">
        <v>1.7698368183637141</v>
      </c>
      <c r="J35" s="89">
        <v>3.0450982162038827</v>
      </c>
      <c r="K35" s="89">
        <v>1.2337242758602387</v>
      </c>
      <c r="L35" s="89">
        <v>1.5649223129852841</v>
      </c>
      <c r="M35" s="89">
        <v>2.5768169751174796</v>
      </c>
      <c r="N35" s="89">
        <v>3.2492683536586044</v>
      </c>
      <c r="O35" s="89">
        <v>3.0097353539530167</v>
      </c>
    </row>
    <row r="36" spans="3:15" x14ac:dyDescent="0.2">
      <c r="C36" s="36" t="s">
        <v>129</v>
      </c>
      <c r="D36" s="89">
        <v>2.6253456273204376</v>
      </c>
      <c r="E36" s="89">
        <v>1.3471314986391199</v>
      </c>
      <c r="F36" s="89">
        <v>3.1288152188637861</v>
      </c>
      <c r="G36" s="89">
        <v>2.340024855081134</v>
      </c>
      <c r="H36" s="89">
        <v>2.463524014569574</v>
      </c>
      <c r="I36" s="89">
        <v>3.0489756586371648</v>
      </c>
      <c r="J36" s="89">
        <v>2.442324699325868</v>
      </c>
      <c r="K36" s="89">
        <v>2.937060872736069</v>
      </c>
      <c r="L36" s="89">
        <v>3.3544191604689315</v>
      </c>
      <c r="M36" s="89">
        <v>1.0135233950377691</v>
      </c>
      <c r="N36" s="89">
        <v>1.5171581587424796</v>
      </c>
      <c r="O36" s="89">
        <v>3.304884034185577</v>
      </c>
    </row>
    <row r="37" spans="3:15" x14ac:dyDescent="0.2">
      <c r="C37" s="36" t="s">
        <v>130</v>
      </c>
      <c r="D37" s="89">
        <v>1.6465930582214463</v>
      </c>
      <c r="E37" s="89">
        <v>1.6115617594986456</v>
      </c>
      <c r="F37" s="89">
        <v>2.4693921386877529</v>
      </c>
      <c r="G37" s="89">
        <v>2.1243237894451701</v>
      </c>
      <c r="H37" s="89">
        <v>2.7544994928619415</v>
      </c>
      <c r="I37" s="89">
        <v>1.2260274717203097</v>
      </c>
      <c r="J37" s="89">
        <v>1.0298822189527004</v>
      </c>
      <c r="K37" s="89">
        <v>2.674691589523249</v>
      </c>
      <c r="L37" s="89">
        <v>2.8630117101511106</v>
      </c>
      <c r="M37" s="89">
        <v>2.7559133541589098</v>
      </c>
      <c r="N37" s="89">
        <v>1.4266672879717173</v>
      </c>
      <c r="O37" s="89">
        <v>3.0779060112625003</v>
      </c>
    </row>
    <row r="38" spans="3:15" x14ac:dyDescent="0.2">
      <c r="C38" s="36" t="s">
        <v>131</v>
      </c>
      <c r="D38" s="89">
        <v>2.5724665791131853</v>
      </c>
      <c r="E38" s="89">
        <v>2.2168704988526455</v>
      </c>
      <c r="F38" s="89">
        <v>2.2420335987829043</v>
      </c>
      <c r="G38" s="89">
        <v>1.5686253858330925</v>
      </c>
      <c r="H38" s="89">
        <v>3.3899873412607437</v>
      </c>
      <c r="I38" s="89">
        <v>1.191074466283667</v>
      </c>
      <c r="J38" s="89">
        <v>1.2378317999294992</v>
      </c>
      <c r="K38" s="89">
        <v>2.9696607094803325</v>
      </c>
      <c r="L38" s="89">
        <v>1.7465365974497717</v>
      </c>
      <c r="M38" s="89">
        <v>2.2586014799989482</v>
      </c>
      <c r="N38" s="89">
        <v>2.1951896361085375</v>
      </c>
      <c r="O38" s="89">
        <v>1.4427904325652297</v>
      </c>
    </row>
    <row r="39" spans="3:15" x14ac:dyDescent="0.2">
      <c r="C39" s="37" t="s">
        <v>132</v>
      </c>
      <c r="D39" s="89">
        <v>2.8632686550754531</v>
      </c>
      <c r="E39" s="89">
        <v>3.4895359268490398</v>
      </c>
      <c r="F39" s="89">
        <v>2.2230647085081294</v>
      </c>
      <c r="G39" s="89">
        <v>2.6986510770961152</v>
      </c>
      <c r="H39" s="89">
        <v>1.2657200697469402</v>
      </c>
      <c r="I39" s="89">
        <v>3.476158563206011</v>
      </c>
      <c r="J39" s="89">
        <v>2.3383225292310144</v>
      </c>
      <c r="K39" s="89">
        <v>2.1449784110078536</v>
      </c>
      <c r="L39" s="89">
        <v>3.0395580241272433</v>
      </c>
      <c r="M39" s="89">
        <v>2.0060353064683722</v>
      </c>
      <c r="N39" s="89">
        <v>3.4854130783453297</v>
      </c>
      <c r="O39" s="89">
        <v>3.2925298098746838</v>
      </c>
    </row>
    <row r="40" spans="3:15" x14ac:dyDescent="0.2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 x14ac:dyDescent="0.2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JGbnmvAdWjEa5aFW9T203jH+yPm7rfWkN6fs00nIYQCR3/YYSNtNTYzdPSiO0F1akCT1Ykz9gIZkpEPN0QlOUQ==" saltValue="LduB3is/l4y0UiUxcHWFPw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basic_info</vt:lpstr>
      <vt:lpstr>facilities</vt:lpstr>
      <vt:lpstr>raw_materials</vt:lpstr>
      <vt:lpstr>shipping_manufacturing</vt:lpstr>
      <vt:lpstr>pricing</vt:lpstr>
      <vt:lpstr>AddColumn1</vt:lpstr>
      <vt:lpstr>AddColumn2</vt:lpstr>
      <vt:lpstr>AddColumn3</vt:lpstr>
      <vt:lpstr>AddRow3</vt:lpstr>
      <vt:lpstr>AddRow4</vt:lpstr>
      <vt:lpstr>Table1</vt:lpstr>
      <vt:lpstr>Table2</vt:lpstr>
      <vt:lpstr>Table3</vt:lpstr>
      <vt:lpstr>Table4</vt:lpstr>
    </vt:vector>
  </TitlesOfParts>
  <Company>Princeton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hpsimao</cp:lastModifiedBy>
  <dcterms:created xsi:type="dcterms:W3CDTF">2003-07-09T21:14:27Z</dcterms:created>
  <dcterms:modified xsi:type="dcterms:W3CDTF">2016-10-10T15:33:30Z</dcterms:modified>
</cp:coreProperties>
</file>