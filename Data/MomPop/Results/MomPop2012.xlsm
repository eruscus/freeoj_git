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TeamFolders\MomPop\Results\"/>
    </mc:Choice>
  </mc:AlternateContent>
  <bookViews>
    <workbookView xWindow="0" yWindow="45" windowWidth="15480" windowHeight="1164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1" sheetId="18" r:id="rId8"/>
    <sheet name="P05" sheetId="17" r:id="rId9"/>
    <sheet name="P07" sheetId="16" r:id="rId10"/>
    <sheet name="S15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S42" i="20" l="1"/>
  <c r="S16" i="20"/>
  <c r="S15" i="20"/>
  <c r="S14" i="20"/>
  <c r="T19" i="20" s="1"/>
  <c r="H40" i="20"/>
  <c r="H39" i="20"/>
  <c r="S39" i="20" s="1"/>
  <c r="H38" i="20"/>
  <c r="H35" i="20"/>
  <c r="H34" i="20"/>
  <c r="H33" i="20"/>
  <c r="S36" i="20" s="1"/>
  <c r="H30" i="20"/>
  <c r="H29" i="20"/>
  <c r="H28" i="20"/>
  <c r="S40" i="20" s="1"/>
  <c r="H27" i="20"/>
  <c r="S37" i="20" s="1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42" i="16"/>
  <c r="AZ43" i="16"/>
  <c r="AZ53" i="16"/>
  <c r="AZ54" i="16"/>
  <c r="AZ42" i="17"/>
  <c r="AZ43" i="17"/>
  <c r="AZ53" i="17"/>
  <c r="AZ54" i="17"/>
  <c r="AZ42" i="18"/>
  <c r="AZ43" i="18"/>
  <c r="AZ53" i="18"/>
  <c r="AZ54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H10" i="20" s="1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S9" i="20" s="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S7" i="20" s="1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Y259" i="14"/>
  <c r="AZ14" i="14"/>
  <c r="AY181" i="14"/>
  <c r="AY179" i="14"/>
  <c r="AY177" i="14"/>
  <c r="AY260" i="14" s="1"/>
  <c r="AY175" i="14"/>
  <c r="AY14" i="14"/>
  <c r="AX259" i="14" s="1"/>
  <c r="AX181" i="14"/>
  <c r="AX179" i="14"/>
  <c r="AX177" i="14"/>
  <c r="AX175" i="14"/>
  <c r="AX260" i="14" s="1"/>
  <c r="AW259" i="14"/>
  <c r="AX14" i="14"/>
  <c r="AW181" i="14"/>
  <c r="AW179" i="14"/>
  <c r="AW177" i="14"/>
  <c r="AW175" i="14"/>
  <c r="AW14" i="14"/>
  <c r="AV259" i="14" s="1"/>
  <c r="AV181" i="14"/>
  <c r="AV179" i="14"/>
  <c r="AV177" i="14"/>
  <c r="AV175" i="14"/>
  <c r="AU259" i="14"/>
  <c r="AV14" i="14"/>
  <c r="AU181" i="14"/>
  <c r="AU179" i="14"/>
  <c r="AU260" i="14" s="1"/>
  <c r="AU177" i="14"/>
  <c r="AU175" i="14"/>
  <c r="AU14" i="14"/>
  <c r="AT259" i="14" s="1"/>
  <c r="AT181" i="14"/>
  <c r="AT179" i="14"/>
  <c r="AT177" i="14"/>
  <c r="AT175" i="14"/>
  <c r="AT260" i="14" s="1"/>
  <c r="AT14" i="14"/>
  <c r="AS259" i="14" s="1"/>
  <c r="AS181" i="14"/>
  <c r="AS179" i="14"/>
  <c r="AS177" i="14"/>
  <c r="AS175" i="14"/>
  <c r="AS260" i="14" s="1"/>
  <c r="AS14" i="14"/>
  <c r="AR259" i="14" s="1"/>
  <c r="AR181" i="14"/>
  <c r="AR179" i="14"/>
  <c r="AR177" i="14"/>
  <c r="AR175" i="14"/>
  <c r="AQ259" i="14"/>
  <c r="AR14" i="14"/>
  <c r="AQ181" i="14"/>
  <c r="AQ179" i="14"/>
  <c r="AQ177" i="14"/>
  <c r="AQ260" i="14" s="1"/>
  <c r="AQ175" i="14"/>
  <c r="AQ14" i="14"/>
  <c r="AP259" i="14" s="1"/>
  <c r="AP181" i="14"/>
  <c r="AP179" i="14"/>
  <c r="AP177" i="14"/>
  <c r="AP175" i="14"/>
  <c r="AP14" i="14"/>
  <c r="AO259" i="14" s="1"/>
  <c r="AO181" i="14"/>
  <c r="AO179" i="14"/>
  <c r="AO177" i="14"/>
  <c r="AO175" i="14"/>
  <c r="AO260" i="14" s="1"/>
  <c r="AO14" i="14"/>
  <c r="AN259" i="14" s="1"/>
  <c r="AN181" i="14"/>
  <c r="AN179" i="14"/>
  <c r="AN177" i="14"/>
  <c r="AN175" i="14"/>
  <c r="AM259" i="14"/>
  <c r="AN14" i="14"/>
  <c r="AM181" i="14"/>
  <c r="AM179" i="14"/>
  <c r="AM260" i="14" s="1"/>
  <c r="AM177" i="14"/>
  <c r="AM175" i="14"/>
  <c r="AL259" i="14"/>
  <c r="AM14" i="14"/>
  <c r="AL181" i="14"/>
  <c r="AL179" i="14"/>
  <c r="AL177" i="14"/>
  <c r="AL175" i="14"/>
  <c r="AL14" i="14"/>
  <c r="AK259" i="14" s="1"/>
  <c r="AK181" i="14"/>
  <c r="AK179" i="14"/>
  <c r="AK177" i="14"/>
  <c r="AK175" i="14"/>
  <c r="AK260" i="14" s="1"/>
  <c r="AK14" i="14"/>
  <c r="AJ259" i="14" s="1"/>
  <c r="AJ181" i="14"/>
  <c r="AJ179" i="14"/>
  <c r="AJ177" i="14"/>
  <c r="AJ175" i="14"/>
  <c r="AJ260" i="14" s="1"/>
  <c r="AI259" i="14"/>
  <c r="AJ14" i="14"/>
  <c r="AI181" i="14"/>
  <c r="AI179" i="14"/>
  <c r="AI177" i="14"/>
  <c r="AI260" i="14" s="1"/>
  <c r="AI175" i="14"/>
  <c r="AI14" i="14"/>
  <c r="AH259" i="14" s="1"/>
  <c r="AH181" i="14"/>
  <c r="AH179" i="14"/>
  <c r="AH177" i="14"/>
  <c r="AH175" i="14"/>
  <c r="AH14" i="14"/>
  <c r="AG259" i="14" s="1"/>
  <c r="AG181" i="14"/>
  <c r="AG179" i="14"/>
  <c r="AG177" i="14"/>
  <c r="AG175" i="14"/>
  <c r="AG260" i="14" s="1"/>
  <c r="AG14" i="14"/>
  <c r="AF259" i="14" s="1"/>
  <c r="AF181" i="14"/>
  <c r="AF179" i="14"/>
  <c r="AF177" i="14"/>
  <c r="AF175" i="14"/>
  <c r="AE259" i="14"/>
  <c r="AF14" i="14"/>
  <c r="AE181" i="14"/>
  <c r="AE179" i="14"/>
  <c r="AE177" i="14"/>
  <c r="AE260" i="14" s="1"/>
  <c r="AE175" i="14"/>
  <c r="AD259" i="14"/>
  <c r="AE14" i="14"/>
  <c r="AD181" i="14"/>
  <c r="AD179" i="14"/>
  <c r="AD177" i="14"/>
  <c r="AD175" i="14"/>
  <c r="AD14" i="14"/>
  <c r="AC259" i="14" s="1"/>
  <c r="AC181" i="14"/>
  <c r="AC179" i="14"/>
  <c r="AC177" i="14"/>
  <c r="AC175" i="14"/>
  <c r="AC260" i="14" s="1"/>
  <c r="AC14" i="14"/>
  <c r="AB259" i="14" s="1"/>
  <c r="AB181" i="14"/>
  <c r="AB179" i="14"/>
  <c r="AB177" i="14"/>
  <c r="AB175" i="14"/>
  <c r="AB260" i="14" s="1"/>
  <c r="AA259" i="14"/>
  <c r="AB14" i="14"/>
  <c r="AA181" i="14"/>
  <c r="AA179" i="14"/>
  <c r="AA177" i="14"/>
  <c r="AA260" i="14" s="1"/>
  <c r="AA175" i="14"/>
  <c r="AA14" i="14"/>
  <c r="Z259" i="14" s="1"/>
  <c r="Z181" i="14"/>
  <c r="Z179" i="14"/>
  <c r="Z177" i="14"/>
  <c r="Z175" i="14"/>
  <c r="Z260" i="14" s="1"/>
  <c r="Y259" i="14"/>
  <c r="Z14" i="14"/>
  <c r="Y181" i="14"/>
  <c r="Y179" i="14"/>
  <c r="Y177" i="14"/>
  <c r="Y175" i="14"/>
  <c r="Y14" i="14"/>
  <c r="X259" i="14" s="1"/>
  <c r="X181" i="14"/>
  <c r="X179" i="14"/>
  <c r="X177" i="14"/>
  <c r="X175" i="14"/>
  <c r="W259" i="14"/>
  <c r="X14" i="14"/>
  <c r="W181" i="14"/>
  <c r="W179" i="14"/>
  <c r="W177" i="14"/>
  <c r="W260" i="14" s="1"/>
  <c r="W175" i="14"/>
  <c r="W14" i="14"/>
  <c r="V259" i="14" s="1"/>
  <c r="V181" i="14"/>
  <c r="V179" i="14"/>
  <c r="V177" i="14"/>
  <c r="V175" i="14"/>
  <c r="V260" i="14" s="1"/>
  <c r="V14" i="14"/>
  <c r="U259" i="14" s="1"/>
  <c r="U181" i="14"/>
  <c r="U179" i="14"/>
  <c r="U177" i="14"/>
  <c r="U175" i="14"/>
  <c r="U260" i="14" s="1"/>
  <c r="U14" i="14"/>
  <c r="T259" i="14" s="1"/>
  <c r="T181" i="14"/>
  <c r="T179" i="14"/>
  <c r="T177" i="14"/>
  <c r="T175" i="14"/>
  <c r="S259" i="14"/>
  <c r="T14" i="14"/>
  <c r="S181" i="14"/>
  <c r="S179" i="14"/>
  <c r="S177" i="14"/>
  <c r="S260" i="14" s="1"/>
  <c r="S175" i="14"/>
  <c r="S14" i="14"/>
  <c r="R259" i="14" s="1"/>
  <c r="R181" i="14"/>
  <c r="R179" i="14"/>
  <c r="R177" i="14"/>
  <c r="R175" i="14"/>
  <c r="R260" i="14" s="1"/>
  <c r="Q259" i="14"/>
  <c r="R14" i="14"/>
  <c r="Q181" i="14"/>
  <c r="Q179" i="14"/>
  <c r="Q177" i="14"/>
  <c r="Q175" i="14"/>
  <c r="Q14" i="14"/>
  <c r="P259" i="14" s="1"/>
  <c r="P181" i="14"/>
  <c r="P179" i="14"/>
  <c r="P177" i="14"/>
  <c r="P175" i="14"/>
  <c r="O259" i="14"/>
  <c r="P14" i="14"/>
  <c r="O181" i="14"/>
  <c r="O179" i="14"/>
  <c r="O260" i="14" s="1"/>
  <c r="O177" i="14"/>
  <c r="O175" i="14"/>
  <c r="O14" i="14"/>
  <c r="N259" i="14" s="1"/>
  <c r="N181" i="14"/>
  <c r="N179" i="14"/>
  <c r="N177" i="14"/>
  <c r="N175" i="14"/>
  <c r="N260" i="14" s="1"/>
  <c r="N14" i="14"/>
  <c r="M259" i="14" s="1"/>
  <c r="M181" i="14"/>
  <c r="M179" i="14"/>
  <c r="M177" i="14"/>
  <c r="M175" i="14"/>
  <c r="M260" i="14" s="1"/>
  <c r="M14" i="14"/>
  <c r="L259" i="14" s="1"/>
  <c r="L181" i="14"/>
  <c r="L179" i="14"/>
  <c r="L177" i="14"/>
  <c r="L175" i="14"/>
  <c r="K259" i="14"/>
  <c r="L14" i="14"/>
  <c r="K181" i="14"/>
  <c r="K179" i="14"/>
  <c r="K177" i="14"/>
  <c r="K260" i="14" s="1"/>
  <c r="K175" i="14"/>
  <c r="K14" i="14"/>
  <c r="J259" i="14" s="1"/>
  <c r="J181" i="14"/>
  <c r="J179" i="14"/>
  <c r="J177" i="14"/>
  <c r="J175" i="14"/>
  <c r="J14" i="14"/>
  <c r="I259" i="14" s="1"/>
  <c r="I181" i="14"/>
  <c r="I179" i="14"/>
  <c r="I177" i="14"/>
  <c r="I175" i="14"/>
  <c r="I260" i="14" s="1"/>
  <c r="I14" i="14"/>
  <c r="H259" i="14" s="1"/>
  <c r="H181" i="14"/>
  <c r="H179" i="14"/>
  <c r="H177" i="14"/>
  <c r="H175" i="14"/>
  <c r="G259" i="14"/>
  <c r="H14" i="14"/>
  <c r="G181" i="14"/>
  <c r="G179" i="14"/>
  <c r="G260" i="14" s="1"/>
  <c r="G177" i="14"/>
  <c r="G175" i="14"/>
  <c r="F259" i="14"/>
  <c r="G14" i="14"/>
  <c r="F181" i="14"/>
  <c r="F179" i="14"/>
  <c r="F177" i="14"/>
  <c r="F175" i="14"/>
  <c r="F14" i="14"/>
  <c r="E259" i="14" s="1"/>
  <c r="E181" i="14"/>
  <c r="E179" i="14"/>
  <c r="E177" i="14"/>
  <c r="E175" i="14"/>
  <c r="E260" i="14" s="1"/>
  <c r="E14" i="14"/>
  <c r="D181" i="14"/>
  <c r="D179" i="14"/>
  <c r="D177" i="14"/>
  <c r="D175" i="14"/>
  <c r="D260" i="14" s="1"/>
  <c r="AY259" i="15"/>
  <c r="AZ14" i="15"/>
  <c r="AY181" i="15"/>
  <c r="AY179" i="15"/>
  <c r="AY177" i="15"/>
  <c r="AY260" i="15" s="1"/>
  <c r="AY175" i="15"/>
  <c r="AY14" i="15"/>
  <c r="AX259" i="15" s="1"/>
  <c r="AX181" i="15"/>
  <c r="AX179" i="15"/>
  <c r="AX177" i="15"/>
  <c r="AX175" i="15"/>
  <c r="AX14" i="15"/>
  <c r="AW259" i="15" s="1"/>
  <c r="AW181" i="15"/>
  <c r="AW179" i="15"/>
  <c r="AW177" i="15"/>
  <c r="AW175" i="15"/>
  <c r="AW260" i="15" s="1"/>
  <c r="AW14" i="15"/>
  <c r="AV259" i="15" s="1"/>
  <c r="AV181" i="15"/>
  <c r="AV179" i="15"/>
  <c r="AV177" i="15"/>
  <c r="AV175" i="15"/>
  <c r="AU259" i="15"/>
  <c r="AV14" i="15"/>
  <c r="AU181" i="15"/>
  <c r="AU179" i="15"/>
  <c r="AU177" i="15"/>
  <c r="AU260" i="15" s="1"/>
  <c r="AU175" i="15"/>
  <c r="AT259" i="15"/>
  <c r="AU14" i="15"/>
  <c r="AT181" i="15"/>
  <c r="AT179" i="15"/>
  <c r="AT177" i="15"/>
  <c r="AT175" i="15"/>
  <c r="AT14" i="15"/>
  <c r="AS259" i="15" s="1"/>
  <c r="AS181" i="15"/>
  <c r="AS179" i="15"/>
  <c r="AS177" i="15"/>
  <c r="AS175" i="15"/>
  <c r="AS260" i="15" s="1"/>
  <c r="AS14" i="15"/>
  <c r="AR259" i="15" s="1"/>
  <c r="AR181" i="15"/>
  <c r="AR179" i="15"/>
  <c r="AR177" i="15"/>
  <c r="AR175" i="15"/>
  <c r="AR260" i="15" s="1"/>
  <c r="AQ259" i="15"/>
  <c r="AR14" i="15"/>
  <c r="AQ181" i="15"/>
  <c r="AQ179" i="15"/>
  <c r="AQ177" i="15"/>
  <c r="AQ260" i="15" s="1"/>
  <c r="AQ175" i="15"/>
  <c r="AQ14" i="15"/>
  <c r="AP259" i="15" s="1"/>
  <c r="AP181" i="15"/>
  <c r="AP179" i="15"/>
  <c r="AP177" i="15"/>
  <c r="AP175" i="15"/>
  <c r="AP260" i="15" s="1"/>
  <c r="AO259" i="15"/>
  <c r="AP14" i="15"/>
  <c r="AO181" i="15"/>
  <c r="AO179" i="15"/>
  <c r="AO177" i="15"/>
  <c r="AO175" i="15"/>
  <c r="AO14" i="15"/>
  <c r="AN259" i="15" s="1"/>
  <c r="AN181" i="15"/>
  <c r="AN179" i="15"/>
  <c r="AN177" i="15"/>
  <c r="AN175" i="15"/>
  <c r="AM259" i="15"/>
  <c r="AN14" i="15"/>
  <c r="AM181" i="15"/>
  <c r="AM179" i="15"/>
  <c r="AM177" i="15"/>
  <c r="AM260" i="15" s="1"/>
  <c r="AM175" i="15"/>
  <c r="AM14" i="15"/>
  <c r="AL259" i="15" s="1"/>
  <c r="AL181" i="15"/>
  <c r="AL179" i="15"/>
  <c r="AL177" i="15"/>
  <c r="AL175" i="15"/>
  <c r="AL260" i="15" s="1"/>
  <c r="AL14" i="15"/>
  <c r="AK259" i="15" s="1"/>
  <c r="AK181" i="15"/>
  <c r="AK179" i="15"/>
  <c r="AK177" i="15"/>
  <c r="AK175" i="15"/>
  <c r="AK260" i="15" s="1"/>
  <c r="AK14" i="15"/>
  <c r="AJ259" i="15" s="1"/>
  <c r="AJ181" i="15"/>
  <c r="AJ179" i="15"/>
  <c r="AJ177" i="15"/>
  <c r="AJ175" i="15"/>
  <c r="AI259" i="15"/>
  <c r="AJ14" i="15"/>
  <c r="AI181" i="15"/>
  <c r="AI179" i="15"/>
  <c r="AI177" i="15"/>
  <c r="AI260" i="15" s="1"/>
  <c r="AI175" i="15"/>
  <c r="AI14" i="15"/>
  <c r="AH259" i="15" s="1"/>
  <c r="AH181" i="15"/>
  <c r="AH179" i="15"/>
  <c r="AH177" i="15"/>
  <c r="AH175" i="15"/>
  <c r="AH260" i="15" s="1"/>
  <c r="AG259" i="15"/>
  <c r="AH14" i="15"/>
  <c r="AG181" i="15"/>
  <c r="AG179" i="15"/>
  <c r="AG177" i="15"/>
  <c r="AG175" i="15"/>
  <c r="AG14" i="15"/>
  <c r="AF259" i="15" s="1"/>
  <c r="AF181" i="15"/>
  <c r="AF179" i="15"/>
  <c r="AF177" i="15"/>
  <c r="AF175" i="15"/>
  <c r="AE259" i="15"/>
  <c r="AF14" i="15"/>
  <c r="AE181" i="15"/>
  <c r="AE179" i="15"/>
  <c r="AE260" i="15" s="1"/>
  <c r="AE177" i="15"/>
  <c r="AE175" i="15"/>
  <c r="AE14" i="15"/>
  <c r="AD259" i="15" s="1"/>
  <c r="AD181" i="15"/>
  <c r="AD179" i="15"/>
  <c r="AD177" i="15"/>
  <c r="AD175" i="15"/>
  <c r="AD260" i="15" s="1"/>
  <c r="AD14" i="15"/>
  <c r="AC259" i="15" s="1"/>
  <c r="AC181" i="15"/>
  <c r="AC179" i="15"/>
  <c r="AC177" i="15"/>
  <c r="AC175" i="15"/>
  <c r="AC260" i="15" s="1"/>
  <c r="AC14" i="15"/>
  <c r="AB259" i="15" s="1"/>
  <c r="AB181" i="15"/>
  <c r="AB179" i="15"/>
  <c r="AB177" i="15"/>
  <c r="AB175" i="15"/>
  <c r="AA259" i="15"/>
  <c r="AB14" i="15"/>
  <c r="AA181" i="15"/>
  <c r="AA179" i="15"/>
  <c r="AA177" i="15"/>
  <c r="AA260" i="15" s="1"/>
  <c r="AA175" i="15"/>
  <c r="AA14" i="15"/>
  <c r="Z259" i="15" s="1"/>
  <c r="Z181" i="15"/>
  <c r="Z179" i="15"/>
  <c r="Z177" i="15"/>
  <c r="Z175" i="15"/>
  <c r="Z14" i="15"/>
  <c r="Y259" i="15" s="1"/>
  <c r="Y181" i="15"/>
  <c r="Y179" i="15"/>
  <c r="Y177" i="15"/>
  <c r="Y175" i="15"/>
  <c r="Y260" i="15" s="1"/>
  <c r="Y14" i="15"/>
  <c r="X259" i="15" s="1"/>
  <c r="X181" i="15"/>
  <c r="X179" i="15"/>
  <c r="X177" i="15"/>
  <c r="X175" i="15"/>
  <c r="W259" i="15"/>
  <c r="X14" i="15"/>
  <c r="W181" i="15"/>
  <c r="W179" i="15"/>
  <c r="W260" i="15" s="1"/>
  <c r="W177" i="15"/>
  <c r="W175" i="15"/>
  <c r="V259" i="15"/>
  <c r="W14" i="15"/>
  <c r="V181" i="15"/>
  <c r="V179" i="15"/>
  <c r="V177" i="15"/>
  <c r="V175" i="15"/>
  <c r="V14" i="15"/>
  <c r="U259" i="15" s="1"/>
  <c r="U181" i="15"/>
  <c r="U179" i="15"/>
  <c r="U177" i="15"/>
  <c r="U175" i="15"/>
  <c r="U260" i="15" s="1"/>
  <c r="U14" i="15"/>
  <c r="T259" i="15" s="1"/>
  <c r="T181" i="15"/>
  <c r="T179" i="15"/>
  <c r="T177" i="15"/>
  <c r="T175" i="15"/>
  <c r="T260" i="15" s="1"/>
  <c r="S259" i="15"/>
  <c r="T14" i="15"/>
  <c r="S181" i="15"/>
  <c r="S179" i="15"/>
  <c r="S177" i="15"/>
  <c r="S260" i="15" s="1"/>
  <c r="S175" i="15"/>
  <c r="S14" i="15"/>
  <c r="R259" i="15" s="1"/>
  <c r="R181" i="15"/>
  <c r="R179" i="15"/>
  <c r="R177" i="15"/>
  <c r="R175" i="15"/>
  <c r="R14" i="15"/>
  <c r="Q259" i="15" s="1"/>
  <c r="Q181" i="15"/>
  <c r="Q179" i="15"/>
  <c r="Q177" i="15"/>
  <c r="Q175" i="15"/>
  <c r="Q260" i="15" s="1"/>
  <c r="Q14" i="15"/>
  <c r="P259" i="15" s="1"/>
  <c r="P181" i="15"/>
  <c r="P179" i="15"/>
  <c r="P177" i="15"/>
  <c r="P175" i="15"/>
  <c r="O259" i="15"/>
  <c r="P14" i="15"/>
  <c r="O181" i="15"/>
  <c r="O179" i="15"/>
  <c r="O177" i="15"/>
  <c r="O260" i="15" s="1"/>
  <c r="O175" i="15"/>
  <c r="N259" i="15"/>
  <c r="O14" i="15"/>
  <c r="N181" i="15"/>
  <c r="N179" i="15"/>
  <c r="N177" i="15"/>
  <c r="N175" i="15"/>
  <c r="N14" i="15"/>
  <c r="M259" i="15" s="1"/>
  <c r="M181" i="15"/>
  <c r="M179" i="15"/>
  <c r="M177" i="15"/>
  <c r="M175" i="15"/>
  <c r="M260" i="15" s="1"/>
  <c r="M14" i="15"/>
  <c r="L259" i="15" s="1"/>
  <c r="L181" i="15"/>
  <c r="L179" i="15"/>
  <c r="L177" i="15"/>
  <c r="L175" i="15"/>
  <c r="L260" i="15" s="1"/>
  <c r="K259" i="15"/>
  <c r="L14" i="15"/>
  <c r="K181" i="15"/>
  <c r="K179" i="15"/>
  <c r="K177" i="15"/>
  <c r="K260" i="15" s="1"/>
  <c r="K175" i="15"/>
  <c r="K14" i="15"/>
  <c r="J259" i="15" s="1"/>
  <c r="J181" i="15"/>
  <c r="J179" i="15"/>
  <c r="J177" i="15"/>
  <c r="J175" i="15"/>
  <c r="J260" i="15" s="1"/>
  <c r="I259" i="15"/>
  <c r="J14" i="15"/>
  <c r="I181" i="15"/>
  <c r="I179" i="15"/>
  <c r="I177" i="15"/>
  <c r="I175" i="15"/>
  <c r="I14" i="15"/>
  <c r="H259" i="15" s="1"/>
  <c r="H181" i="15"/>
  <c r="H179" i="15"/>
  <c r="H177" i="15"/>
  <c r="H175" i="15"/>
  <c r="G259" i="15"/>
  <c r="H14" i="15"/>
  <c r="G181" i="15"/>
  <c r="G179" i="15"/>
  <c r="G177" i="15"/>
  <c r="G260" i="15" s="1"/>
  <c r="G175" i="15"/>
  <c r="G14" i="15"/>
  <c r="F259" i="15" s="1"/>
  <c r="F181" i="15"/>
  <c r="F179" i="15"/>
  <c r="F177" i="15"/>
  <c r="F175" i="15"/>
  <c r="F260" i="15" s="1"/>
  <c r="F14" i="15"/>
  <c r="E259" i="15" s="1"/>
  <c r="E181" i="15"/>
  <c r="E179" i="15"/>
  <c r="E177" i="15"/>
  <c r="E175" i="15"/>
  <c r="E260" i="15" s="1"/>
  <c r="E14" i="15"/>
  <c r="D181" i="15"/>
  <c r="D179" i="15"/>
  <c r="D177" i="15"/>
  <c r="D175" i="15"/>
  <c r="AY14" i="16"/>
  <c r="AY15" i="16"/>
  <c r="AY10" i="16" s="1"/>
  <c r="AY13" i="16" s="1"/>
  <c r="AY16" i="16"/>
  <c r="AY17" i="16"/>
  <c r="AY29" i="16"/>
  <c r="AX15" i="16"/>
  <c r="AX17" i="16"/>
  <c r="AX21" i="16"/>
  <c r="AX22" i="16"/>
  <c r="AX23" i="16"/>
  <c r="AX24" i="16"/>
  <c r="AX29" i="16"/>
  <c r="AX33" i="16"/>
  <c r="AX34" i="16"/>
  <c r="AX40" i="16"/>
  <c r="AX44" i="16"/>
  <c r="AX45" i="16"/>
  <c r="AX51" i="16"/>
  <c r="AW14" i="16"/>
  <c r="AW15" i="16"/>
  <c r="AX16" i="16" s="1"/>
  <c r="AW16" i="16"/>
  <c r="AW10" i="16"/>
  <c r="AW13" i="16" s="1"/>
  <c r="AX14" i="16" s="1"/>
  <c r="AX10" i="16" s="1"/>
  <c r="AX13" i="16" s="1"/>
  <c r="AW17" i="16"/>
  <c r="AW29" i="16"/>
  <c r="AV14" i="16"/>
  <c r="AV15" i="16"/>
  <c r="AV16" i="16"/>
  <c r="AV17" i="16"/>
  <c r="AV29" i="16"/>
  <c r="AU14" i="16"/>
  <c r="AU15" i="16"/>
  <c r="AU16" i="16"/>
  <c r="AU10" i="16"/>
  <c r="AU13" i="16" s="1"/>
  <c r="AU17" i="16"/>
  <c r="AU29" i="16"/>
  <c r="AT14" i="16"/>
  <c r="AT10" i="16" s="1"/>
  <c r="AT15" i="16"/>
  <c r="AT16" i="16"/>
  <c r="AT13" i="16"/>
  <c r="AT17" i="16"/>
  <c r="AT29" i="16"/>
  <c r="AS14" i="16"/>
  <c r="AS15" i="16"/>
  <c r="AS10" i="16" s="1"/>
  <c r="AS13" i="16" s="1"/>
  <c r="AS16" i="16"/>
  <c r="AS17" i="16"/>
  <c r="AS29" i="16"/>
  <c r="AR14" i="16"/>
  <c r="AR15" i="16"/>
  <c r="AR16" i="16"/>
  <c r="AR17" i="16"/>
  <c r="AR29" i="16"/>
  <c r="AQ14" i="16"/>
  <c r="AQ15" i="16"/>
  <c r="AQ16" i="16"/>
  <c r="AQ10" i="16"/>
  <c r="AQ13" i="16" s="1"/>
  <c r="AQ17" i="16"/>
  <c r="AQ29" i="16"/>
  <c r="AP14" i="16"/>
  <c r="AP15" i="16"/>
  <c r="AP16" i="16"/>
  <c r="AP10" i="16" s="1"/>
  <c r="AP13" i="16" s="1"/>
  <c r="AP17" i="16"/>
  <c r="AP29" i="16"/>
  <c r="AO14" i="16"/>
  <c r="AO15" i="16"/>
  <c r="AO16" i="16"/>
  <c r="AO10" i="16"/>
  <c r="AO13" i="16" s="1"/>
  <c r="AO17" i="16"/>
  <c r="AO29" i="16"/>
  <c r="AN15" i="16"/>
  <c r="AN17" i="16"/>
  <c r="AN21" i="16"/>
  <c r="AN22" i="16"/>
  <c r="AN24" i="16"/>
  <c r="AN29" i="16"/>
  <c r="AN34" i="16"/>
  <c r="AN40" i="16" s="1"/>
  <c r="AN45" i="16"/>
  <c r="AN51" i="16"/>
  <c r="AM14" i="16"/>
  <c r="AM15" i="16"/>
  <c r="AN16" i="16" s="1"/>
  <c r="AM16" i="16"/>
  <c r="AM10" i="16"/>
  <c r="AM13" i="16" s="1"/>
  <c r="AN14" i="16" s="1"/>
  <c r="AM17" i="16"/>
  <c r="AM29" i="16"/>
  <c r="AL14" i="16"/>
  <c r="AL15" i="16"/>
  <c r="AL16" i="16"/>
  <c r="AL10" i="16" s="1"/>
  <c r="AL13" i="16" s="1"/>
  <c r="AL17" i="16"/>
  <c r="AL29" i="16"/>
  <c r="AK17" i="16"/>
  <c r="AK21" i="16"/>
  <c r="AK22" i="16"/>
  <c r="AK34" i="16" s="1"/>
  <c r="AK23" i="16"/>
  <c r="AK24" i="16"/>
  <c r="AK29" i="16"/>
  <c r="AK33" i="16"/>
  <c r="AK40" i="16"/>
  <c r="AK44" i="16"/>
  <c r="AK45" i="16"/>
  <c r="AK51" i="16" s="1"/>
  <c r="AK50" i="16"/>
  <c r="AJ14" i="16"/>
  <c r="AJ15" i="16"/>
  <c r="AK16" i="16" s="1"/>
  <c r="AJ16" i="16"/>
  <c r="AJ17" i="16"/>
  <c r="AJ29" i="16"/>
  <c r="AI14" i="16"/>
  <c r="AI15" i="16"/>
  <c r="AI10" i="16" s="1"/>
  <c r="AI13" i="16" s="1"/>
  <c r="AI16" i="16"/>
  <c r="AI17" i="16"/>
  <c r="AI29" i="16"/>
  <c r="AH14" i="16"/>
  <c r="AH15" i="16"/>
  <c r="AH16" i="16"/>
  <c r="AH10" i="16"/>
  <c r="AH13" i="16" s="1"/>
  <c r="AH17" i="16"/>
  <c r="AH29" i="16"/>
  <c r="AG14" i="16"/>
  <c r="AG10" i="16" s="1"/>
  <c r="AG15" i="16"/>
  <c r="AG16" i="16"/>
  <c r="AG13" i="16"/>
  <c r="AG17" i="16"/>
  <c r="AG29" i="16"/>
  <c r="AF14" i="16"/>
  <c r="AF15" i="16"/>
  <c r="AF16" i="16"/>
  <c r="AF17" i="16"/>
  <c r="AF29" i="16"/>
  <c r="AE14" i="16"/>
  <c r="AE15" i="16"/>
  <c r="AE16" i="16"/>
  <c r="AE10" i="16"/>
  <c r="AE13" i="16" s="1"/>
  <c r="AE17" i="16"/>
  <c r="AE29" i="16"/>
  <c r="AD14" i="16"/>
  <c r="AD10" i="16" s="1"/>
  <c r="AD13" i="16" s="1"/>
  <c r="AD15" i="16"/>
  <c r="AD16" i="16"/>
  <c r="AD17" i="16"/>
  <c r="AD29" i="16"/>
  <c r="AC14" i="16"/>
  <c r="AC15" i="16"/>
  <c r="AC16" i="16"/>
  <c r="AC10" i="16"/>
  <c r="AC13" i="16" s="1"/>
  <c r="AC17" i="16"/>
  <c r="AC29" i="16"/>
  <c r="AB14" i="16"/>
  <c r="AB10" i="16" s="1"/>
  <c r="AB13" i="16" s="1"/>
  <c r="AB15" i="16"/>
  <c r="AB16" i="16"/>
  <c r="AB17" i="16"/>
  <c r="AB29" i="16"/>
  <c r="AA14" i="16"/>
  <c r="AA15" i="16"/>
  <c r="AA10" i="16" s="1"/>
  <c r="AA13" i="16" s="1"/>
  <c r="AA16" i="16"/>
  <c r="AA17" i="16"/>
  <c r="AA29" i="16"/>
  <c r="Z14" i="16"/>
  <c r="Z15" i="16"/>
  <c r="Z16" i="16"/>
  <c r="Z10" i="16" s="1"/>
  <c r="Z13" i="16" s="1"/>
  <c r="Z17" i="16"/>
  <c r="Z29" i="16"/>
  <c r="Y14" i="16"/>
  <c r="Y15" i="16"/>
  <c r="Y16" i="16"/>
  <c r="Y10" i="16"/>
  <c r="Y13" i="16" s="1"/>
  <c r="Y17" i="16"/>
  <c r="Y29" i="16"/>
  <c r="X15" i="16"/>
  <c r="X21" i="16"/>
  <c r="X22" i="16"/>
  <c r="X24" i="16"/>
  <c r="X29" i="16"/>
  <c r="X34" i="16"/>
  <c r="X40" i="16"/>
  <c r="X45" i="16"/>
  <c r="X51" i="16"/>
  <c r="W14" i="16"/>
  <c r="W15" i="16"/>
  <c r="W16" i="16"/>
  <c r="X17" i="16" s="1"/>
  <c r="W17" i="16"/>
  <c r="W29" i="16"/>
  <c r="V14" i="16"/>
  <c r="V10" i="16" s="1"/>
  <c r="V13" i="16" s="1"/>
  <c r="V15" i="16"/>
  <c r="V16" i="16"/>
  <c r="V17" i="16"/>
  <c r="V29" i="16"/>
  <c r="U14" i="16"/>
  <c r="U10" i="16" s="1"/>
  <c r="U13" i="16" s="1"/>
  <c r="U15" i="16"/>
  <c r="U16" i="16"/>
  <c r="U17" i="16"/>
  <c r="U29" i="16"/>
  <c r="T21" i="16"/>
  <c r="T33" i="16" s="1"/>
  <c r="T22" i="16"/>
  <c r="T24" i="16" s="1"/>
  <c r="T29" i="16"/>
  <c r="T34" i="16"/>
  <c r="T40" i="16" s="1"/>
  <c r="T35" i="16"/>
  <c r="T39" i="16"/>
  <c r="T45" i="16"/>
  <c r="T51" i="16"/>
  <c r="S14" i="16"/>
  <c r="T15" i="16" s="1"/>
  <c r="S15" i="16"/>
  <c r="T16" i="16" s="1"/>
  <c r="S16" i="16"/>
  <c r="T17" i="16" s="1"/>
  <c r="S10" i="16"/>
  <c r="S13" i="16" s="1"/>
  <c r="T14" i="16" s="1"/>
  <c r="T10" i="16" s="1"/>
  <c r="T13" i="16" s="1"/>
  <c r="S17" i="16"/>
  <c r="S29" i="16"/>
  <c r="R14" i="16"/>
  <c r="R10" i="16" s="1"/>
  <c r="R13" i="16" s="1"/>
  <c r="R15" i="16"/>
  <c r="R16" i="16"/>
  <c r="R17" i="16"/>
  <c r="R29" i="16"/>
  <c r="Q14" i="16"/>
  <c r="Q15" i="16"/>
  <c r="Q10" i="16" s="1"/>
  <c r="Q13" i="16" s="1"/>
  <c r="Q16" i="16"/>
  <c r="Q17" i="16"/>
  <c r="Q29" i="16"/>
  <c r="P21" i="16"/>
  <c r="P33" i="16" s="1"/>
  <c r="P39" i="16" s="1"/>
  <c r="P22" i="16"/>
  <c r="P23" i="16"/>
  <c r="P29" i="16"/>
  <c r="P44" i="16"/>
  <c r="O14" i="16"/>
  <c r="O15" i="16"/>
  <c r="P16" i="16" s="1"/>
  <c r="O16" i="16"/>
  <c r="P17" i="16" s="1"/>
  <c r="O17" i="16"/>
  <c r="O29" i="16"/>
  <c r="N14" i="16"/>
  <c r="N15" i="16"/>
  <c r="N10" i="16" s="1"/>
  <c r="N13" i="16" s="1"/>
  <c r="N16" i="16"/>
  <c r="N17" i="16"/>
  <c r="N29" i="16"/>
  <c r="M14" i="16"/>
  <c r="M15" i="16"/>
  <c r="M16" i="16"/>
  <c r="M10" i="16" s="1"/>
  <c r="M13" i="16" s="1"/>
  <c r="M17" i="16"/>
  <c r="M29" i="16"/>
  <c r="L14" i="16"/>
  <c r="L15" i="16"/>
  <c r="L16" i="16"/>
  <c r="L10" i="16"/>
  <c r="L13" i="16" s="1"/>
  <c r="L17" i="16"/>
  <c r="L29" i="16"/>
  <c r="K14" i="16"/>
  <c r="K10" i="16" s="1"/>
  <c r="K13" i="16" s="1"/>
  <c r="K15" i="16"/>
  <c r="K16" i="16"/>
  <c r="K17" i="16"/>
  <c r="K29" i="16"/>
  <c r="J14" i="16"/>
  <c r="J15" i="16"/>
  <c r="J10" i="16" s="1"/>
  <c r="J13" i="16" s="1"/>
  <c r="J16" i="16"/>
  <c r="J17" i="16"/>
  <c r="J29" i="16"/>
  <c r="I14" i="16"/>
  <c r="I10" i="16" s="1"/>
  <c r="I13" i="16" s="1"/>
  <c r="I15" i="16"/>
  <c r="I16" i="16"/>
  <c r="I17" i="16"/>
  <c r="I29" i="16"/>
  <c r="H14" i="16"/>
  <c r="H15" i="16"/>
  <c r="H16" i="16"/>
  <c r="H10" i="16"/>
  <c r="H13" i="16" s="1"/>
  <c r="H17" i="16"/>
  <c r="H29" i="16"/>
  <c r="G14" i="16"/>
  <c r="G10" i="16" s="1"/>
  <c r="G13" i="16" s="1"/>
  <c r="G15" i="16"/>
  <c r="G16" i="16"/>
  <c r="G17" i="16"/>
  <c r="G29" i="16"/>
  <c r="F14" i="16"/>
  <c r="F15" i="16"/>
  <c r="F10" i="16" s="1"/>
  <c r="F13" i="16" s="1"/>
  <c r="F16" i="16"/>
  <c r="F17" i="16"/>
  <c r="F29" i="16"/>
  <c r="E21" i="16"/>
  <c r="E22" i="16"/>
  <c r="E24" i="16"/>
  <c r="E27" i="16"/>
  <c r="E29" i="16"/>
  <c r="E34" i="16"/>
  <c r="E40" i="16" s="1"/>
  <c r="E44" i="16"/>
  <c r="E45" i="16"/>
  <c r="E51" i="16"/>
  <c r="D14" i="16"/>
  <c r="E15" i="16" s="1"/>
  <c r="D15" i="16"/>
  <c r="E16" i="16" s="1"/>
  <c r="D16" i="16"/>
  <c r="E17" i="16" s="1"/>
  <c r="D10" i="16"/>
  <c r="D17" i="16"/>
  <c r="D27" i="16"/>
  <c r="D30" i="16" s="1"/>
  <c r="D29" i="16"/>
  <c r="AY14" i="17"/>
  <c r="AY10" i="17" s="1"/>
  <c r="AY15" i="17"/>
  <c r="AY16" i="17"/>
  <c r="AY13" i="17"/>
  <c r="AY17" i="17"/>
  <c r="AY29" i="17"/>
  <c r="AX14" i="17"/>
  <c r="AX15" i="17"/>
  <c r="AX10" i="17" s="1"/>
  <c r="AX13" i="17" s="1"/>
  <c r="AX16" i="17"/>
  <c r="AX17" i="17"/>
  <c r="AX29" i="17"/>
  <c r="AW14" i="17"/>
  <c r="AW10" i="17" s="1"/>
  <c r="AW13" i="17" s="1"/>
  <c r="AW15" i="17"/>
  <c r="AW16" i="17"/>
  <c r="AW17" i="17"/>
  <c r="AW29" i="17"/>
  <c r="AV14" i="17"/>
  <c r="AV15" i="17"/>
  <c r="AV16" i="17"/>
  <c r="AV10" i="17"/>
  <c r="AV13" i="17" s="1"/>
  <c r="AV17" i="17"/>
  <c r="AV29" i="17"/>
  <c r="AU14" i="17"/>
  <c r="AU10" i="17" s="1"/>
  <c r="AU13" i="17" s="1"/>
  <c r="AU15" i="17"/>
  <c r="AU16" i="17"/>
  <c r="AU17" i="17"/>
  <c r="AU29" i="17"/>
  <c r="AT15" i="17"/>
  <c r="AT21" i="17"/>
  <c r="AT23" i="17" s="1"/>
  <c r="AT22" i="17"/>
  <c r="AT24" i="17"/>
  <c r="AT29" i="17"/>
  <c r="AT33" i="17"/>
  <c r="AT34" i="17"/>
  <c r="AT40" i="17"/>
  <c r="AT44" i="17"/>
  <c r="AT46" i="17" s="1"/>
  <c r="AT45" i="17"/>
  <c r="AT50" i="17"/>
  <c r="AT51" i="17"/>
  <c r="AS14" i="17"/>
  <c r="AS15" i="17"/>
  <c r="AT16" i="17" s="1"/>
  <c r="AS16" i="17"/>
  <c r="AS10" i="17" s="1"/>
  <c r="AS13" i="17" s="1"/>
  <c r="AT14" i="17" s="1"/>
  <c r="AS17" i="17"/>
  <c r="AS29" i="17"/>
  <c r="AR14" i="17"/>
  <c r="AR15" i="17"/>
  <c r="AR16" i="17"/>
  <c r="AR10" i="17"/>
  <c r="AR13" i="17" s="1"/>
  <c r="AR17" i="17"/>
  <c r="AR29" i="17"/>
  <c r="AQ14" i="17"/>
  <c r="AQ10" i="17" s="1"/>
  <c r="AQ15" i="17"/>
  <c r="AQ16" i="17"/>
  <c r="AQ13" i="17"/>
  <c r="AQ17" i="17"/>
  <c r="AQ29" i="17"/>
  <c r="AP14" i="17"/>
  <c r="AP15" i="17"/>
  <c r="AP10" i="17" s="1"/>
  <c r="AP13" i="17" s="1"/>
  <c r="AP16" i="17"/>
  <c r="AP17" i="17"/>
  <c r="AP29" i="17"/>
  <c r="AO14" i="17"/>
  <c r="AO15" i="17"/>
  <c r="AO16" i="17"/>
  <c r="AO10" i="17" s="1"/>
  <c r="AO13" i="17" s="1"/>
  <c r="AO17" i="17"/>
  <c r="AO29" i="17"/>
  <c r="AN14" i="17"/>
  <c r="AN15" i="17"/>
  <c r="AN16" i="17"/>
  <c r="AN10" i="17"/>
  <c r="AN13" i="17" s="1"/>
  <c r="AN17" i="17"/>
  <c r="AN29" i="17"/>
  <c r="AM14" i="17"/>
  <c r="AM10" i="17" s="1"/>
  <c r="AM13" i="17" s="1"/>
  <c r="AM15" i="17"/>
  <c r="AM16" i="17"/>
  <c r="AM17" i="17"/>
  <c r="AM29" i="17"/>
  <c r="AL14" i="17"/>
  <c r="AL15" i="17"/>
  <c r="AL10" i="17" s="1"/>
  <c r="AL13" i="17" s="1"/>
  <c r="AL16" i="17"/>
  <c r="AL17" i="17"/>
  <c r="AL29" i="17"/>
  <c r="AK14" i="17"/>
  <c r="AK15" i="17"/>
  <c r="AK16" i="17"/>
  <c r="AK10" i="17" s="1"/>
  <c r="AK13" i="17" s="1"/>
  <c r="AK17" i="17"/>
  <c r="AK29" i="17"/>
  <c r="AJ14" i="17"/>
  <c r="AJ15" i="17"/>
  <c r="AJ16" i="17"/>
  <c r="AJ10" i="17"/>
  <c r="AJ13" i="17" s="1"/>
  <c r="AJ17" i="17"/>
  <c r="AJ29" i="17"/>
  <c r="AI14" i="17"/>
  <c r="AI10" i="17" s="1"/>
  <c r="AI15" i="17"/>
  <c r="AI16" i="17"/>
  <c r="AI13" i="17"/>
  <c r="AI17" i="17"/>
  <c r="AI29" i="17"/>
  <c r="AH14" i="17"/>
  <c r="AH15" i="17"/>
  <c r="AH10" i="17" s="1"/>
  <c r="AH13" i="17" s="1"/>
  <c r="AH16" i="17"/>
  <c r="AH17" i="17"/>
  <c r="AH29" i="17"/>
  <c r="AG14" i="17"/>
  <c r="AG10" i="17" s="1"/>
  <c r="AG13" i="17" s="1"/>
  <c r="AG15" i="17"/>
  <c r="AG16" i="17"/>
  <c r="AG17" i="17"/>
  <c r="AG29" i="17"/>
  <c r="AF14" i="17"/>
  <c r="AF15" i="17"/>
  <c r="AF16" i="17"/>
  <c r="AF10" i="17"/>
  <c r="AF13" i="17" s="1"/>
  <c r="AF17" i="17"/>
  <c r="AF29" i="17"/>
  <c r="AE14" i="17"/>
  <c r="AE10" i="17" s="1"/>
  <c r="AE13" i="17" s="1"/>
  <c r="AE15" i="17"/>
  <c r="AE16" i="17"/>
  <c r="AE17" i="17"/>
  <c r="AE29" i="17"/>
  <c r="AD14" i="17"/>
  <c r="AD15" i="17"/>
  <c r="AD10" i="17" s="1"/>
  <c r="AD13" i="17" s="1"/>
  <c r="AD16" i="17"/>
  <c r="AD17" i="17"/>
  <c r="AD29" i="17"/>
  <c r="AC14" i="17"/>
  <c r="AC15" i="17"/>
  <c r="AC16" i="17"/>
  <c r="AC17" i="17"/>
  <c r="AC29" i="17"/>
  <c r="AB14" i="17"/>
  <c r="AB15" i="17"/>
  <c r="AB16" i="17"/>
  <c r="AB10" i="17"/>
  <c r="AB13" i="17" s="1"/>
  <c r="AB17" i="17"/>
  <c r="AB29" i="17"/>
  <c r="AA14" i="17"/>
  <c r="AA10" i="17" s="1"/>
  <c r="AA15" i="17"/>
  <c r="AA16" i="17"/>
  <c r="AA13" i="17"/>
  <c r="AA17" i="17"/>
  <c r="AA29" i="17"/>
  <c r="Z14" i="17"/>
  <c r="Z15" i="17"/>
  <c r="Z10" i="17" s="1"/>
  <c r="Z13" i="17" s="1"/>
  <c r="Z16" i="17"/>
  <c r="Z17" i="17"/>
  <c r="Z29" i="17"/>
  <c r="Y14" i="17"/>
  <c r="Y15" i="17"/>
  <c r="Y16" i="17"/>
  <c r="Y10" i="17" s="1"/>
  <c r="Y13" i="17" s="1"/>
  <c r="Y17" i="17"/>
  <c r="Y29" i="17"/>
  <c r="X14" i="17"/>
  <c r="X15" i="17"/>
  <c r="X16" i="17"/>
  <c r="X10" i="17"/>
  <c r="X13" i="17" s="1"/>
  <c r="X17" i="17"/>
  <c r="X29" i="17"/>
  <c r="W14" i="17"/>
  <c r="W10" i="17" s="1"/>
  <c r="W13" i="17" s="1"/>
  <c r="W15" i="17"/>
  <c r="W16" i="17"/>
  <c r="W17" i="17"/>
  <c r="W29" i="17"/>
  <c r="V21" i="17"/>
  <c r="V23" i="17" s="1"/>
  <c r="V22" i="17"/>
  <c r="V24" i="17"/>
  <c r="V29" i="17"/>
  <c r="V33" i="17"/>
  <c r="V34" i="17"/>
  <c r="V40" i="17"/>
  <c r="V44" i="17"/>
  <c r="V45" i="17"/>
  <c r="V50" i="17"/>
  <c r="U14" i="17"/>
  <c r="U15" i="17"/>
  <c r="V16" i="17" s="1"/>
  <c r="U16" i="17"/>
  <c r="V17" i="17" s="1"/>
  <c r="U17" i="17"/>
  <c r="U29" i="17"/>
  <c r="T14" i="17"/>
  <c r="T15" i="17"/>
  <c r="T10" i="17" s="1"/>
  <c r="T13" i="17" s="1"/>
  <c r="T16" i="17"/>
  <c r="T17" i="17"/>
  <c r="T29" i="17"/>
  <c r="S14" i="17"/>
  <c r="S15" i="17"/>
  <c r="S16" i="17"/>
  <c r="S10" i="17" s="1"/>
  <c r="S13" i="17" s="1"/>
  <c r="S17" i="17"/>
  <c r="S29" i="17"/>
  <c r="R21" i="17"/>
  <c r="R22" i="17"/>
  <c r="R23" i="17"/>
  <c r="R29" i="17"/>
  <c r="R33" i="17"/>
  <c r="R39" i="17"/>
  <c r="R44" i="17"/>
  <c r="R50" i="17"/>
  <c r="Q14" i="17"/>
  <c r="Q15" i="17"/>
  <c r="R16" i="17" s="1"/>
  <c r="Q16" i="17"/>
  <c r="R17" i="17" s="1"/>
  <c r="Q17" i="17"/>
  <c r="Q29" i="17"/>
  <c r="P14" i="17"/>
  <c r="P15" i="17"/>
  <c r="P10" i="17" s="1"/>
  <c r="P13" i="17" s="1"/>
  <c r="P16" i="17"/>
  <c r="P17" i="17"/>
  <c r="P29" i="17"/>
  <c r="O14" i="17"/>
  <c r="O15" i="17"/>
  <c r="O16" i="17"/>
  <c r="O10" i="17" s="1"/>
  <c r="O13" i="17" s="1"/>
  <c r="O17" i="17"/>
  <c r="O29" i="17"/>
  <c r="N14" i="17"/>
  <c r="N10" i="17" s="1"/>
  <c r="N15" i="17"/>
  <c r="N16" i="17"/>
  <c r="N13" i="17"/>
  <c r="O21" i="17" s="1"/>
  <c r="N17" i="17"/>
  <c r="N29" i="17"/>
  <c r="M14" i="17"/>
  <c r="M15" i="17"/>
  <c r="M16" i="17"/>
  <c r="M17" i="17"/>
  <c r="M29" i="17"/>
  <c r="L14" i="17"/>
  <c r="L15" i="17"/>
  <c r="L10" i="17" s="1"/>
  <c r="L13" i="17" s="1"/>
  <c r="L16" i="17"/>
  <c r="L17" i="17"/>
  <c r="L29" i="17"/>
  <c r="K14" i="17"/>
  <c r="K15" i="17"/>
  <c r="K16" i="17"/>
  <c r="K10" i="17" s="1"/>
  <c r="K13" i="17" s="1"/>
  <c r="L21" i="17" s="1"/>
  <c r="K17" i="17"/>
  <c r="K29" i="17"/>
  <c r="J14" i="17"/>
  <c r="J10" i="17" s="1"/>
  <c r="J15" i="17"/>
  <c r="J16" i="17"/>
  <c r="J13" i="17"/>
  <c r="K22" i="17" s="1"/>
  <c r="J17" i="17"/>
  <c r="J29" i="17"/>
  <c r="I14" i="17"/>
  <c r="I15" i="17"/>
  <c r="I16" i="17"/>
  <c r="I17" i="17"/>
  <c r="I29" i="17"/>
  <c r="H14" i="17"/>
  <c r="H15" i="17"/>
  <c r="H10" i="17" s="1"/>
  <c r="H13" i="17" s="1"/>
  <c r="H16" i="17"/>
  <c r="H17" i="17"/>
  <c r="H21" i="17"/>
  <c r="H33" i="17" s="1"/>
  <c r="H29" i="17"/>
  <c r="G16" i="17"/>
  <c r="G21" i="17"/>
  <c r="G22" i="17"/>
  <c r="G24" i="17" s="1"/>
  <c r="G29" i="17"/>
  <c r="G34" i="17"/>
  <c r="G40" i="17" s="1"/>
  <c r="F14" i="17"/>
  <c r="G15" i="17" s="1"/>
  <c r="F15" i="17"/>
  <c r="F16" i="17"/>
  <c r="G17" i="17" s="1"/>
  <c r="F10" i="17"/>
  <c r="F13" i="17" s="1"/>
  <c r="G14" i="17" s="1"/>
  <c r="G10" i="17" s="1"/>
  <c r="G13" i="17" s="1"/>
  <c r="F17" i="17"/>
  <c r="F29" i="17"/>
  <c r="E14" i="17"/>
  <c r="E15" i="17"/>
  <c r="E16" i="17"/>
  <c r="E17" i="17"/>
  <c r="E29" i="17"/>
  <c r="D14" i="17"/>
  <c r="D15" i="17"/>
  <c r="D16" i="17"/>
  <c r="D17" i="17"/>
  <c r="D27" i="17"/>
  <c r="D29" i="17"/>
  <c r="AY14" i="18"/>
  <c r="AY15" i="18"/>
  <c r="AY16" i="18"/>
  <c r="AY10" i="18" s="1"/>
  <c r="AY13" i="18" s="1"/>
  <c r="AY17" i="18"/>
  <c r="AY29" i="18"/>
  <c r="AX14" i="18"/>
  <c r="AX15" i="18"/>
  <c r="AX16" i="18"/>
  <c r="AX10" i="18"/>
  <c r="AX13" i="18" s="1"/>
  <c r="AX17" i="18"/>
  <c r="AX29" i="18"/>
  <c r="AW14" i="18"/>
  <c r="AW15" i="18"/>
  <c r="AW16" i="18"/>
  <c r="AW17" i="18"/>
  <c r="AW29" i="18"/>
  <c r="AV14" i="18"/>
  <c r="AV15" i="18"/>
  <c r="AV16" i="18"/>
  <c r="AV17" i="18"/>
  <c r="AV29" i="18"/>
  <c r="AU14" i="18"/>
  <c r="AU15" i="18"/>
  <c r="AU16" i="18"/>
  <c r="AU10" i="18" s="1"/>
  <c r="AU13" i="18" s="1"/>
  <c r="AU17" i="18"/>
  <c r="AU29" i="18"/>
  <c r="AT14" i="18"/>
  <c r="AT15" i="18"/>
  <c r="AT16" i="18"/>
  <c r="AT10" i="18"/>
  <c r="AT13" i="18" s="1"/>
  <c r="AU21" i="18" s="1"/>
  <c r="AT17" i="18"/>
  <c r="AT29" i="18"/>
  <c r="AS14" i="18"/>
  <c r="AS15" i="18"/>
  <c r="AS16" i="18"/>
  <c r="AS17" i="18"/>
  <c r="AS29" i="18"/>
  <c r="AR14" i="18"/>
  <c r="AR15" i="18"/>
  <c r="AR16" i="18"/>
  <c r="AR17" i="18"/>
  <c r="AR29" i="18"/>
  <c r="AQ14" i="18"/>
  <c r="AQ15" i="18"/>
  <c r="AQ16" i="18"/>
  <c r="AQ10" i="18" s="1"/>
  <c r="AQ13" i="18" s="1"/>
  <c r="AQ17" i="18"/>
  <c r="AQ29" i="18"/>
  <c r="AP14" i="18"/>
  <c r="AP15" i="18"/>
  <c r="AP16" i="18"/>
  <c r="AP10" i="18"/>
  <c r="AP13" i="18" s="1"/>
  <c r="AP17" i="18"/>
  <c r="AP29" i="18"/>
  <c r="AO14" i="18"/>
  <c r="AO15" i="18"/>
  <c r="AO16" i="18"/>
  <c r="AO17" i="18"/>
  <c r="AO29" i="18"/>
  <c r="AN14" i="18"/>
  <c r="AN10" i="18" s="1"/>
  <c r="AN15" i="18"/>
  <c r="AN16" i="18"/>
  <c r="AN13" i="18"/>
  <c r="AN17" i="18"/>
  <c r="AN29" i="18"/>
  <c r="AM14" i="18"/>
  <c r="AM15" i="18"/>
  <c r="AM16" i="18"/>
  <c r="AM17" i="18"/>
  <c r="AM29" i="18"/>
  <c r="AL16" i="18"/>
  <c r="AL21" i="18"/>
  <c r="AL44" i="18" s="1"/>
  <c r="AL22" i="18"/>
  <c r="AL24" i="18"/>
  <c r="AL29" i="18"/>
  <c r="AL34" i="18"/>
  <c r="AL40" i="18" s="1"/>
  <c r="AL45" i="18"/>
  <c r="AL51" i="18"/>
  <c r="AK14" i="18"/>
  <c r="AL15" i="18" s="1"/>
  <c r="AK15" i="18"/>
  <c r="AK16" i="18"/>
  <c r="AL17" i="18" s="1"/>
  <c r="AK10" i="18"/>
  <c r="AK13" i="18" s="1"/>
  <c r="AL14" i="18" s="1"/>
  <c r="AK17" i="18"/>
  <c r="AK29" i="18"/>
  <c r="AJ14" i="18"/>
  <c r="AJ10" i="18" s="1"/>
  <c r="AJ15" i="18"/>
  <c r="AJ16" i="18"/>
  <c r="AJ13" i="18"/>
  <c r="AJ17" i="18"/>
  <c r="AJ29" i="18"/>
  <c r="AI14" i="18"/>
  <c r="AI15" i="18"/>
  <c r="AI10" i="18" s="1"/>
  <c r="AI13" i="18" s="1"/>
  <c r="AI16" i="18"/>
  <c r="AI17" i="18"/>
  <c r="AI29" i="18"/>
  <c r="AH14" i="18"/>
  <c r="AH15" i="18"/>
  <c r="AH16" i="18"/>
  <c r="AH10" i="18" s="1"/>
  <c r="AH13" i="18" s="1"/>
  <c r="AH17" i="18"/>
  <c r="AH29" i="18"/>
  <c r="AG14" i="18"/>
  <c r="AG15" i="18"/>
  <c r="AG16" i="18"/>
  <c r="AG10" i="18"/>
  <c r="AG13" i="18" s="1"/>
  <c r="AG17" i="18"/>
  <c r="AG29" i="18"/>
  <c r="AF14" i="18"/>
  <c r="AF10" i="18" s="1"/>
  <c r="AF15" i="18"/>
  <c r="AF16" i="18"/>
  <c r="AF13" i="18"/>
  <c r="AF17" i="18"/>
  <c r="AF29" i="18"/>
  <c r="AE14" i="18"/>
  <c r="AE15" i="18"/>
  <c r="AE10" i="18" s="1"/>
  <c r="AE13" i="18" s="1"/>
  <c r="AE16" i="18"/>
  <c r="AE17" i="18"/>
  <c r="AE29" i="18"/>
  <c r="AD14" i="18"/>
  <c r="AD15" i="18"/>
  <c r="AD16" i="18"/>
  <c r="AD10" i="18" s="1"/>
  <c r="AD13" i="18" s="1"/>
  <c r="AD17" i="18"/>
  <c r="AD29" i="18"/>
  <c r="AC14" i="18"/>
  <c r="AC15" i="18"/>
  <c r="AC16" i="18"/>
  <c r="AC10" i="18"/>
  <c r="AC13" i="18" s="1"/>
  <c r="AC17" i="18"/>
  <c r="AC29" i="18"/>
  <c r="AB14" i="18"/>
  <c r="AB10" i="18" s="1"/>
  <c r="AB15" i="18"/>
  <c r="AB16" i="18"/>
  <c r="AB13" i="18"/>
  <c r="AB17" i="18"/>
  <c r="AB29" i="18"/>
  <c r="AA14" i="18"/>
  <c r="AA15" i="18"/>
  <c r="AA10" i="18" s="1"/>
  <c r="AA13" i="18" s="1"/>
  <c r="AA16" i="18"/>
  <c r="AA17" i="18"/>
  <c r="AA29" i="18"/>
  <c r="Z14" i="18"/>
  <c r="Z15" i="18"/>
  <c r="Z16" i="18"/>
  <c r="Z17" i="18"/>
  <c r="Z29" i="18"/>
  <c r="Y14" i="18"/>
  <c r="Y15" i="18"/>
  <c r="Y16" i="18"/>
  <c r="Y10" i="18"/>
  <c r="Y13" i="18" s="1"/>
  <c r="Y17" i="18"/>
  <c r="Y29" i="18"/>
  <c r="X14" i="18"/>
  <c r="X10" i="18" s="1"/>
  <c r="X15" i="18"/>
  <c r="X16" i="18"/>
  <c r="X13" i="18"/>
  <c r="X17" i="18"/>
  <c r="X29" i="18"/>
  <c r="W14" i="18"/>
  <c r="W15" i="18"/>
  <c r="W10" i="18" s="1"/>
  <c r="W13" i="18" s="1"/>
  <c r="W16" i="18"/>
  <c r="W17" i="18"/>
  <c r="W29" i="18"/>
  <c r="V14" i="18"/>
  <c r="V15" i="18"/>
  <c r="V16" i="18"/>
  <c r="V10" i="18" s="1"/>
  <c r="V13" i="18" s="1"/>
  <c r="V17" i="18"/>
  <c r="V29" i="18"/>
  <c r="U14" i="18"/>
  <c r="U15" i="18"/>
  <c r="U16" i="18"/>
  <c r="U10" i="18"/>
  <c r="U13" i="18" s="1"/>
  <c r="U17" i="18"/>
  <c r="U29" i="18"/>
  <c r="T14" i="18"/>
  <c r="T10" i="18" s="1"/>
  <c r="T15" i="18"/>
  <c r="T16" i="18"/>
  <c r="T13" i="18"/>
  <c r="T17" i="18"/>
  <c r="T29" i="18"/>
  <c r="S14" i="18"/>
  <c r="S10" i="18" s="1"/>
  <c r="S13" i="18" s="1"/>
  <c r="S15" i="18"/>
  <c r="S16" i="18"/>
  <c r="S17" i="18"/>
  <c r="S29" i="18"/>
  <c r="R14" i="18"/>
  <c r="R15" i="18"/>
  <c r="R16" i="18"/>
  <c r="R10" i="18"/>
  <c r="R13" i="18" s="1"/>
  <c r="R17" i="18"/>
  <c r="R29" i="18"/>
  <c r="Q14" i="18"/>
  <c r="Q10" i="18" s="1"/>
  <c r="Q13" i="18" s="1"/>
  <c r="Q15" i="18"/>
  <c r="Q16" i="18"/>
  <c r="Q17" i="18"/>
  <c r="Q29" i="18"/>
  <c r="P14" i="18"/>
  <c r="P15" i="18"/>
  <c r="P10" i="18" s="1"/>
  <c r="P13" i="18" s="1"/>
  <c r="P16" i="18"/>
  <c r="P17" i="18"/>
  <c r="P29" i="18"/>
  <c r="O14" i="18"/>
  <c r="O10" i="18" s="1"/>
  <c r="O13" i="18" s="1"/>
  <c r="O15" i="18"/>
  <c r="O16" i="18"/>
  <c r="O17" i="18"/>
  <c r="O29" i="18"/>
  <c r="N14" i="18"/>
  <c r="N15" i="18"/>
  <c r="N16" i="18"/>
  <c r="N10" i="18"/>
  <c r="N13" i="18" s="1"/>
  <c r="N17" i="18"/>
  <c r="N29" i="18"/>
  <c r="M14" i="18"/>
  <c r="M10" i="18" s="1"/>
  <c r="M13" i="18" s="1"/>
  <c r="M15" i="18"/>
  <c r="M16" i="18"/>
  <c r="M17" i="18"/>
  <c r="M29" i="18"/>
  <c r="L14" i="18"/>
  <c r="L15" i="18"/>
  <c r="L10" i="18" s="1"/>
  <c r="L13" i="18" s="1"/>
  <c r="L16" i="18"/>
  <c r="L17" i="18"/>
  <c r="L29" i="18"/>
  <c r="K14" i="18"/>
  <c r="K10" i="18" s="1"/>
  <c r="K13" i="18" s="1"/>
  <c r="K15" i="18"/>
  <c r="K16" i="18"/>
  <c r="K17" i="18"/>
  <c r="K29" i="18"/>
  <c r="J14" i="18"/>
  <c r="J15" i="18"/>
  <c r="J16" i="18"/>
  <c r="J10" i="18"/>
  <c r="J13" i="18" s="1"/>
  <c r="J17" i="18"/>
  <c r="J29" i="18"/>
  <c r="I14" i="18"/>
  <c r="I10" i="18" s="1"/>
  <c r="I13" i="18" s="1"/>
  <c r="I15" i="18"/>
  <c r="I16" i="18"/>
  <c r="I17" i="18"/>
  <c r="I29" i="18"/>
  <c r="H14" i="18"/>
  <c r="H15" i="18"/>
  <c r="H10" i="18" s="1"/>
  <c r="H13" i="18" s="1"/>
  <c r="H16" i="18"/>
  <c r="H17" i="18"/>
  <c r="H29" i="18"/>
  <c r="G14" i="18"/>
  <c r="G10" i="18" s="1"/>
  <c r="G13" i="18" s="1"/>
  <c r="G15" i="18"/>
  <c r="G16" i="18"/>
  <c r="G17" i="18"/>
  <c r="G29" i="18"/>
  <c r="F14" i="18"/>
  <c r="F15" i="18"/>
  <c r="F16" i="18"/>
  <c r="F10" i="18"/>
  <c r="F13" i="18" s="1"/>
  <c r="F17" i="18"/>
  <c r="F29" i="18"/>
  <c r="E14" i="18"/>
  <c r="E10" i="18" s="1"/>
  <c r="E13" i="18" s="1"/>
  <c r="E15" i="18"/>
  <c r="E16" i="18"/>
  <c r="E17" i="18"/>
  <c r="E29" i="18"/>
  <c r="D14" i="18"/>
  <c r="D15" i="18"/>
  <c r="D10" i="18" s="1"/>
  <c r="D16" i="18"/>
  <c r="D17" i="18"/>
  <c r="AZ17" i="18" s="1"/>
  <c r="D27" i="18"/>
  <c r="E27" i="18" s="1"/>
  <c r="D29" i="18"/>
  <c r="B21" i="16"/>
  <c r="B21" i="17"/>
  <c r="B21" i="18"/>
  <c r="D21" i="18" s="1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 s="1"/>
  <c r="D19" i="19"/>
  <c r="D28" i="19" s="1"/>
  <c r="E19" i="19"/>
  <c r="E28" i="19" s="1"/>
  <c r="F19" i="19"/>
  <c r="F28" i="19" s="1"/>
  <c r="G19" i="19"/>
  <c r="G28" i="19" s="1"/>
  <c r="H19" i="19"/>
  <c r="H28" i="19" s="1"/>
  <c r="I19" i="19"/>
  <c r="I28" i="19" s="1"/>
  <c r="J19" i="19"/>
  <c r="J28" i="19" s="1"/>
  <c r="K19" i="19"/>
  <c r="K28" i="19" s="1"/>
  <c r="L19" i="19"/>
  <c r="L28" i="19" s="1"/>
  <c r="M19" i="19"/>
  <c r="M28" i="19" s="1"/>
  <c r="N19" i="19"/>
  <c r="N28" i="19" s="1"/>
  <c r="C20" i="19"/>
  <c r="C29" i="19" s="1"/>
  <c r="D20" i="19"/>
  <c r="D29" i="19" s="1"/>
  <c r="E20" i="19"/>
  <c r="E29" i="19" s="1"/>
  <c r="F20" i="19"/>
  <c r="F29" i="19" s="1"/>
  <c r="G20" i="19"/>
  <c r="G29" i="19" s="1"/>
  <c r="H20" i="19"/>
  <c r="H29" i="19" s="1"/>
  <c r="I20" i="19"/>
  <c r="I29" i="19" s="1"/>
  <c r="J20" i="19"/>
  <c r="J29" i="19" s="1"/>
  <c r="K20" i="19"/>
  <c r="K29" i="19" s="1"/>
  <c r="L20" i="19"/>
  <c r="L29" i="19" s="1"/>
  <c r="M20" i="19"/>
  <c r="M29" i="19" s="1"/>
  <c r="N20" i="19"/>
  <c r="N29" i="19" s="1"/>
  <c r="C21" i="19"/>
  <c r="C30" i="19" s="1"/>
  <c r="D21" i="19"/>
  <c r="D30" i="19" s="1"/>
  <c r="E21" i="19"/>
  <c r="E30" i="19" s="1"/>
  <c r="F21" i="19"/>
  <c r="F30" i="19" s="1"/>
  <c r="G21" i="19"/>
  <c r="G30" i="19" s="1"/>
  <c r="H21" i="19"/>
  <c r="H30" i="19" s="1"/>
  <c r="I21" i="19"/>
  <c r="I30" i="19" s="1"/>
  <c r="J21" i="19"/>
  <c r="J30" i="19" s="1"/>
  <c r="K21" i="19"/>
  <c r="K30" i="19" s="1"/>
  <c r="L21" i="19"/>
  <c r="L30" i="19" s="1"/>
  <c r="M21" i="19"/>
  <c r="M30" i="19" s="1"/>
  <c r="N21" i="19"/>
  <c r="N30" i="19" s="1"/>
  <c r="C22" i="19"/>
  <c r="C31" i="19" s="1"/>
  <c r="D22" i="19"/>
  <c r="D31" i="19" s="1"/>
  <c r="E22" i="19"/>
  <c r="E31" i="19" s="1"/>
  <c r="F22" i="19"/>
  <c r="F31" i="19" s="1"/>
  <c r="G22" i="19"/>
  <c r="G31" i="19" s="1"/>
  <c r="H22" i="19"/>
  <c r="H31" i="19" s="1"/>
  <c r="I22" i="19"/>
  <c r="I31" i="19" s="1"/>
  <c r="J22" i="19"/>
  <c r="J31" i="19" s="1"/>
  <c r="K22" i="19"/>
  <c r="K31" i="19" s="1"/>
  <c r="L22" i="19"/>
  <c r="L31" i="19" s="1"/>
  <c r="M22" i="19"/>
  <c r="M31" i="19" s="1"/>
  <c r="N22" i="19"/>
  <c r="N31" i="19" s="1"/>
  <c r="C23" i="19"/>
  <c r="C32" i="19" s="1"/>
  <c r="D23" i="19"/>
  <c r="D32" i="19" s="1"/>
  <c r="E23" i="19"/>
  <c r="E32" i="19" s="1"/>
  <c r="F23" i="19"/>
  <c r="F32" i="19" s="1"/>
  <c r="G23" i="19"/>
  <c r="G32" i="19" s="1"/>
  <c r="H23" i="19"/>
  <c r="H32" i="19" s="1"/>
  <c r="I23" i="19"/>
  <c r="I32" i="19" s="1"/>
  <c r="J23" i="19"/>
  <c r="J32" i="19" s="1"/>
  <c r="K23" i="19"/>
  <c r="K32" i="19" s="1"/>
  <c r="L23" i="19"/>
  <c r="L32" i="19" s="1"/>
  <c r="M23" i="19"/>
  <c r="M32" i="19" s="1"/>
  <c r="N23" i="19"/>
  <c r="N32" i="19" s="1"/>
  <c r="C24" i="19"/>
  <c r="C33" i="19" s="1"/>
  <c r="D24" i="19"/>
  <c r="D33" i="19" s="1"/>
  <c r="E24" i="19"/>
  <c r="E33" i="19" s="1"/>
  <c r="F24" i="19"/>
  <c r="F33" i="19" s="1"/>
  <c r="G24" i="19"/>
  <c r="G33" i="19" s="1"/>
  <c r="H24" i="19"/>
  <c r="H33" i="19" s="1"/>
  <c r="I24" i="19"/>
  <c r="I33" i="19" s="1"/>
  <c r="J24" i="19"/>
  <c r="J33" i="19" s="1"/>
  <c r="K24" i="19"/>
  <c r="K33" i="19" s="1"/>
  <c r="L24" i="19"/>
  <c r="L33" i="19" s="1"/>
  <c r="M24" i="19"/>
  <c r="M33" i="19" s="1"/>
  <c r="N24" i="19"/>
  <c r="N33" i="19" s="1"/>
  <c r="B22" i="17"/>
  <c r="M21" i="18" l="1"/>
  <c r="D13" i="18"/>
  <c r="N21" i="18"/>
  <c r="S21" i="18"/>
  <c r="T21" i="18"/>
  <c r="AU23" i="18"/>
  <c r="AU33" i="18"/>
  <c r="AU44" i="18"/>
  <c r="F21" i="18"/>
  <c r="K22" i="18"/>
  <c r="K21" i="18"/>
  <c r="D44" i="18"/>
  <c r="D33" i="18"/>
  <c r="D23" i="18"/>
  <c r="E30" i="18"/>
  <c r="F27" i="18"/>
  <c r="G22" i="18"/>
  <c r="G21" i="18"/>
  <c r="H21" i="18"/>
  <c r="I21" i="18"/>
  <c r="R21" i="18"/>
  <c r="H39" i="17"/>
  <c r="K24" i="17"/>
  <c r="K34" i="17"/>
  <c r="K40" i="17" s="1"/>
  <c r="K45" i="17"/>
  <c r="K51" i="17" s="1"/>
  <c r="L21" i="18"/>
  <c r="J21" i="18"/>
  <c r="O21" i="18"/>
  <c r="P21" i="18"/>
  <c r="P22" i="18"/>
  <c r="Q21" i="18"/>
  <c r="AC22" i="18"/>
  <c r="AL50" i="18"/>
  <c r="AL46" i="18"/>
  <c r="L23" i="17"/>
  <c r="L44" i="17"/>
  <c r="L33" i="17"/>
  <c r="Y21" i="18"/>
  <c r="AF22" i="18"/>
  <c r="AF21" i="18"/>
  <c r="AO21" i="18"/>
  <c r="P21" i="17"/>
  <c r="P22" i="17"/>
  <c r="AW21" i="17"/>
  <c r="AO21" i="17"/>
  <c r="AG21" i="17"/>
  <c r="Y21" i="17"/>
  <c r="D21" i="17"/>
  <c r="D30" i="18"/>
  <c r="AH22" i="18"/>
  <c r="AM10" i="18"/>
  <c r="AM13" i="18" s="1"/>
  <c r="AR21" i="18"/>
  <c r="AV22" i="17"/>
  <c r="V21" i="18"/>
  <c r="AG21" i="18"/>
  <c r="O23" i="17"/>
  <c r="O33" i="17"/>
  <c r="O44" i="17"/>
  <c r="D22" i="17"/>
  <c r="AN22" i="17"/>
  <c r="AF22" i="17"/>
  <c r="X22" i="17"/>
  <c r="AP21" i="16"/>
  <c r="D21" i="16"/>
  <c r="Z21" i="16"/>
  <c r="AI21" i="16"/>
  <c r="U21" i="18"/>
  <c r="W21" i="18"/>
  <c r="Z21" i="18"/>
  <c r="Z10" i="18"/>
  <c r="Z13" i="18" s="1"/>
  <c r="AB22" i="18"/>
  <c r="AB21" i="18"/>
  <c r="AC21" i="18"/>
  <c r="AE21" i="18"/>
  <c r="AE22" i="18"/>
  <c r="AH21" i="18"/>
  <c r="AJ22" i="18"/>
  <c r="AJ21" i="18"/>
  <c r="AK21" i="18"/>
  <c r="O22" i="17"/>
  <c r="X21" i="18"/>
  <c r="AD21" i="18"/>
  <c r="AI21" i="18"/>
  <c r="AY22" i="18"/>
  <c r="H23" i="17"/>
  <c r="H44" i="17"/>
  <c r="B22" i="18"/>
  <c r="D22" i="18" s="1"/>
  <c r="V22" i="18"/>
  <c r="AD22" i="18"/>
  <c r="AG22" i="18"/>
  <c r="AL10" i="18"/>
  <c r="AL13" i="18" s="1"/>
  <c r="AL33" i="18"/>
  <c r="AL23" i="18"/>
  <c r="AO22" i="18"/>
  <c r="AQ21" i="18"/>
  <c r="AV22" i="18"/>
  <c r="AV21" i="18"/>
  <c r="AY21" i="18"/>
  <c r="AZ17" i="17"/>
  <c r="H22" i="17"/>
  <c r="G23" i="17"/>
  <c r="G33" i="17"/>
  <c r="G44" i="17"/>
  <c r="K21" i="17"/>
  <c r="L22" i="17"/>
  <c r="Q21" i="17"/>
  <c r="Q22" i="17"/>
  <c r="R24" i="17"/>
  <c r="R34" i="17"/>
  <c r="R45" i="17"/>
  <c r="U21" i="17"/>
  <c r="U22" i="17"/>
  <c r="AR10" i="18"/>
  <c r="AR13" i="18" s="1"/>
  <c r="AV10" i="18"/>
  <c r="AV13" i="18" s="1"/>
  <c r="I10" i="17"/>
  <c r="I13" i="17" s="1"/>
  <c r="M10" i="17"/>
  <c r="M13" i="17" s="1"/>
  <c r="T21" i="17"/>
  <c r="T22" i="17"/>
  <c r="AB22" i="17"/>
  <c r="AJ22" i="17"/>
  <c r="AR22" i="17"/>
  <c r="AT39" i="17"/>
  <c r="AT35" i="17"/>
  <c r="P24" i="16"/>
  <c r="P34" i="16"/>
  <c r="P45" i="16"/>
  <c r="P51" i="16" s="1"/>
  <c r="D10" i="17"/>
  <c r="I21" i="17"/>
  <c r="I22" i="17"/>
  <c r="M21" i="17"/>
  <c r="M22" i="17"/>
  <c r="R15" i="17"/>
  <c r="Q10" i="17"/>
  <c r="Q13" i="17" s="1"/>
  <c r="R14" i="17" s="1"/>
  <c r="R10" i="17" s="1"/>
  <c r="R13" i="17" s="1"/>
  <c r="V15" i="17"/>
  <c r="U10" i="17"/>
  <c r="U13" i="17" s="1"/>
  <c r="V14" i="17" s="1"/>
  <c r="V10" i="17" s="1"/>
  <c r="V13" i="17" s="1"/>
  <c r="X21" i="17"/>
  <c r="AF21" i="17"/>
  <c r="AN21" i="17"/>
  <c r="X33" i="16"/>
  <c r="X44" i="16"/>
  <c r="X23" i="16"/>
  <c r="AH21" i="16"/>
  <c r="AH22" i="16"/>
  <c r="AO10" i="18"/>
  <c r="AO13" i="18" s="1"/>
  <c r="AS10" i="18"/>
  <c r="AS13" i="18" s="1"/>
  <c r="AW10" i="18"/>
  <c r="AW13" i="18" s="1"/>
  <c r="E27" i="17"/>
  <c r="D30" i="17"/>
  <c r="E10" i="17"/>
  <c r="E13" i="17" s="1"/>
  <c r="G45" i="17"/>
  <c r="G51" i="17" s="1"/>
  <c r="V46" i="17"/>
  <c r="V51" i="17"/>
  <c r="V39" i="17"/>
  <c r="V35" i="17"/>
  <c r="AC22" i="17"/>
  <c r="AC21" i="17"/>
  <c r="AK22" i="17"/>
  <c r="AK21" i="17"/>
  <c r="AS22" i="17"/>
  <c r="AS21" i="17"/>
  <c r="AV21" i="17"/>
  <c r="Z21" i="17"/>
  <c r="Z22" i="17"/>
  <c r="AC10" i="17"/>
  <c r="AC13" i="17" s="1"/>
  <c r="AE22" i="17"/>
  <c r="AE21" i="17"/>
  <c r="AM22" i="17"/>
  <c r="AM21" i="17"/>
  <c r="AP21" i="17"/>
  <c r="AP22" i="17"/>
  <c r="AT17" i="17"/>
  <c r="D13" i="16"/>
  <c r="E14" i="16" s="1"/>
  <c r="E10" i="16" s="1"/>
  <c r="E13" i="16" s="1"/>
  <c r="E33" i="16"/>
  <c r="E23" i="16"/>
  <c r="H21" i="16"/>
  <c r="I22" i="16"/>
  <c r="I21" i="16"/>
  <c r="P46" i="16"/>
  <c r="U21" i="16"/>
  <c r="U22" i="16"/>
  <c r="Y22" i="17"/>
  <c r="AG22" i="17"/>
  <c r="AO22" i="17"/>
  <c r="AW22" i="17"/>
  <c r="F27" i="16"/>
  <c r="E30" i="16"/>
  <c r="V21" i="16"/>
  <c r="AA22" i="17"/>
  <c r="AA21" i="17"/>
  <c r="AB21" i="17"/>
  <c r="AH21" i="17"/>
  <c r="AH22" i="17"/>
  <c r="AI22" i="17"/>
  <c r="AI21" i="17"/>
  <c r="AJ21" i="17"/>
  <c r="AL21" i="17"/>
  <c r="AL22" i="17"/>
  <c r="AQ22" i="17"/>
  <c r="AQ21" i="17"/>
  <c r="AR21" i="17"/>
  <c r="AT10" i="17"/>
  <c r="AT13" i="17" s="1"/>
  <c r="AX21" i="17"/>
  <c r="AX22" i="17"/>
  <c r="AY22" i="17"/>
  <c r="AY21" i="17"/>
  <c r="E50" i="16"/>
  <c r="E46" i="16"/>
  <c r="L21" i="16"/>
  <c r="W21" i="16"/>
  <c r="W22" i="16"/>
  <c r="AA21" i="16"/>
  <c r="AZ17" i="16"/>
  <c r="M22" i="16"/>
  <c r="P15" i="16"/>
  <c r="O10" i="16"/>
  <c r="O13" i="16" s="1"/>
  <c r="P14" i="16" s="1"/>
  <c r="P10" i="16" s="1"/>
  <c r="P13" i="16" s="1"/>
  <c r="S21" i="16"/>
  <c r="S22" i="16"/>
  <c r="AJ10" i="16"/>
  <c r="AJ13" i="16" s="1"/>
  <c r="AK14" i="16" s="1"/>
  <c r="AK15" i="16"/>
  <c r="G21" i="16"/>
  <c r="G22" i="16"/>
  <c r="M21" i="16"/>
  <c r="O21" i="16"/>
  <c r="Z22" i="16"/>
  <c r="AE21" i="16"/>
  <c r="J21" i="16"/>
  <c r="J22" i="16"/>
  <c r="K21" i="16"/>
  <c r="N21" i="16"/>
  <c r="N22" i="16"/>
  <c r="R21" i="16"/>
  <c r="T23" i="16"/>
  <c r="W10" i="16"/>
  <c r="W13" i="16" s="1"/>
  <c r="X14" i="16" s="1"/>
  <c r="X10" i="16" s="1"/>
  <c r="X13" i="16" s="1"/>
  <c r="AD21" i="16"/>
  <c r="AK35" i="16"/>
  <c r="AK39" i="16"/>
  <c r="AN33" i="16"/>
  <c r="AN44" i="16"/>
  <c r="AN23" i="16"/>
  <c r="AT21" i="16"/>
  <c r="AV22" i="16"/>
  <c r="AV21" i="16"/>
  <c r="P50" i="16"/>
  <c r="T44" i="16"/>
  <c r="X16" i="16"/>
  <c r="AB21" i="16"/>
  <c r="AF21" i="16"/>
  <c r="AM21" i="16"/>
  <c r="AN10" i="16"/>
  <c r="AN13" i="16" s="1"/>
  <c r="AQ21" i="16"/>
  <c r="AR21" i="16"/>
  <c r="AU21" i="16"/>
  <c r="AU22" i="16"/>
  <c r="AC21" i="16"/>
  <c r="AJ21" i="16"/>
  <c r="AY21" i="16"/>
  <c r="AF10" i="16"/>
  <c r="AF13" i="16" s="1"/>
  <c r="AK46" i="16"/>
  <c r="AX46" i="16"/>
  <c r="AX50" i="16"/>
  <c r="N260" i="15"/>
  <c r="R260" i="15"/>
  <c r="AB260" i="15"/>
  <c r="AG260" i="15"/>
  <c r="AT260" i="15"/>
  <c r="AX260" i="15"/>
  <c r="L260" i="14"/>
  <c r="Q260" i="14"/>
  <c r="AD260" i="14"/>
  <c r="AH260" i="14"/>
  <c r="AR260" i="14"/>
  <c r="AW260" i="14"/>
  <c r="AR10" i="16"/>
  <c r="AR13" i="16" s="1"/>
  <c r="AV10" i="16"/>
  <c r="AV13" i="16" s="1"/>
  <c r="D260" i="15"/>
  <c r="D259" i="15"/>
  <c r="AZ259" i="15" s="1"/>
  <c r="BA14" i="15"/>
  <c r="I260" i="15"/>
  <c r="V260" i="15"/>
  <c r="Z260" i="15"/>
  <c r="AJ260" i="15"/>
  <c r="AO260" i="15"/>
  <c r="F260" i="14"/>
  <c r="AZ260" i="14" s="1"/>
  <c r="J260" i="14"/>
  <c r="T260" i="14"/>
  <c r="Y260" i="14"/>
  <c r="AL260" i="14"/>
  <c r="AP260" i="14"/>
  <c r="AR22" i="16"/>
  <c r="AX35" i="16"/>
  <c r="AX39" i="16"/>
  <c r="D259" i="14"/>
  <c r="AZ259" i="14" s="1"/>
  <c r="BA14" i="14"/>
  <c r="T43" i="20"/>
  <c r="H260" i="15"/>
  <c r="P260" i="15"/>
  <c r="X260" i="15"/>
  <c r="AF260" i="15"/>
  <c r="AN260" i="15"/>
  <c r="AV260" i="15"/>
  <c r="H260" i="14"/>
  <c r="P260" i="14"/>
  <c r="X260" i="14"/>
  <c r="AF260" i="14"/>
  <c r="AN260" i="14"/>
  <c r="AV260" i="14"/>
  <c r="H8" i="20"/>
  <c r="S31" i="20"/>
  <c r="T32" i="20" s="1"/>
  <c r="H7" i="20"/>
  <c r="S8" i="20"/>
  <c r="T11" i="20" s="1"/>
  <c r="T45" i="20" s="1"/>
  <c r="H9" i="20"/>
  <c r="S10" i="20"/>
  <c r="B22" i="16"/>
  <c r="D22" i="16" s="1"/>
  <c r="Y21" i="16" l="1"/>
  <c r="Y22" i="16"/>
  <c r="Z24" i="16"/>
  <c r="Z34" i="16"/>
  <c r="Z40" i="16" s="1"/>
  <c r="Z45" i="16"/>
  <c r="Z51" i="16" s="1"/>
  <c r="S34" i="16"/>
  <c r="S40" i="16" s="1"/>
  <c r="S45" i="16"/>
  <c r="S51" i="16" s="1"/>
  <c r="S24" i="16"/>
  <c r="AB44" i="17"/>
  <c r="AB23" i="17"/>
  <c r="AB33" i="17"/>
  <c r="U34" i="16"/>
  <c r="U40" i="16" s="1"/>
  <c r="U45" i="16"/>
  <c r="U51" i="16" s="1"/>
  <c r="U24" i="16"/>
  <c r="AE33" i="17"/>
  <c r="AE44" i="17"/>
  <c r="AE23" i="17"/>
  <c r="W22" i="17"/>
  <c r="W21" i="17"/>
  <c r="J21" i="17"/>
  <c r="J22" i="17"/>
  <c r="V24" i="18"/>
  <c r="V45" i="18"/>
  <c r="V51" i="18" s="1"/>
  <c r="V34" i="18"/>
  <c r="V40" i="18" s="1"/>
  <c r="AK44" i="18"/>
  <c r="AK23" i="18"/>
  <c r="AK33" i="18"/>
  <c r="D44" i="16"/>
  <c r="D23" i="16"/>
  <c r="D33" i="16"/>
  <c r="AH24" i="18"/>
  <c r="AH45" i="18"/>
  <c r="AH51" i="18" s="1"/>
  <c r="AH34" i="18"/>
  <c r="AH40" i="18" s="1"/>
  <c r="AF45" i="18"/>
  <c r="AF51" i="18" s="1"/>
  <c r="AF24" i="18"/>
  <c r="AF34" i="18"/>
  <c r="AF40" i="18" s="1"/>
  <c r="P34" i="18"/>
  <c r="P40" i="18" s="1"/>
  <c r="P45" i="18"/>
  <c r="P51" i="18" s="1"/>
  <c r="P24" i="18"/>
  <c r="I33" i="18"/>
  <c r="I44" i="18"/>
  <c r="I23" i="18"/>
  <c r="K45" i="18"/>
  <c r="K51" i="18" s="1"/>
  <c r="K24" i="18"/>
  <c r="K34" i="18"/>
  <c r="K40" i="18" s="1"/>
  <c r="E21" i="18"/>
  <c r="E22" i="18"/>
  <c r="AG21" i="16"/>
  <c r="AG22" i="16"/>
  <c r="AJ22" i="16"/>
  <c r="AU44" i="16"/>
  <c r="AU23" i="16"/>
  <c r="AU33" i="16"/>
  <c r="AO21" i="16"/>
  <c r="AO22" i="16"/>
  <c r="AF22" i="16"/>
  <c r="T50" i="16"/>
  <c r="T46" i="16"/>
  <c r="AT23" i="16"/>
  <c r="AT44" i="16"/>
  <c r="AT33" i="16"/>
  <c r="AN46" i="16"/>
  <c r="AN50" i="16"/>
  <c r="AI22" i="16"/>
  <c r="N44" i="16"/>
  <c r="N23" i="16"/>
  <c r="N33" i="16"/>
  <c r="J44" i="16"/>
  <c r="J23" i="16"/>
  <c r="J33" i="16"/>
  <c r="O22" i="16"/>
  <c r="G33" i="16"/>
  <c r="G44" i="16"/>
  <c r="G23" i="16"/>
  <c r="S44" i="16"/>
  <c r="S23" i="16"/>
  <c r="S33" i="16"/>
  <c r="W23" i="16"/>
  <c r="W44" i="16"/>
  <c r="W33" i="16"/>
  <c r="AY33" i="17"/>
  <c r="AY44" i="17"/>
  <c r="AY23" i="17"/>
  <c r="AU22" i="17"/>
  <c r="AU21" i="17"/>
  <c r="AL34" i="17"/>
  <c r="AL40" i="17" s="1"/>
  <c r="AL45" i="17"/>
  <c r="AL51" i="17" s="1"/>
  <c r="AL24" i="17"/>
  <c r="AI45" i="17"/>
  <c r="AI51" i="17" s="1"/>
  <c r="AI24" i="17"/>
  <c r="AI34" i="17"/>
  <c r="AI40" i="17" s="1"/>
  <c r="AA33" i="17"/>
  <c r="AA44" i="17"/>
  <c r="AA23" i="17"/>
  <c r="AO24" i="17"/>
  <c r="AO45" i="17"/>
  <c r="AO51" i="17" s="1"/>
  <c r="AO34" i="17"/>
  <c r="AO40" i="17" s="1"/>
  <c r="U33" i="16"/>
  <c r="U44" i="16"/>
  <c r="U23" i="16"/>
  <c r="H22" i="16"/>
  <c r="F21" i="16"/>
  <c r="F22" i="16"/>
  <c r="AP23" i="17"/>
  <c r="AP44" i="17"/>
  <c r="AP33" i="17"/>
  <c r="AE45" i="17"/>
  <c r="AE51" i="17" s="1"/>
  <c r="AE24" i="17"/>
  <c r="AE34" i="17"/>
  <c r="AE40" i="17" s="1"/>
  <c r="L22" i="16"/>
  <c r="AK33" i="17"/>
  <c r="AK23" i="17"/>
  <c r="AK44" i="17"/>
  <c r="AX21" i="18"/>
  <c r="AX22" i="18"/>
  <c r="AH33" i="16"/>
  <c r="AH23" i="16"/>
  <c r="AH44" i="16"/>
  <c r="AN44" i="17"/>
  <c r="AN23" i="17"/>
  <c r="AN33" i="17"/>
  <c r="M44" i="17"/>
  <c r="M23" i="17"/>
  <c r="M33" i="17"/>
  <c r="T34" i="17"/>
  <c r="T40" i="17" s="1"/>
  <c r="T45" i="17"/>
  <c r="T51" i="17" s="1"/>
  <c r="T24" i="17"/>
  <c r="AW21" i="18"/>
  <c r="AW22" i="18"/>
  <c r="R46" i="17"/>
  <c r="R51" i="17"/>
  <c r="Q33" i="17"/>
  <c r="Q44" i="17"/>
  <c r="Q23" i="17"/>
  <c r="G39" i="17"/>
  <c r="G35" i="17"/>
  <c r="AY23" i="18"/>
  <c r="AY33" i="18"/>
  <c r="AY44" i="18"/>
  <c r="AO34" i="18"/>
  <c r="AO40" i="18" s="1"/>
  <c r="AO24" i="18"/>
  <c r="AO45" i="18"/>
  <c r="AO51" i="18" s="1"/>
  <c r="AG34" i="18"/>
  <c r="AG40" i="18" s="1"/>
  <c r="AG24" i="18"/>
  <c r="AG45" i="18"/>
  <c r="AG51" i="18" s="1"/>
  <c r="D34" i="18"/>
  <c r="D40" i="18" s="1"/>
  <c r="D24" i="18"/>
  <c r="D45" i="18"/>
  <c r="D51" i="18" s="1"/>
  <c r="AI22" i="18"/>
  <c r="X22" i="18"/>
  <c r="AJ33" i="18"/>
  <c r="AJ44" i="18"/>
  <c r="AJ23" i="18"/>
  <c r="AE23" i="18"/>
  <c r="AE44" i="18"/>
  <c r="AE33" i="18"/>
  <c r="AA21" i="18"/>
  <c r="AA22" i="18"/>
  <c r="U44" i="18"/>
  <c r="U23" i="18"/>
  <c r="U33" i="18"/>
  <c r="AP33" i="16"/>
  <c r="AP44" i="16"/>
  <c r="AP23" i="16"/>
  <c r="D45" i="17"/>
  <c r="D51" i="17" s="1"/>
  <c r="D24" i="17"/>
  <c r="D34" i="17"/>
  <c r="D40" i="17" s="1"/>
  <c r="AQ22" i="18"/>
  <c r="AR23" i="18"/>
  <c r="AR33" i="18"/>
  <c r="AR44" i="18"/>
  <c r="Z22" i="18"/>
  <c r="AG33" i="17"/>
  <c r="AG23" i="17"/>
  <c r="AG44" i="17"/>
  <c r="P23" i="17"/>
  <c r="P44" i="17"/>
  <c r="P33" i="17"/>
  <c r="Y44" i="18"/>
  <c r="Y23" i="18"/>
  <c r="Y33" i="18"/>
  <c r="U22" i="18"/>
  <c r="P44" i="18"/>
  <c r="P33" i="18"/>
  <c r="P23" i="18"/>
  <c r="J22" i="18"/>
  <c r="R23" i="18"/>
  <c r="R33" i="18"/>
  <c r="R44" i="18"/>
  <c r="H22" i="18"/>
  <c r="F30" i="18"/>
  <c r="G27" i="18"/>
  <c r="D50" i="18"/>
  <c r="D46" i="18"/>
  <c r="F23" i="18"/>
  <c r="F33" i="18"/>
  <c r="F44" i="18"/>
  <c r="S22" i="18"/>
  <c r="AZ10" i="18"/>
  <c r="AR45" i="16"/>
  <c r="AR51" i="16" s="1"/>
  <c r="AR34" i="16"/>
  <c r="AR40" i="16" s="1"/>
  <c r="AR24" i="16"/>
  <c r="AS21" i="16"/>
  <c r="AS22" i="16"/>
  <c r="AU34" i="16"/>
  <c r="AU40" i="16" s="1"/>
  <c r="AU24" i="16"/>
  <c r="AU45" i="16"/>
  <c r="AU51" i="16" s="1"/>
  <c r="AF33" i="16"/>
  <c r="AF44" i="16"/>
  <c r="AF23" i="16"/>
  <c r="AV24" i="16"/>
  <c r="AV45" i="16"/>
  <c r="AV51" i="16" s="1"/>
  <c r="AV34" i="16"/>
  <c r="AV40" i="16" s="1"/>
  <c r="J34" i="16"/>
  <c r="J40" i="16" s="1"/>
  <c r="J45" i="16"/>
  <c r="J51" i="16" s="1"/>
  <c r="J24" i="16"/>
  <c r="M45" i="16"/>
  <c r="M51" i="16" s="1"/>
  <c r="M24" i="16"/>
  <c r="M34" i="16"/>
  <c r="M40" i="16" s="1"/>
  <c r="AQ45" i="17"/>
  <c r="AQ51" i="17" s="1"/>
  <c r="AQ24" i="17"/>
  <c r="AQ34" i="17"/>
  <c r="AQ40" i="17" s="1"/>
  <c r="V33" i="16"/>
  <c r="V44" i="16"/>
  <c r="V23" i="16"/>
  <c r="I45" i="16"/>
  <c r="I51" i="16" s="1"/>
  <c r="I24" i="16"/>
  <c r="I34" i="16"/>
  <c r="I40" i="16" s="1"/>
  <c r="AP34" i="17"/>
  <c r="AP40" i="17" s="1"/>
  <c r="AP45" i="17"/>
  <c r="AP51" i="17" s="1"/>
  <c r="AP24" i="17"/>
  <c r="AS24" i="17"/>
  <c r="AS45" i="17"/>
  <c r="AS51" i="17" s="1"/>
  <c r="AS34" i="17"/>
  <c r="AS40" i="17" s="1"/>
  <c r="X35" i="16"/>
  <c r="X39" i="16"/>
  <c r="AZ10" i="17"/>
  <c r="D13" i="17"/>
  <c r="U33" i="17"/>
  <c r="U44" i="17"/>
  <c r="U23" i="17"/>
  <c r="AM21" i="18"/>
  <c r="AM22" i="18"/>
  <c r="X33" i="18"/>
  <c r="X44" i="18"/>
  <c r="X23" i="18"/>
  <c r="AB45" i="18"/>
  <c r="AB51" i="18" s="1"/>
  <c r="AB24" i="18"/>
  <c r="AB34" i="18"/>
  <c r="AB40" i="18" s="1"/>
  <c r="AN34" i="17"/>
  <c r="AN40" i="17" s="1"/>
  <c r="AN24" i="17"/>
  <c r="AN45" i="17"/>
  <c r="AN51" i="17" s="1"/>
  <c r="P34" i="17"/>
  <c r="P40" i="17" s="1"/>
  <c r="P45" i="17"/>
  <c r="P51" i="17" s="1"/>
  <c r="P24" i="17"/>
  <c r="S44" i="18"/>
  <c r="S23" i="18"/>
  <c r="S33" i="18"/>
  <c r="AZ260" i="15"/>
  <c r="AY22" i="16"/>
  <c r="AC22" i="16"/>
  <c r="AR23" i="16"/>
  <c r="AR33" i="16"/>
  <c r="AR44" i="16"/>
  <c r="AM22" i="16"/>
  <c r="AB33" i="16"/>
  <c r="AB44" i="16"/>
  <c r="AB23" i="16"/>
  <c r="AT22" i="16"/>
  <c r="AN35" i="16"/>
  <c r="AN39" i="16"/>
  <c r="AD22" i="16"/>
  <c r="R23" i="16"/>
  <c r="R33" i="16"/>
  <c r="R44" i="16"/>
  <c r="K22" i="16"/>
  <c r="AE23" i="16"/>
  <c r="AE33" i="16"/>
  <c r="AE44" i="16"/>
  <c r="O33" i="16"/>
  <c r="O44" i="16"/>
  <c r="O23" i="16"/>
  <c r="Q22" i="16"/>
  <c r="Q21" i="16"/>
  <c r="AA23" i="16"/>
  <c r="AA33" i="16"/>
  <c r="AA44" i="16"/>
  <c r="L23" i="16"/>
  <c r="L33" i="16"/>
  <c r="L44" i="16"/>
  <c r="AY45" i="17"/>
  <c r="AY51" i="17" s="1"/>
  <c r="AY24" i="17"/>
  <c r="AY34" i="17"/>
  <c r="AY40" i="17" s="1"/>
  <c r="AR44" i="17"/>
  <c r="AR23" i="17"/>
  <c r="AR33" i="17"/>
  <c r="AL23" i="17"/>
  <c r="AL44" i="17"/>
  <c r="AL33" i="17"/>
  <c r="AH34" i="17"/>
  <c r="AH40" i="17" s="1"/>
  <c r="AH45" i="17"/>
  <c r="AH51" i="17" s="1"/>
  <c r="AH24" i="17"/>
  <c r="AA45" i="17"/>
  <c r="AA51" i="17" s="1"/>
  <c r="AA24" i="17"/>
  <c r="AA34" i="17"/>
  <c r="AA40" i="17" s="1"/>
  <c r="G27" i="16"/>
  <c r="F30" i="16"/>
  <c r="AG24" i="17"/>
  <c r="AG45" i="17"/>
  <c r="AG51" i="17" s="1"/>
  <c r="AG34" i="17"/>
  <c r="AG40" i="17" s="1"/>
  <c r="H23" i="16"/>
  <c r="H33" i="16"/>
  <c r="H44" i="16"/>
  <c r="AZ10" i="16"/>
  <c r="AM33" i="17"/>
  <c r="AM44" i="17"/>
  <c r="AM23" i="17"/>
  <c r="AD21" i="17"/>
  <c r="AD22" i="17"/>
  <c r="AV44" i="17"/>
  <c r="AV23" i="17"/>
  <c r="AV33" i="17"/>
  <c r="AK24" i="17"/>
  <c r="AK45" i="17"/>
  <c r="AK51" i="17" s="1"/>
  <c r="AK34" i="17"/>
  <c r="AK40" i="17" s="1"/>
  <c r="F21" i="17"/>
  <c r="F22" i="17"/>
  <c r="AT21" i="18"/>
  <c r="AT22" i="18"/>
  <c r="AF44" i="17"/>
  <c r="AF23" i="17"/>
  <c r="AF33" i="17"/>
  <c r="S22" i="17"/>
  <c r="S21" i="17"/>
  <c r="I34" i="17"/>
  <c r="I40" i="17" s="1"/>
  <c r="I45" i="17"/>
  <c r="I51" i="17" s="1"/>
  <c r="I24" i="17"/>
  <c r="P40" i="16"/>
  <c r="P35" i="16"/>
  <c r="AR34" i="17"/>
  <c r="AR40" i="17" s="1"/>
  <c r="AR24" i="17"/>
  <c r="AR45" i="17"/>
  <c r="AR51" i="17" s="1"/>
  <c r="T44" i="17"/>
  <c r="T23" i="17"/>
  <c r="T33" i="17"/>
  <c r="AS21" i="18"/>
  <c r="AS22" i="18"/>
  <c r="R40" i="17"/>
  <c r="R35" i="17"/>
  <c r="L45" i="17"/>
  <c r="L51" i="17" s="1"/>
  <c r="L24" i="17"/>
  <c r="L34" i="17"/>
  <c r="L40" i="17" s="1"/>
  <c r="AV23" i="18"/>
  <c r="AV33" i="18"/>
  <c r="AV44" i="18"/>
  <c r="AD24" i="18"/>
  <c r="AD45" i="18"/>
  <c r="AD51" i="18" s="1"/>
  <c r="AD34" i="18"/>
  <c r="AD40" i="18" s="1"/>
  <c r="H50" i="17"/>
  <c r="AI23" i="18"/>
  <c r="AI44" i="18"/>
  <c r="AI33" i="18"/>
  <c r="O24" i="17"/>
  <c r="O34" i="17"/>
  <c r="O40" i="17" s="1"/>
  <c r="O45" i="17"/>
  <c r="O51" i="17" s="1"/>
  <c r="AJ45" i="18"/>
  <c r="AJ51" i="18" s="1"/>
  <c r="AJ24" i="18"/>
  <c r="AJ34" i="18"/>
  <c r="AJ40" i="18" s="1"/>
  <c r="AC44" i="18"/>
  <c r="AC23" i="18"/>
  <c r="AC33" i="18"/>
  <c r="Z33" i="18"/>
  <c r="Z23" i="18"/>
  <c r="Z44" i="18"/>
  <c r="AI23" i="16"/>
  <c r="AI33" i="16"/>
  <c r="AI44" i="16"/>
  <c r="X34" i="17"/>
  <c r="X40" i="17" s="1"/>
  <c r="X24" i="17"/>
  <c r="X45" i="17"/>
  <c r="X51" i="17" s="1"/>
  <c r="O46" i="17"/>
  <c r="O50" i="17"/>
  <c r="AG44" i="18"/>
  <c r="AG23" i="18"/>
  <c r="AG33" i="18"/>
  <c r="AR22" i="18"/>
  <c r="AO33" i="17"/>
  <c r="AO23" i="17"/>
  <c r="AO44" i="17"/>
  <c r="AO44" i="18"/>
  <c r="AO23" i="18"/>
  <c r="AO33" i="18"/>
  <c r="L39" i="17"/>
  <c r="Q22" i="18"/>
  <c r="O44" i="18"/>
  <c r="O23" i="18"/>
  <c r="O33" i="18"/>
  <c r="L22" i="18"/>
  <c r="R22" i="18"/>
  <c r="H44" i="18"/>
  <c r="H33" i="18"/>
  <c r="H23" i="18"/>
  <c r="F22" i="18"/>
  <c r="T33" i="18"/>
  <c r="T44" i="18"/>
  <c r="T23" i="18"/>
  <c r="N22" i="18"/>
  <c r="M22" i="18"/>
  <c r="AJ33" i="16"/>
  <c r="AJ44" i="16"/>
  <c r="AJ23" i="16"/>
  <c r="AQ23" i="16"/>
  <c r="AQ33" i="16"/>
  <c r="AQ44" i="16"/>
  <c r="N34" i="16"/>
  <c r="N40" i="16" s="1"/>
  <c r="N45" i="16"/>
  <c r="N51" i="16" s="1"/>
  <c r="N24" i="16"/>
  <c r="G24" i="16"/>
  <c r="G34" i="16"/>
  <c r="G40" i="16" s="1"/>
  <c r="G45" i="16"/>
  <c r="G51" i="16" s="1"/>
  <c r="W24" i="16"/>
  <c r="W34" i="16"/>
  <c r="W40" i="16" s="1"/>
  <c r="W45" i="16"/>
  <c r="W51" i="16" s="1"/>
  <c r="AX23" i="17"/>
  <c r="AX44" i="17"/>
  <c r="AX33" i="17"/>
  <c r="AI33" i="17"/>
  <c r="AI44" i="17"/>
  <c r="AI23" i="17"/>
  <c r="AW24" i="17"/>
  <c r="AW45" i="17"/>
  <c r="AW51" i="17" s="1"/>
  <c r="AW34" i="17"/>
  <c r="AW40" i="17" s="1"/>
  <c r="E35" i="16"/>
  <c r="E39" i="16"/>
  <c r="Z23" i="17"/>
  <c r="Z44" i="17"/>
  <c r="Z33" i="17"/>
  <c r="AC24" i="17"/>
  <c r="AC45" i="17"/>
  <c r="AC51" i="17" s="1"/>
  <c r="AC34" i="17"/>
  <c r="AC40" i="17" s="1"/>
  <c r="F27" i="17"/>
  <c r="E30" i="17"/>
  <c r="AH24" i="16"/>
  <c r="AH34" i="16"/>
  <c r="AH40" i="16" s="1"/>
  <c r="AH45" i="16"/>
  <c r="AH51" i="16" s="1"/>
  <c r="M34" i="17"/>
  <c r="M40" i="17" s="1"/>
  <c r="M45" i="17"/>
  <c r="M51" i="17" s="1"/>
  <c r="M24" i="17"/>
  <c r="AB34" i="17"/>
  <c r="AB40" i="17" s="1"/>
  <c r="AB24" i="17"/>
  <c r="AB45" i="17"/>
  <c r="AB51" i="17" s="1"/>
  <c r="Q24" i="17"/>
  <c r="Q34" i="17"/>
  <c r="Q40" i="17" s="1"/>
  <c r="Q45" i="17"/>
  <c r="Q51" i="17" s="1"/>
  <c r="G46" i="17"/>
  <c r="G50" i="17"/>
  <c r="AQ23" i="18"/>
  <c r="AQ33" i="18"/>
  <c r="AQ44" i="18"/>
  <c r="AY24" i="18"/>
  <c r="AY45" i="18"/>
  <c r="AY51" i="18" s="1"/>
  <c r="AY34" i="18"/>
  <c r="AY40" i="18" s="1"/>
  <c r="AE34" i="18"/>
  <c r="AE40" i="18" s="1"/>
  <c r="AE45" i="18"/>
  <c r="AE51" i="18" s="1"/>
  <c r="AE24" i="18"/>
  <c r="W23" i="18"/>
  <c r="W44" i="18"/>
  <c r="W33" i="18"/>
  <c r="AV34" i="17"/>
  <c r="AV40" i="17" s="1"/>
  <c r="AV24" i="17"/>
  <c r="AV45" i="17"/>
  <c r="AV51" i="17" s="1"/>
  <c r="Y33" i="17"/>
  <c r="Y23" i="17"/>
  <c r="Y44" i="17"/>
  <c r="AC34" i="18"/>
  <c r="AC40" i="18" s="1"/>
  <c r="AC24" i="18"/>
  <c r="AC45" i="18"/>
  <c r="AC51" i="18" s="1"/>
  <c r="J23" i="18"/>
  <c r="J33" i="18"/>
  <c r="J44" i="18"/>
  <c r="G45" i="18"/>
  <c r="G51" i="18" s="1"/>
  <c r="G34" i="18"/>
  <c r="G40" i="18" s="1"/>
  <c r="G24" i="18"/>
  <c r="D35" i="18"/>
  <c r="D39" i="18"/>
  <c r="AU39" i="18"/>
  <c r="D34" i="16"/>
  <c r="D40" i="16" s="1"/>
  <c r="D24" i="16"/>
  <c r="D45" i="16"/>
  <c r="D51" i="16" s="1"/>
  <c r="AW21" i="16"/>
  <c r="AW22" i="16"/>
  <c r="AY44" i="16"/>
  <c r="AY23" i="16"/>
  <c r="AY33" i="16"/>
  <c r="AC44" i="16"/>
  <c r="AC23" i="16"/>
  <c r="AC33" i="16"/>
  <c r="AQ22" i="16"/>
  <c r="AM23" i="16"/>
  <c r="AM33" i="16"/>
  <c r="AM44" i="16"/>
  <c r="AB22" i="16"/>
  <c r="AV33" i="16"/>
  <c r="AV44" i="16"/>
  <c r="AV23" i="16"/>
  <c r="AP22" i="16"/>
  <c r="AD33" i="16"/>
  <c r="AD23" i="16"/>
  <c r="AD44" i="16"/>
  <c r="R22" i="16"/>
  <c r="K33" i="16"/>
  <c r="K44" i="16"/>
  <c r="K23" i="16"/>
  <c r="AE22" i="16"/>
  <c r="M23" i="16"/>
  <c r="M33" i="16"/>
  <c r="M44" i="16"/>
  <c r="AK10" i="16"/>
  <c r="AK13" i="16" s="1"/>
  <c r="AA22" i="16"/>
  <c r="AX34" i="17"/>
  <c r="AX40" i="17" s="1"/>
  <c r="AX45" i="17"/>
  <c r="AX51" i="17" s="1"/>
  <c r="AX24" i="17"/>
  <c r="AQ33" i="17"/>
  <c r="AQ44" i="17"/>
  <c r="AQ23" i="17"/>
  <c r="AJ44" i="17"/>
  <c r="AJ23" i="17"/>
  <c r="AJ33" i="17"/>
  <c r="AH23" i="17"/>
  <c r="AH44" i="17"/>
  <c r="AH33" i="17"/>
  <c r="V22" i="16"/>
  <c r="Y24" i="17"/>
  <c r="Y45" i="17"/>
  <c r="Y51" i="17" s="1"/>
  <c r="Y34" i="17"/>
  <c r="Y40" i="17" s="1"/>
  <c r="I23" i="16"/>
  <c r="I33" i="16"/>
  <c r="I44" i="16"/>
  <c r="AM45" i="17"/>
  <c r="AM51" i="17" s="1"/>
  <c r="AM24" i="17"/>
  <c r="AM34" i="17"/>
  <c r="AM40" i="17" s="1"/>
  <c r="Z34" i="17"/>
  <c r="Z40" i="17" s="1"/>
  <c r="Z45" i="17"/>
  <c r="Z51" i="17" s="1"/>
  <c r="Z24" i="17"/>
  <c r="AS33" i="17"/>
  <c r="AS23" i="17"/>
  <c r="AS44" i="17"/>
  <c r="AC33" i="17"/>
  <c r="AC23" i="17"/>
  <c r="AC44" i="17"/>
  <c r="AP21" i="18"/>
  <c r="AP22" i="18"/>
  <c r="X46" i="16"/>
  <c r="X50" i="16"/>
  <c r="X44" i="17"/>
  <c r="X23" i="17"/>
  <c r="X33" i="17"/>
  <c r="I44" i="17"/>
  <c r="I23" i="17"/>
  <c r="I33" i="17"/>
  <c r="AJ34" i="17"/>
  <c r="AJ40" i="17" s="1"/>
  <c r="AJ24" i="17"/>
  <c r="AJ45" i="17"/>
  <c r="AJ51" i="17" s="1"/>
  <c r="N21" i="17"/>
  <c r="N22" i="17"/>
  <c r="U24" i="17"/>
  <c r="U34" i="17"/>
  <c r="U40" i="17" s="1"/>
  <c r="U45" i="17"/>
  <c r="U51" i="17" s="1"/>
  <c r="K23" i="17"/>
  <c r="K33" i="17"/>
  <c r="K44" i="17"/>
  <c r="H45" i="17"/>
  <c r="H51" i="17" s="1"/>
  <c r="H24" i="17"/>
  <c r="H34" i="17"/>
  <c r="AV45" i="18"/>
  <c r="AV51" i="18" s="1"/>
  <c r="AV24" i="18"/>
  <c r="AV34" i="18"/>
  <c r="AV40" i="18" s="1"/>
  <c r="AL35" i="18"/>
  <c r="AL39" i="18"/>
  <c r="Y22" i="18"/>
  <c r="AD33" i="18"/>
  <c r="AD23" i="18"/>
  <c r="AD44" i="18"/>
  <c r="AU22" i="18"/>
  <c r="AH33" i="18"/>
  <c r="AH23" i="18"/>
  <c r="AH44" i="18"/>
  <c r="AB33" i="18"/>
  <c r="AB44" i="18"/>
  <c r="AB23" i="18"/>
  <c r="W22" i="18"/>
  <c r="Z33" i="16"/>
  <c r="Z23" i="16"/>
  <c r="Z44" i="16"/>
  <c r="AF34" i="17"/>
  <c r="AF40" i="17" s="1"/>
  <c r="AF24" i="17"/>
  <c r="AF45" i="17"/>
  <c r="AF51" i="17" s="1"/>
  <c r="O39" i="17"/>
  <c r="O35" i="17"/>
  <c r="V33" i="18"/>
  <c r="V23" i="18"/>
  <c r="V44" i="18"/>
  <c r="AN22" i="18"/>
  <c r="AN21" i="18"/>
  <c r="D23" i="17"/>
  <c r="D33" i="17"/>
  <c r="D44" i="17"/>
  <c r="AW33" i="17"/>
  <c r="AW23" i="17"/>
  <c r="AW44" i="17"/>
  <c r="AF33" i="18"/>
  <c r="AF44" i="18"/>
  <c r="AF23" i="18"/>
  <c r="L50" i="17"/>
  <c r="AK22" i="18"/>
  <c r="Q33" i="18"/>
  <c r="Q44" i="18"/>
  <c r="Q23" i="18"/>
  <c r="O22" i="18"/>
  <c r="L44" i="18"/>
  <c r="L23" i="18"/>
  <c r="L33" i="18"/>
  <c r="I22" i="18"/>
  <c r="G23" i="18"/>
  <c r="G44" i="18"/>
  <c r="G33" i="18"/>
  <c r="K23" i="18"/>
  <c r="K44" i="18"/>
  <c r="K33" i="18"/>
  <c r="AU50" i="18"/>
  <c r="T22" i="18"/>
  <c r="N23" i="18"/>
  <c r="N33" i="18"/>
  <c r="N44" i="18"/>
  <c r="M33" i="18"/>
  <c r="M44" i="18"/>
  <c r="M23" i="18"/>
  <c r="M50" i="18" l="1"/>
  <c r="K35" i="18"/>
  <c r="K39" i="18"/>
  <c r="L39" i="18"/>
  <c r="AN33" i="18"/>
  <c r="AN44" i="18"/>
  <c r="AN23" i="18"/>
  <c r="AB35" i="18"/>
  <c r="AB39" i="18"/>
  <c r="AU24" i="18"/>
  <c r="AU45" i="18"/>
  <c r="AU34" i="18"/>
  <c r="I35" i="17"/>
  <c r="I39" i="17"/>
  <c r="AC39" i="16"/>
  <c r="AC35" i="16"/>
  <c r="J39" i="18"/>
  <c r="J35" i="18"/>
  <c r="W50" i="18"/>
  <c r="AQ50" i="18"/>
  <c r="F45" i="18"/>
  <c r="F51" i="18" s="1"/>
  <c r="F24" i="18"/>
  <c r="F34" i="18"/>
  <c r="F40" i="18" s="1"/>
  <c r="N50" i="18"/>
  <c r="L50" i="18"/>
  <c r="Q39" i="18"/>
  <c r="V50" i="18"/>
  <c r="V46" i="18"/>
  <c r="Z50" i="16"/>
  <c r="Z46" i="16"/>
  <c r="H40" i="17"/>
  <c r="H35" i="17"/>
  <c r="K39" i="17"/>
  <c r="K35" i="17"/>
  <c r="I50" i="17"/>
  <c r="I46" i="17"/>
  <c r="AS50" i="17"/>
  <c r="AS46" i="17"/>
  <c r="AH39" i="17"/>
  <c r="AH35" i="17"/>
  <c r="AQ35" i="17"/>
  <c r="AQ39" i="17"/>
  <c r="AA24" i="16"/>
  <c r="AA34" i="16"/>
  <c r="AA40" i="16" s="1"/>
  <c r="AA45" i="16"/>
  <c r="AA51" i="16" s="1"/>
  <c r="K39" i="16"/>
  <c r="AD39" i="16"/>
  <c r="AV39" i="16"/>
  <c r="AV35" i="16"/>
  <c r="AC50" i="16"/>
  <c r="AW24" i="16"/>
  <c r="AW34" i="16"/>
  <c r="AW40" i="16" s="1"/>
  <c r="AW45" i="16"/>
  <c r="AW51" i="16" s="1"/>
  <c r="G27" i="17"/>
  <c r="F30" i="17"/>
  <c r="Z39" i="17"/>
  <c r="Z35" i="17"/>
  <c r="AX46" i="17"/>
  <c r="AX50" i="17"/>
  <c r="AQ39" i="16"/>
  <c r="AJ35" i="16"/>
  <c r="AJ39" i="16"/>
  <c r="T50" i="18"/>
  <c r="H39" i="18"/>
  <c r="O39" i="18"/>
  <c r="AO46" i="18"/>
  <c r="AO50" i="18"/>
  <c r="AG46" i="18"/>
  <c r="AG50" i="18"/>
  <c r="AC39" i="18"/>
  <c r="AC35" i="18"/>
  <c r="AF39" i="17"/>
  <c r="AF35" i="17"/>
  <c r="AT33" i="18"/>
  <c r="AT44" i="18"/>
  <c r="AT23" i="18"/>
  <c r="AV46" i="17"/>
  <c r="AV50" i="17"/>
  <c r="AM50" i="17"/>
  <c r="AM46" i="17"/>
  <c r="H39" i="16"/>
  <c r="AR39" i="17"/>
  <c r="AR35" i="17"/>
  <c r="Q23" i="16"/>
  <c r="Q33" i="16"/>
  <c r="Q44" i="16"/>
  <c r="O35" i="16"/>
  <c r="O39" i="16"/>
  <c r="K24" i="16"/>
  <c r="K34" i="16"/>
  <c r="K40" i="16" s="1"/>
  <c r="K45" i="16"/>
  <c r="K51" i="16" s="1"/>
  <c r="AD24" i="16"/>
  <c r="AD34" i="16"/>
  <c r="AD40" i="16" s="1"/>
  <c r="AD45" i="16"/>
  <c r="AD51" i="16" s="1"/>
  <c r="AR46" i="16"/>
  <c r="AR50" i="16"/>
  <c r="AY34" i="16"/>
  <c r="AY40" i="16" s="1"/>
  <c r="AY24" i="16"/>
  <c r="AY45" i="16"/>
  <c r="AY51" i="16" s="1"/>
  <c r="S50" i="18"/>
  <c r="X39" i="18"/>
  <c r="U50" i="17"/>
  <c r="U46" i="17"/>
  <c r="V50" i="16"/>
  <c r="AF39" i="16"/>
  <c r="AS34" i="16"/>
  <c r="AS40" i="16" s="1"/>
  <c r="AS24" i="16"/>
  <c r="AS45" i="16"/>
  <c r="AS51" i="16" s="1"/>
  <c r="F39" i="18"/>
  <c r="F35" i="18"/>
  <c r="H27" i="18"/>
  <c r="G30" i="18"/>
  <c r="R39" i="18"/>
  <c r="P35" i="18"/>
  <c r="P39" i="18"/>
  <c r="Z24" i="18"/>
  <c r="Z45" i="18"/>
  <c r="Z51" i="18" s="1"/>
  <c r="Z34" i="18"/>
  <c r="Z40" i="18" s="1"/>
  <c r="AQ24" i="18"/>
  <c r="AQ45" i="18"/>
  <c r="AQ51" i="18" s="1"/>
  <c r="AQ34" i="18"/>
  <c r="AQ40" i="18" s="1"/>
  <c r="U39" i="18"/>
  <c r="AA23" i="18"/>
  <c r="AA44" i="18"/>
  <c r="AA33" i="18"/>
  <c r="AI34" i="18"/>
  <c r="AI40" i="18" s="1"/>
  <c r="AI45" i="18"/>
  <c r="AI51" i="18" s="1"/>
  <c r="AI24" i="18"/>
  <c r="AZ22" i="18"/>
  <c r="AY39" i="18"/>
  <c r="AY35" i="18"/>
  <c r="M50" i="17"/>
  <c r="M46" i="17"/>
  <c r="AH50" i="16"/>
  <c r="AH46" i="16"/>
  <c r="AX33" i="18"/>
  <c r="AX44" i="18"/>
  <c r="AX23" i="18"/>
  <c r="L24" i="16"/>
  <c r="L34" i="16"/>
  <c r="L40" i="16" s="1"/>
  <c r="L45" i="16"/>
  <c r="L51" i="16" s="1"/>
  <c r="AP39" i="17"/>
  <c r="AP35" i="17"/>
  <c r="F44" i="16"/>
  <c r="F23" i="16"/>
  <c r="F33" i="16"/>
  <c r="U39" i="16"/>
  <c r="U35" i="16"/>
  <c r="AY50" i="17"/>
  <c r="AY46" i="17"/>
  <c r="J35" i="16"/>
  <c r="J39" i="16"/>
  <c r="AO44" i="16"/>
  <c r="AO23" i="16"/>
  <c r="AO33" i="16"/>
  <c r="AJ45" i="16"/>
  <c r="AJ51" i="16" s="1"/>
  <c r="AJ24" i="16"/>
  <c r="AJ34" i="16"/>
  <c r="AJ40" i="16" s="1"/>
  <c r="E33" i="18"/>
  <c r="E23" i="18"/>
  <c r="E44" i="18"/>
  <c r="AZ21" i="18"/>
  <c r="D39" i="16"/>
  <c r="D35" i="16"/>
  <c r="AK39" i="18"/>
  <c r="W33" i="17"/>
  <c r="W44" i="17"/>
  <c r="W23" i="17"/>
  <c r="AE35" i="17"/>
  <c r="AE39" i="17"/>
  <c r="AB39" i="17"/>
  <c r="AB35" i="17"/>
  <c r="N39" i="18"/>
  <c r="N35" i="18"/>
  <c r="I24" i="18"/>
  <c r="I34" i="18"/>
  <c r="I40" i="18" s="1"/>
  <c r="I45" i="18"/>
  <c r="I51" i="18" s="1"/>
  <c r="O45" i="18"/>
  <c r="O51" i="18" s="1"/>
  <c r="O24" i="18"/>
  <c r="O34" i="18"/>
  <c r="O40" i="18" s="1"/>
  <c r="AK34" i="18"/>
  <c r="AK40" i="18" s="1"/>
  <c r="AK24" i="18"/>
  <c r="AK45" i="18"/>
  <c r="AK51" i="18" s="1"/>
  <c r="AF50" i="18"/>
  <c r="AF46" i="18"/>
  <c r="AW35" i="17"/>
  <c r="AW39" i="17"/>
  <c r="AB50" i="18"/>
  <c r="AB46" i="18"/>
  <c r="AH35" i="18"/>
  <c r="AH39" i="18"/>
  <c r="AD35" i="18"/>
  <c r="AD39" i="18"/>
  <c r="N24" i="17"/>
  <c r="N34" i="17"/>
  <c r="N40" i="17" s="1"/>
  <c r="N45" i="17"/>
  <c r="N51" i="17" s="1"/>
  <c r="X39" i="17"/>
  <c r="X35" i="17"/>
  <c r="AC50" i="17"/>
  <c r="AC46" i="17"/>
  <c r="I46" i="16"/>
  <c r="I50" i="16"/>
  <c r="AH46" i="17"/>
  <c r="AH50" i="17"/>
  <c r="AJ46" i="17"/>
  <c r="AJ50" i="17"/>
  <c r="AL22" i="16"/>
  <c r="AL21" i="16"/>
  <c r="AE34" i="16"/>
  <c r="AE40" i="16" s="1"/>
  <c r="AE45" i="16"/>
  <c r="AE51" i="16" s="1"/>
  <c r="AE24" i="16"/>
  <c r="R45" i="16"/>
  <c r="R51" i="16" s="1"/>
  <c r="R24" i="16"/>
  <c r="R34" i="16"/>
  <c r="R40" i="16" s="1"/>
  <c r="AP24" i="16"/>
  <c r="AP34" i="16"/>
  <c r="AP40" i="16" s="1"/>
  <c r="AP45" i="16"/>
  <c r="AP51" i="16" s="1"/>
  <c r="AB45" i="16"/>
  <c r="AB51" i="16" s="1"/>
  <c r="AB24" i="16"/>
  <c r="AB34" i="16"/>
  <c r="AB40" i="16" s="1"/>
  <c r="AQ24" i="16"/>
  <c r="AQ34" i="16"/>
  <c r="AQ40" i="16" s="1"/>
  <c r="AQ45" i="16"/>
  <c r="AQ51" i="16" s="1"/>
  <c r="AY35" i="16"/>
  <c r="AY39" i="16"/>
  <c r="AW23" i="16"/>
  <c r="AW44" i="16"/>
  <c r="AW33" i="16"/>
  <c r="AZ22" i="16"/>
  <c r="J50" i="18"/>
  <c r="Y35" i="17"/>
  <c r="Y39" i="17"/>
  <c r="W39" i="18"/>
  <c r="Z46" i="17"/>
  <c r="Z50" i="17"/>
  <c r="AI50" i="17"/>
  <c r="AI46" i="17"/>
  <c r="M24" i="18"/>
  <c r="M34" i="18"/>
  <c r="M40" i="18" s="1"/>
  <c r="M45" i="18"/>
  <c r="M51" i="18" s="1"/>
  <c r="T39" i="18"/>
  <c r="H50" i="18"/>
  <c r="L35" i="17"/>
  <c r="AO50" i="17"/>
  <c r="AO46" i="17"/>
  <c r="AR45" i="18"/>
  <c r="AR51" i="18" s="1"/>
  <c r="AR24" i="18"/>
  <c r="AR34" i="18"/>
  <c r="AR40" i="18" s="1"/>
  <c r="Z50" i="18"/>
  <c r="Z46" i="18"/>
  <c r="AI39" i="18"/>
  <c r="AI35" i="18"/>
  <c r="H46" i="17"/>
  <c r="AV46" i="18"/>
  <c r="AV50" i="18"/>
  <c r="AS34" i="18"/>
  <c r="AS40" i="18" s="1"/>
  <c r="AS45" i="18"/>
  <c r="AS51" i="18" s="1"/>
  <c r="AS24" i="18"/>
  <c r="T46" i="17"/>
  <c r="T50" i="17"/>
  <c r="F24" i="17"/>
  <c r="F34" i="17"/>
  <c r="F40" i="17" s="1"/>
  <c r="F45" i="17"/>
  <c r="F51" i="17" s="1"/>
  <c r="AD34" i="17"/>
  <c r="AD40" i="17" s="1"/>
  <c r="AD45" i="17"/>
  <c r="AD51" i="17" s="1"/>
  <c r="AD24" i="17"/>
  <c r="AM35" i="17"/>
  <c r="AM39" i="17"/>
  <c r="AL39" i="17"/>
  <c r="AL35" i="17"/>
  <c r="AA50" i="16"/>
  <c r="Q24" i="16"/>
  <c r="Q34" i="16"/>
  <c r="Q40" i="16" s="1"/>
  <c r="Q45" i="16"/>
  <c r="Q51" i="16" s="1"/>
  <c r="AE46" i="16"/>
  <c r="AE50" i="16"/>
  <c r="R50" i="16"/>
  <c r="AB50" i="16"/>
  <c r="AR35" i="16"/>
  <c r="AR39" i="16"/>
  <c r="AM34" i="18"/>
  <c r="AM40" i="18" s="1"/>
  <c r="AM45" i="18"/>
  <c r="AM51" i="18" s="1"/>
  <c r="AM24" i="18"/>
  <c r="U35" i="17"/>
  <c r="U39" i="17"/>
  <c r="V39" i="16"/>
  <c r="AS44" i="16"/>
  <c r="AS33" i="16"/>
  <c r="AS23" i="16"/>
  <c r="P50" i="18"/>
  <c r="P46" i="18"/>
  <c r="Y46" i="18"/>
  <c r="Y50" i="18"/>
  <c r="AG50" i="17"/>
  <c r="AG46" i="17"/>
  <c r="AR46" i="18"/>
  <c r="AR50" i="18"/>
  <c r="AE39" i="18"/>
  <c r="AE35" i="18"/>
  <c r="AJ50" i="18"/>
  <c r="AJ46" i="18"/>
  <c r="Q50" i="17"/>
  <c r="Q46" i="17"/>
  <c r="AW34" i="18"/>
  <c r="AW40" i="18" s="1"/>
  <c r="AW45" i="18"/>
  <c r="AW51" i="18" s="1"/>
  <c r="AW24" i="18"/>
  <c r="AN39" i="17"/>
  <c r="AN35" i="17"/>
  <c r="AK50" i="17"/>
  <c r="AK46" i="17"/>
  <c r="AP46" i="17"/>
  <c r="AP50" i="17"/>
  <c r="H24" i="16"/>
  <c r="H34" i="16"/>
  <c r="H40" i="16" s="1"/>
  <c r="H45" i="16"/>
  <c r="H51" i="16" s="1"/>
  <c r="AA50" i="17"/>
  <c r="AA46" i="17"/>
  <c r="AU33" i="17"/>
  <c r="AU44" i="17"/>
  <c r="AU23" i="17"/>
  <c r="AY35" i="17"/>
  <c r="AY39" i="17"/>
  <c r="S35" i="16"/>
  <c r="S39" i="16"/>
  <c r="G50" i="16"/>
  <c r="G46" i="16"/>
  <c r="N46" i="16"/>
  <c r="N50" i="16"/>
  <c r="AT39" i="16"/>
  <c r="AU35" i="16"/>
  <c r="AU39" i="16"/>
  <c r="AG34" i="16"/>
  <c r="AG40" i="16" s="1"/>
  <c r="AG45" i="16"/>
  <c r="AG51" i="16" s="1"/>
  <c r="AG24" i="16"/>
  <c r="I50" i="18"/>
  <c r="I46" i="18"/>
  <c r="W45" i="17"/>
  <c r="W51" i="17" s="1"/>
  <c r="W24" i="17"/>
  <c r="W34" i="17"/>
  <c r="W40" i="17" s="1"/>
  <c r="Y34" i="16"/>
  <c r="Y40" i="16" s="1"/>
  <c r="Y24" i="16"/>
  <c r="Y45" i="16"/>
  <c r="Y51" i="16" s="1"/>
  <c r="G35" i="18"/>
  <c r="G39" i="18"/>
  <c r="AF35" i="18"/>
  <c r="AF39" i="18"/>
  <c r="D46" i="17"/>
  <c r="D50" i="17"/>
  <c r="V35" i="18"/>
  <c r="V39" i="18"/>
  <c r="Z35" i="16"/>
  <c r="Z39" i="16"/>
  <c r="Y34" i="18"/>
  <c r="Y40" i="18" s="1"/>
  <c r="Y24" i="18"/>
  <c r="Y45" i="18"/>
  <c r="Y51" i="18" s="1"/>
  <c r="N33" i="17"/>
  <c r="N44" i="17"/>
  <c r="N23" i="17"/>
  <c r="AP24" i="18"/>
  <c r="AP34" i="18"/>
  <c r="AP40" i="18" s="1"/>
  <c r="AP45" i="18"/>
  <c r="AP51" i="18" s="1"/>
  <c r="AS35" i="17"/>
  <c r="AS39" i="17"/>
  <c r="I35" i="16"/>
  <c r="I39" i="16"/>
  <c r="M46" i="16"/>
  <c r="M50" i="16"/>
  <c r="AD50" i="16"/>
  <c r="AD46" i="16"/>
  <c r="AM50" i="16"/>
  <c r="AI35" i="17"/>
  <c r="AI39" i="17"/>
  <c r="N24" i="18"/>
  <c r="N34" i="18"/>
  <c r="N40" i="18" s="1"/>
  <c r="N45" i="18"/>
  <c r="N51" i="18" s="1"/>
  <c r="R24" i="18"/>
  <c r="R45" i="18"/>
  <c r="R51" i="18" s="1"/>
  <c r="R34" i="18"/>
  <c r="R40" i="18" s="1"/>
  <c r="O46" i="18"/>
  <c r="O50" i="18"/>
  <c r="AO39" i="18"/>
  <c r="AO35" i="18"/>
  <c r="AG39" i="18"/>
  <c r="AG35" i="18"/>
  <c r="AI46" i="16"/>
  <c r="AI50" i="16"/>
  <c r="AC46" i="18"/>
  <c r="AC50" i="18"/>
  <c r="AI46" i="18"/>
  <c r="AI50" i="18"/>
  <c r="AV35" i="18"/>
  <c r="AV39" i="18"/>
  <c r="AS44" i="18"/>
  <c r="AS33" i="18"/>
  <c r="AS23" i="18"/>
  <c r="S23" i="17"/>
  <c r="S33" i="17"/>
  <c r="S44" i="17"/>
  <c r="AF46" i="17"/>
  <c r="AF50" i="17"/>
  <c r="F33" i="17"/>
  <c r="F44" i="17"/>
  <c r="F23" i="17"/>
  <c r="AV39" i="17"/>
  <c r="AV35" i="17"/>
  <c r="AD23" i="17"/>
  <c r="AD44" i="17"/>
  <c r="AD33" i="17"/>
  <c r="H27" i="16"/>
  <c r="G30" i="16"/>
  <c r="AL46" i="17"/>
  <c r="AL50" i="17"/>
  <c r="AR46" i="17"/>
  <c r="AR50" i="17"/>
  <c r="L46" i="16"/>
  <c r="L50" i="16"/>
  <c r="AA39" i="16"/>
  <c r="AA35" i="16"/>
  <c r="AE39" i="16"/>
  <c r="AE35" i="16"/>
  <c r="R35" i="16"/>
  <c r="R39" i="16"/>
  <c r="AB35" i="16"/>
  <c r="AB39" i="16"/>
  <c r="S35" i="18"/>
  <c r="S39" i="18"/>
  <c r="AM23" i="18"/>
  <c r="AM44" i="18"/>
  <c r="AM33" i="18"/>
  <c r="E21" i="17"/>
  <c r="E22" i="17"/>
  <c r="S45" i="18"/>
  <c r="S51" i="18" s="1"/>
  <c r="S24" i="18"/>
  <c r="S34" i="18"/>
  <c r="S40" i="18" s="1"/>
  <c r="H34" i="18"/>
  <c r="H40" i="18" s="1"/>
  <c r="H24" i="18"/>
  <c r="H45" i="18"/>
  <c r="H51" i="18" s="1"/>
  <c r="J24" i="18"/>
  <c r="J45" i="18"/>
  <c r="J51" i="18" s="1"/>
  <c r="J34" i="18"/>
  <c r="J40" i="18" s="1"/>
  <c r="U34" i="18"/>
  <c r="U40" i="18" s="1"/>
  <c r="U24" i="18"/>
  <c r="U45" i="18"/>
  <c r="U51" i="18" s="1"/>
  <c r="P35" i="17"/>
  <c r="P39" i="17"/>
  <c r="AR39" i="18"/>
  <c r="AP50" i="16"/>
  <c r="AP46" i="16"/>
  <c r="U46" i="18"/>
  <c r="U50" i="18"/>
  <c r="AE46" i="18"/>
  <c r="AE50" i="18"/>
  <c r="AJ35" i="18"/>
  <c r="AJ39" i="18"/>
  <c r="Q35" i="17"/>
  <c r="Q39" i="17"/>
  <c r="AW44" i="18"/>
  <c r="AW23" i="18"/>
  <c r="AW33" i="18"/>
  <c r="M35" i="17"/>
  <c r="M39" i="17"/>
  <c r="AH39" i="16"/>
  <c r="AH35" i="16"/>
  <c r="AA35" i="17"/>
  <c r="AA39" i="17"/>
  <c r="AU45" i="17"/>
  <c r="AU51" i="17" s="1"/>
  <c r="AU24" i="17"/>
  <c r="AU34" i="17"/>
  <c r="AU40" i="17" s="1"/>
  <c r="W39" i="16"/>
  <c r="W35" i="16"/>
  <c r="G35" i="16"/>
  <c r="G39" i="16"/>
  <c r="J46" i="16"/>
  <c r="J50" i="16"/>
  <c r="AI24" i="16"/>
  <c r="AI34" i="16"/>
  <c r="AI40" i="16" s="1"/>
  <c r="AI45" i="16"/>
  <c r="AI51" i="16" s="1"/>
  <c r="AT50" i="16"/>
  <c r="AF45" i="16"/>
  <c r="AF51" i="16" s="1"/>
  <c r="AF24" i="16"/>
  <c r="AF34" i="16"/>
  <c r="AF40" i="16" s="1"/>
  <c r="AG44" i="16"/>
  <c r="AG23" i="16"/>
  <c r="AG33" i="16"/>
  <c r="I35" i="18"/>
  <c r="I39" i="18"/>
  <c r="D46" i="16"/>
  <c r="D50" i="16"/>
  <c r="AK46" i="18"/>
  <c r="AK50" i="18"/>
  <c r="J24" i="17"/>
  <c r="J34" i="17"/>
  <c r="J40" i="17" s="1"/>
  <c r="J45" i="17"/>
  <c r="J51" i="17" s="1"/>
  <c r="AB46" i="17"/>
  <c r="AB50" i="17"/>
  <c r="Y44" i="16"/>
  <c r="Y33" i="16"/>
  <c r="Y23" i="16"/>
  <c r="M39" i="18"/>
  <c r="M35" i="18"/>
  <c r="T45" i="18"/>
  <c r="T51" i="18" s="1"/>
  <c r="T24" i="18"/>
  <c r="T34" i="18"/>
  <c r="T40" i="18" s="1"/>
  <c r="K46" i="18"/>
  <c r="K50" i="18"/>
  <c r="G46" i="18"/>
  <c r="G50" i="18"/>
  <c r="Q50" i="18"/>
  <c r="L46" i="17"/>
  <c r="AW50" i="17"/>
  <c r="AW46" i="17"/>
  <c r="D35" i="17"/>
  <c r="D39" i="17"/>
  <c r="AN45" i="18"/>
  <c r="AN51" i="18" s="1"/>
  <c r="AN24" i="18"/>
  <c r="AN34" i="18"/>
  <c r="AN40" i="18" s="1"/>
  <c r="W34" i="18"/>
  <c r="W40" i="18" s="1"/>
  <c r="W45" i="18"/>
  <c r="W51" i="18" s="1"/>
  <c r="W24" i="18"/>
  <c r="AH50" i="18"/>
  <c r="AH46" i="18"/>
  <c r="AD50" i="18"/>
  <c r="AD46" i="18"/>
  <c r="K46" i="17"/>
  <c r="K50" i="17"/>
  <c r="X46" i="17"/>
  <c r="X50" i="17"/>
  <c r="AP33" i="18"/>
  <c r="AP44" i="18"/>
  <c r="AP23" i="18"/>
  <c r="AC35" i="17"/>
  <c r="AC39" i="17"/>
  <c r="V24" i="16"/>
  <c r="V45" i="16"/>
  <c r="V51" i="16" s="1"/>
  <c r="V34" i="16"/>
  <c r="V40" i="16" s="1"/>
  <c r="AJ39" i="17"/>
  <c r="AJ35" i="17"/>
  <c r="AQ50" i="17"/>
  <c r="AQ46" i="17"/>
  <c r="M35" i="16"/>
  <c r="M39" i="16"/>
  <c r="K50" i="16"/>
  <c r="AV50" i="16"/>
  <c r="AV46" i="16"/>
  <c r="AM39" i="16"/>
  <c r="AY46" i="16"/>
  <c r="AY50" i="16"/>
  <c r="Y50" i="17"/>
  <c r="Y46" i="17"/>
  <c r="AQ39" i="18"/>
  <c r="AQ35" i="18"/>
  <c r="AX39" i="17"/>
  <c r="AX35" i="17"/>
  <c r="AQ46" i="16"/>
  <c r="AQ50" i="16"/>
  <c r="AJ50" i="16"/>
  <c r="AJ46" i="16"/>
  <c r="L34" i="18"/>
  <c r="L40" i="18" s="1"/>
  <c r="L24" i="18"/>
  <c r="L45" i="18"/>
  <c r="L51" i="18" s="1"/>
  <c r="Q24" i="18"/>
  <c r="Q34" i="18"/>
  <c r="Q40" i="18" s="1"/>
  <c r="Q45" i="18"/>
  <c r="Q51" i="18" s="1"/>
  <c r="AO35" i="17"/>
  <c r="AO39" i="17"/>
  <c r="AI39" i="16"/>
  <c r="AI35" i="16"/>
  <c r="Z39" i="18"/>
  <c r="T35" i="17"/>
  <c r="T39" i="17"/>
  <c r="S45" i="17"/>
  <c r="S51" i="17" s="1"/>
  <c r="S24" i="17"/>
  <c r="S34" i="17"/>
  <c r="S40" i="17" s="1"/>
  <c r="AT24" i="18"/>
  <c r="AT34" i="18"/>
  <c r="AT40" i="18" s="1"/>
  <c r="AT45" i="18"/>
  <c r="AT51" i="18" s="1"/>
  <c r="H46" i="16"/>
  <c r="H50" i="16"/>
  <c r="L39" i="16"/>
  <c r="L35" i="16"/>
  <c r="O50" i="16"/>
  <c r="AT24" i="16"/>
  <c r="AT34" i="16"/>
  <c r="AT40" i="16" s="1"/>
  <c r="AT45" i="16"/>
  <c r="AT51" i="16" s="1"/>
  <c r="AM24" i="16"/>
  <c r="AM34" i="16"/>
  <c r="AM40" i="16" s="1"/>
  <c r="AM45" i="16"/>
  <c r="AM51" i="16" s="1"/>
  <c r="AC34" i="16"/>
  <c r="AC40" i="16" s="1"/>
  <c r="AC45" i="16"/>
  <c r="AC51" i="16" s="1"/>
  <c r="AC24" i="16"/>
  <c r="X50" i="18"/>
  <c r="X46" i="18"/>
  <c r="AF50" i="16"/>
  <c r="F46" i="18"/>
  <c r="F50" i="18"/>
  <c r="R46" i="18"/>
  <c r="R50" i="18"/>
  <c r="Y39" i="18"/>
  <c r="Y35" i="18"/>
  <c r="P46" i="17"/>
  <c r="P50" i="17"/>
  <c r="AG35" i="17"/>
  <c r="AG39" i="17"/>
  <c r="AP35" i="16"/>
  <c r="AP39" i="16"/>
  <c r="AA34" i="18"/>
  <c r="AA40" i="18" s="1"/>
  <c r="AA45" i="18"/>
  <c r="AA51" i="18" s="1"/>
  <c r="AA24" i="18"/>
  <c r="X45" i="18"/>
  <c r="X51" i="18" s="1"/>
  <c r="X24" i="18"/>
  <c r="X34" i="18"/>
  <c r="X40" i="18" s="1"/>
  <c r="AY46" i="18"/>
  <c r="AY50" i="18"/>
  <c r="AN46" i="17"/>
  <c r="AN50" i="17"/>
  <c r="AX24" i="18"/>
  <c r="AX34" i="18"/>
  <c r="AX40" i="18" s="1"/>
  <c r="AX45" i="18"/>
  <c r="AX51" i="18" s="1"/>
  <c r="AK35" i="17"/>
  <c r="AK39" i="17"/>
  <c r="F34" i="16"/>
  <c r="F40" i="16" s="1"/>
  <c r="F45" i="16"/>
  <c r="F51" i="16" s="1"/>
  <c r="F24" i="16"/>
  <c r="U46" i="16"/>
  <c r="U50" i="16"/>
  <c r="W46" i="16"/>
  <c r="W50" i="16"/>
  <c r="S46" i="16"/>
  <c r="S50" i="16"/>
  <c r="O24" i="16"/>
  <c r="O34" i="16"/>
  <c r="O40" i="16" s="1"/>
  <c r="O45" i="16"/>
  <c r="O51" i="16" s="1"/>
  <c r="N35" i="16"/>
  <c r="N39" i="16"/>
  <c r="AO34" i="16"/>
  <c r="AO40" i="16" s="1"/>
  <c r="AO24" i="16"/>
  <c r="AO45" i="16"/>
  <c r="AO51" i="16" s="1"/>
  <c r="AU46" i="16"/>
  <c r="AU50" i="16"/>
  <c r="E24" i="18"/>
  <c r="AZ24" i="18" s="1"/>
  <c r="E34" i="18"/>
  <c r="E40" i="18" s="1"/>
  <c r="E45" i="18"/>
  <c r="E51" i="18" s="1"/>
  <c r="J33" i="17"/>
  <c r="J44" i="17"/>
  <c r="J23" i="17"/>
  <c r="AE50" i="17"/>
  <c r="AE46" i="17"/>
  <c r="AZ24" i="16" l="1"/>
  <c r="AP35" i="18"/>
  <c r="AP39" i="18"/>
  <c r="Q46" i="18"/>
  <c r="Y39" i="16"/>
  <c r="Y35" i="16"/>
  <c r="AM39" i="18"/>
  <c r="AM35" i="18"/>
  <c r="H30" i="16"/>
  <c r="I27" i="16"/>
  <c r="F35" i="17"/>
  <c r="F39" i="17"/>
  <c r="S35" i="17"/>
  <c r="S39" i="17"/>
  <c r="AS46" i="18"/>
  <c r="AS50" i="18"/>
  <c r="AM46" i="16"/>
  <c r="AS39" i="16"/>
  <c r="AS35" i="16"/>
  <c r="AW39" i="16"/>
  <c r="AW35" i="16"/>
  <c r="AL33" i="16"/>
  <c r="AL44" i="16"/>
  <c r="AL23" i="16"/>
  <c r="AZ23" i="16" s="1"/>
  <c r="E50" i="18"/>
  <c r="E46" i="18"/>
  <c r="AO46" i="16"/>
  <c r="AO50" i="16"/>
  <c r="AX50" i="18"/>
  <c r="AX46" i="18"/>
  <c r="AA39" i="18"/>
  <c r="AA35" i="18"/>
  <c r="I27" i="18"/>
  <c r="H30" i="18"/>
  <c r="V46" i="16"/>
  <c r="O35" i="18"/>
  <c r="AU40" i="18"/>
  <c r="AU35" i="18"/>
  <c r="M46" i="18"/>
  <c r="J50" i="17"/>
  <c r="J46" i="17"/>
  <c r="AF46" i="16"/>
  <c r="Z35" i="18"/>
  <c r="AM35" i="16"/>
  <c r="K46" i="16"/>
  <c r="Y46" i="16"/>
  <c r="Y50" i="16"/>
  <c r="AG39" i="16"/>
  <c r="AG35" i="16"/>
  <c r="AW46" i="18"/>
  <c r="AW50" i="18"/>
  <c r="AM46" i="18"/>
  <c r="AM50" i="18"/>
  <c r="AD39" i="17"/>
  <c r="AD35" i="17"/>
  <c r="N50" i="17"/>
  <c r="N46" i="17"/>
  <c r="AU50" i="17"/>
  <c r="AU46" i="17"/>
  <c r="AS46" i="16"/>
  <c r="AS50" i="16"/>
  <c r="R46" i="16"/>
  <c r="AA46" i="16"/>
  <c r="T35" i="18"/>
  <c r="W35" i="18"/>
  <c r="AW46" i="16"/>
  <c r="AW50" i="16"/>
  <c r="AL24" i="16"/>
  <c r="AL34" i="16"/>
  <c r="AL40" i="16" s="1"/>
  <c r="AL45" i="16"/>
  <c r="AL51" i="16" s="1"/>
  <c r="W50" i="17"/>
  <c r="W46" i="17"/>
  <c r="AZ23" i="18"/>
  <c r="F46" i="16"/>
  <c r="F50" i="16"/>
  <c r="AX35" i="18"/>
  <c r="AX39" i="18"/>
  <c r="AA46" i="18"/>
  <c r="AA50" i="18"/>
  <c r="R35" i="18"/>
  <c r="X35" i="18"/>
  <c r="Q46" i="16"/>
  <c r="Q50" i="16"/>
  <c r="AT50" i="18"/>
  <c r="AT46" i="18"/>
  <c r="K35" i="16"/>
  <c r="Q35" i="18"/>
  <c r="W46" i="18"/>
  <c r="AU51" i="18"/>
  <c r="AU46" i="18"/>
  <c r="L35" i="18"/>
  <c r="J39" i="17"/>
  <c r="J35" i="17"/>
  <c r="O46" i="16"/>
  <c r="E34" i="17"/>
  <c r="E40" i="17" s="1"/>
  <c r="E45" i="17"/>
  <c r="E51" i="17" s="1"/>
  <c r="E24" i="17"/>
  <c r="AZ24" i="17" s="1"/>
  <c r="AZ22" i="17"/>
  <c r="AD46" i="17"/>
  <c r="AD50" i="17"/>
  <c r="N39" i="17"/>
  <c r="N35" i="17"/>
  <c r="AU35" i="17"/>
  <c r="AU39" i="17"/>
  <c r="H46" i="18"/>
  <c r="J46" i="18"/>
  <c r="W35" i="17"/>
  <c r="W39" i="17"/>
  <c r="E35" i="18"/>
  <c r="E39" i="18"/>
  <c r="AO35" i="16"/>
  <c r="AO39" i="16"/>
  <c r="Q39" i="16"/>
  <c r="Q35" i="16"/>
  <c r="H35" i="16"/>
  <c r="AT35" i="18"/>
  <c r="AT39" i="18"/>
  <c r="H35" i="18"/>
  <c r="G30" i="17"/>
  <c r="H27" i="17"/>
  <c r="AC46" i="16"/>
  <c r="AD35" i="16"/>
  <c r="N46" i="18"/>
  <c r="AN50" i="18"/>
  <c r="AN46" i="18"/>
  <c r="AZ21" i="16"/>
  <c r="AP50" i="18"/>
  <c r="AP46" i="18"/>
  <c r="AG50" i="16"/>
  <c r="AG46" i="16"/>
  <c r="AT46" i="16"/>
  <c r="AW35" i="18"/>
  <c r="AW39" i="18"/>
  <c r="AR35" i="18"/>
  <c r="E44" i="17"/>
  <c r="E23" i="17"/>
  <c r="AZ23" i="17" s="1"/>
  <c r="E33" i="17"/>
  <c r="AZ21" i="17"/>
  <c r="F50" i="17"/>
  <c r="F46" i="17"/>
  <c r="S46" i="17"/>
  <c r="S50" i="17"/>
  <c r="AS35" i="18"/>
  <c r="AS39" i="18"/>
  <c r="AT35" i="16"/>
  <c r="V35" i="16"/>
  <c r="AB46" i="16"/>
  <c r="AK35" i="18"/>
  <c r="F35" i="16"/>
  <c r="F39" i="16"/>
  <c r="U35" i="18"/>
  <c r="AF35" i="16"/>
  <c r="S46" i="18"/>
  <c r="T46" i="18"/>
  <c r="AQ35" i="16"/>
  <c r="L46" i="18"/>
  <c r="AQ46" i="18"/>
  <c r="AN35" i="18"/>
  <c r="AN39" i="18"/>
  <c r="AL50" i="16" l="1"/>
  <c r="AL46" i="16"/>
  <c r="E35" i="17"/>
  <c r="E39" i="17"/>
  <c r="AL35" i="16"/>
  <c r="AL39" i="16"/>
  <c r="J27" i="16"/>
  <c r="I30" i="16"/>
  <c r="I27" i="17"/>
  <c r="H30" i="17"/>
  <c r="I30" i="18"/>
  <c r="J27" i="18"/>
  <c r="E46" i="17"/>
  <c r="E50" i="17"/>
  <c r="K27" i="16" l="1"/>
  <c r="J30" i="16"/>
  <c r="J27" i="17"/>
  <c r="I30" i="17"/>
  <c r="J30" i="18"/>
  <c r="K27" i="18"/>
  <c r="K27" i="17" l="1"/>
  <c r="J30" i="17"/>
  <c r="L27" i="18"/>
  <c r="K30" i="18"/>
  <c r="L27" i="16"/>
  <c r="K30" i="16"/>
  <c r="M27" i="18" l="1"/>
  <c r="L30" i="18"/>
  <c r="L30" i="16"/>
  <c r="M27" i="16"/>
  <c r="K30" i="17"/>
  <c r="L27" i="17"/>
  <c r="N27" i="16" l="1"/>
  <c r="M30" i="16"/>
  <c r="M27" i="17"/>
  <c r="L30" i="17"/>
  <c r="M30" i="18"/>
  <c r="N27" i="18"/>
  <c r="N27" i="17" l="1"/>
  <c r="M30" i="17"/>
  <c r="N30" i="18"/>
  <c r="O27" i="18"/>
  <c r="O27" i="16"/>
  <c r="N30" i="16"/>
  <c r="P27" i="18" l="1"/>
  <c r="O30" i="18"/>
  <c r="P27" i="16"/>
  <c r="O30" i="16"/>
  <c r="O27" i="17"/>
  <c r="N30" i="17"/>
  <c r="P30" i="16" l="1"/>
  <c r="Q27" i="16"/>
  <c r="P27" i="17"/>
  <c r="O30" i="17"/>
  <c r="Q27" i="18"/>
  <c r="P30" i="18"/>
  <c r="Q27" i="17" l="1"/>
  <c r="P30" i="17"/>
  <c r="Q30" i="16"/>
  <c r="R27" i="16"/>
  <c r="R27" i="18"/>
  <c r="Q30" i="18"/>
  <c r="S27" i="16" l="1"/>
  <c r="R30" i="16"/>
  <c r="R30" i="18"/>
  <c r="S27" i="18"/>
  <c r="R27" i="17"/>
  <c r="Q30" i="17"/>
  <c r="T27" i="18" l="1"/>
  <c r="S30" i="18"/>
  <c r="R30" i="17"/>
  <c r="S27" i="17"/>
  <c r="T27" i="16"/>
  <c r="S30" i="16"/>
  <c r="T27" i="17" l="1"/>
  <c r="S30" i="17"/>
  <c r="U27" i="16"/>
  <c r="T30" i="16"/>
  <c r="U27" i="18"/>
  <c r="T30" i="18"/>
  <c r="V27" i="16" l="1"/>
  <c r="U30" i="16"/>
  <c r="U30" i="18"/>
  <c r="V27" i="18"/>
  <c r="U27" i="17"/>
  <c r="T30" i="17"/>
  <c r="W27" i="18" l="1"/>
  <c r="V30" i="18"/>
  <c r="V27" i="17"/>
  <c r="U30" i="17"/>
  <c r="V30" i="16"/>
  <c r="W27" i="16"/>
  <c r="V30" i="17" l="1"/>
  <c r="W27" i="17"/>
  <c r="W30" i="16"/>
  <c r="X27" i="16"/>
  <c r="W30" i="18"/>
  <c r="X27" i="18"/>
  <c r="Y27" i="16" l="1"/>
  <c r="X30" i="16"/>
  <c r="Y27" i="18"/>
  <c r="X30" i="18"/>
  <c r="X27" i="17"/>
  <c r="W30" i="17"/>
  <c r="Y30" i="18" l="1"/>
  <c r="Z27" i="18"/>
  <c r="X30" i="17"/>
  <c r="Y27" i="17"/>
  <c r="Z27" i="16"/>
  <c r="Y30" i="16"/>
  <c r="Z27" i="17" l="1"/>
  <c r="Y30" i="17"/>
  <c r="AA27" i="18"/>
  <c r="Z30" i="18"/>
  <c r="AA27" i="16"/>
  <c r="Z30" i="16"/>
  <c r="AA30" i="18" l="1"/>
  <c r="AB27" i="18"/>
  <c r="AA30" i="16"/>
  <c r="AB27" i="16"/>
  <c r="Z30" i="17"/>
  <c r="AA27" i="17"/>
  <c r="AC27" i="16" l="1"/>
  <c r="AB30" i="16"/>
  <c r="AB27" i="17"/>
  <c r="AA30" i="17"/>
  <c r="AC27" i="18"/>
  <c r="AB30" i="18"/>
  <c r="AB30" i="17" l="1"/>
  <c r="AC27" i="17"/>
  <c r="AC30" i="18"/>
  <c r="AD27" i="18"/>
  <c r="AC30" i="16"/>
  <c r="AD27" i="16"/>
  <c r="AE27" i="18" l="1"/>
  <c r="AD30" i="18"/>
  <c r="AE27" i="16"/>
  <c r="AD30" i="16"/>
  <c r="AD27" i="17"/>
  <c r="AC30" i="17"/>
  <c r="AE30" i="16" l="1"/>
  <c r="AF27" i="16"/>
  <c r="AD30" i="17"/>
  <c r="AE27" i="17"/>
  <c r="AE30" i="18"/>
  <c r="AF27" i="18"/>
  <c r="AF27" i="17" l="1"/>
  <c r="AE30" i="17"/>
  <c r="AG27" i="18"/>
  <c r="AF30" i="18"/>
  <c r="AG27" i="16"/>
  <c r="AF30" i="16"/>
  <c r="AG30" i="18" l="1"/>
  <c r="AH27" i="18"/>
  <c r="AH27" i="16"/>
  <c r="AG30" i="16"/>
  <c r="AF30" i="17"/>
  <c r="AG27" i="17"/>
  <c r="AI27" i="16" l="1"/>
  <c r="AH30" i="16"/>
  <c r="AH27" i="17"/>
  <c r="AG30" i="17"/>
  <c r="AI27" i="18"/>
  <c r="AH30" i="18"/>
  <c r="AH30" i="17" l="1"/>
  <c r="AI27" i="17"/>
  <c r="AI30" i="18"/>
  <c r="AJ27" i="18"/>
  <c r="AI30" i="16"/>
  <c r="AJ27" i="16"/>
  <c r="AK27" i="18" l="1"/>
  <c r="AJ30" i="18"/>
  <c r="AK27" i="16"/>
  <c r="AJ30" i="16"/>
  <c r="AJ27" i="17"/>
  <c r="AI30" i="17"/>
  <c r="AL27" i="16" l="1"/>
  <c r="AK30" i="16"/>
  <c r="AJ30" i="17"/>
  <c r="AK27" i="17"/>
  <c r="AK30" i="18"/>
  <c r="AL27" i="18"/>
  <c r="AL27" i="17" l="1"/>
  <c r="AK30" i="17"/>
  <c r="AM27" i="18"/>
  <c r="AL30" i="18"/>
  <c r="AL30" i="16"/>
  <c r="AM27" i="16"/>
  <c r="AM30" i="18" l="1"/>
  <c r="AN27" i="18"/>
  <c r="AL30" i="17"/>
  <c r="AM27" i="17"/>
  <c r="AM30" i="16"/>
  <c r="AN27" i="16"/>
  <c r="AN27" i="17" l="1"/>
  <c r="AM30" i="17"/>
  <c r="AO27" i="16"/>
  <c r="AN30" i="16"/>
  <c r="AO27" i="18"/>
  <c r="AN30" i="18"/>
  <c r="AP27" i="16" l="1"/>
  <c r="AO30" i="16"/>
  <c r="AP27" i="18"/>
  <c r="AO30" i="18"/>
  <c r="AN30" i="17"/>
  <c r="AO27" i="17"/>
  <c r="AQ27" i="18" l="1"/>
  <c r="AP30" i="18"/>
  <c r="AP27" i="17"/>
  <c r="AO30" i="17"/>
  <c r="AP30" i="16"/>
  <c r="AQ27" i="16"/>
  <c r="AQ30" i="16" l="1"/>
  <c r="AR27" i="16"/>
  <c r="AP30" i="17"/>
  <c r="AQ27" i="17"/>
  <c r="AQ30" i="18"/>
  <c r="AR27" i="18"/>
  <c r="AR27" i="17" l="1"/>
  <c r="AQ30" i="17"/>
  <c r="AS27" i="16"/>
  <c r="AR30" i="16"/>
  <c r="AS27" i="18"/>
  <c r="AR30" i="18"/>
  <c r="AS30" i="16" l="1"/>
  <c r="AT27" i="16"/>
  <c r="AT27" i="18"/>
  <c r="AS30" i="18"/>
  <c r="AR30" i="17"/>
  <c r="AS27" i="17"/>
  <c r="AT27" i="17" l="1"/>
  <c r="AS30" i="17"/>
  <c r="AU27" i="18"/>
  <c r="AT30" i="18"/>
  <c r="AU27" i="16"/>
  <c r="AT30" i="16"/>
  <c r="AU30" i="18" l="1"/>
  <c r="AV27" i="18"/>
  <c r="AV27" i="16"/>
  <c r="AU30" i="16"/>
  <c r="AT30" i="17"/>
  <c r="AU27" i="17"/>
  <c r="AV30" i="16" l="1"/>
  <c r="AW27" i="16"/>
  <c r="AV27" i="17"/>
  <c r="AU30" i="17"/>
  <c r="AW27" i="18"/>
  <c r="AV30" i="18"/>
  <c r="AV30" i="17" l="1"/>
  <c r="AW27" i="17"/>
  <c r="AW30" i="16"/>
  <c r="AX27" i="16"/>
  <c r="AX27" i="18"/>
  <c r="AW30" i="18"/>
  <c r="AY27" i="16" l="1"/>
  <c r="AY30" i="16" s="1"/>
  <c r="AX30" i="16"/>
  <c r="AX27" i="17"/>
  <c r="AW30" i="17"/>
  <c r="AY27" i="18"/>
  <c r="AY30" i="18" s="1"/>
  <c r="AZ30" i="18" s="1"/>
  <c r="AX30" i="18"/>
  <c r="AX30" i="17" l="1"/>
  <c r="AY27" i="17"/>
  <c r="AY30" i="17" s="1"/>
  <c r="AZ30" i="17" s="1"/>
  <c r="AZ30" i="16"/>
  <c r="I29" i="7" l="1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 s="1"/>
  <c r="G39" i="5"/>
  <c r="H39" i="5"/>
  <c r="G40" i="5"/>
  <c r="H40" i="5" s="1"/>
  <c r="G41" i="5"/>
  <c r="H41" i="5"/>
  <c r="G42" i="5"/>
  <c r="H42" i="5" s="1"/>
  <c r="G43" i="5"/>
  <c r="H43" i="5"/>
  <c r="G44" i="5"/>
  <c r="H44" i="5" s="1"/>
  <c r="G45" i="5"/>
  <c r="H45" i="5"/>
  <c r="G46" i="5"/>
  <c r="H46" i="5" s="1"/>
  <c r="G47" i="5"/>
  <c r="H47" i="5"/>
  <c r="G48" i="5"/>
  <c r="H48" i="5" s="1"/>
  <c r="G49" i="5"/>
  <c r="H49" i="5"/>
  <c r="G50" i="5"/>
  <c r="H50" i="5" s="1"/>
  <c r="G51" i="5"/>
  <c r="H51" i="5"/>
  <c r="G52" i="5"/>
  <c r="H52" i="5" s="1"/>
  <c r="G53" i="5"/>
  <c r="H53" i="5"/>
  <c r="G54" i="5"/>
  <c r="H54" i="5" s="1"/>
  <c r="G55" i="5"/>
  <c r="H55" i="5"/>
  <c r="G56" i="5"/>
  <c r="H56" i="5" s="1"/>
  <c r="G57" i="5"/>
  <c r="H57" i="5"/>
  <c r="G58" i="5"/>
  <c r="H58" i="5" s="1"/>
  <c r="G59" i="5"/>
  <c r="H59" i="5"/>
  <c r="G60" i="5"/>
  <c r="H60" i="5" s="1"/>
  <c r="G61" i="5"/>
  <c r="H61" i="5"/>
  <c r="G62" i="5"/>
  <c r="H62" i="5" s="1"/>
  <c r="G63" i="5"/>
  <c r="H63" i="5"/>
  <c r="G64" i="5"/>
  <c r="H64" i="5" s="1"/>
  <c r="G65" i="5"/>
  <c r="H65" i="5"/>
  <c r="G66" i="5"/>
  <c r="H66" i="5" s="1"/>
  <c r="G67" i="5"/>
  <c r="H67" i="5"/>
  <c r="G68" i="5"/>
  <c r="H68" i="5" s="1"/>
  <c r="G69" i="5"/>
  <c r="H69" i="5"/>
  <c r="G70" i="5"/>
  <c r="H70" i="5" s="1"/>
  <c r="G71" i="5"/>
  <c r="H71" i="5"/>
  <c r="G72" i="5"/>
  <c r="H72" i="5" s="1"/>
  <c r="G73" i="5"/>
  <c r="H73" i="5"/>
  <c r="G74" i="5"/>
  <c r="H74" i="5" s="1"/>
  <c r="G75" i="5"/>
  <c r="H75" i="5"/>
  <c r="G76" i="5"/>
  <c r="H76" i="5" s="1"/>
  <c r="G77" i="5"/>
  <c r="H77" i="5"/>
  <c r="G78" i="5"/>
  <c r="H78" i="5" s="1"/>
  <c r="G79" i="5"/>
  <c r="H79" i="5"/>
  <c r="G80" i="5"/>
  <c r="H80" i="5" s="1"/>
  <c r="G81" i="5"/>
  <c r="H81" i="5"/>
  <c r="G82" i="5"/>
  <c r="H82" i="5" s="1"/>
  <c r="G83" i="5"/>
  <c r="H83" i="5"/>
  <c r="G84" i="5"/>
  <c r="H84" i="5" s="1"/>
  <c r="G85" i="5"/>
  <c r="H85" i="5"/>
  <c r="G86" i="5"/>
  <c r="H86" i="5" s="1"/>
  <c r="G87" i="5"/>
  <c r="H87" i="5"/>
  <c r="G88" i="5"/>
  <c r="H88" i="5" s="1"/>
  <c r="G89" i="5"/>
  <c r="H89" i="5"/>
  <c r="G90" i="5"/>
  <c r="H90" i="5" s="1"/>
  <c r="G91" i="5"/>
  <c r="H91" i="5"/>
  <c r="G92" i="5"/>
  <c r="H92" i="5" s="1"/>
  <c r="G93" i="5"/>
  <c r="H93" i="5"/>
  <c r="G94" i="5"/>
  <c r="H94" i="5" s="1"/>
  <c r="G95" i="5"/>
  <c r="H95" i="5"/>
  <c r="G96" i="5"/>
  <c r="H96" i="5" s="1"/>
  <c r="G97" i="5"/>
  <c r="H97" i="5"/>
  <c r="G98" i="5"/>
  <c r="H98" i="5" s="1"/>
  <c r="G99" i="5"/>
  <c r="H99" i="5"/>
  <c r="G100" i="5"/>
  <c r="H100" i="5" s="1"/>
  <c r="G101" i="5"/>
  <c r="H101" i="5"/>
  <c r="G102" i="5"/>
  <c r="H102" i="5" s="1"/>
  <c r="G103" i="5"/>
  <c r="H103" i="5"/>
  <c r="G104" i="5"/>
  <c r="H104" i="5" s="1"/>
  <c r="G105" i="5"/>
  <c r="H105" i="5"/>
  <c r="G106" i="5"/>
  <c r="H106" i="5" s="1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36" i="5"/>
  <c r="H6" i="5"/>
  <c r="G16" i="5"/>
</calcChain>
</file>

<file path=xl/sharedStrings.xml><?xml version="1.0" encoding="utf-8"?>
<sst xmlns="http://schemas.openxmlformats.org/spreadsheetml/2006/main" count="2536" uniqueCount="414">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</sst>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 applyAlignment="1">
      <alignment horizontal="center"/>
    </xf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2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2012</v>
      </c>
      <c r="E5" s="103"/>
      <c r="F5" s="104"/>
    </row>
    <row r="6" spans="2:6" x14ac:dyDescent="0.2">
      <c r="B6" s="3"/>
      <c r="C6" s="3"/>
      <c r="D6" s="3"/>
      <c r="E6" s="3"/>
      <c r="F6" s="3"/>
    </row>
    <row r="8" spans="2:6" x14ac:dyDescent="0.2">
      <c r="B8">
        <v>3</v>
      </c>
      <c r="C8" t="s">
        <v>337</v>
      </c>
      <c r="D8">
        <v>2</v>
      </c>
      <c r="E8" t="s">
        <v>338</v>
      </c>
    </row>
    <row r="10" spans="2:6" x14ac:dyDescent="0.2">
      <c r="C10" t="s">
        <v>5</v>
      </c>
      <c r="E10" t="s">
        <v>22</v>
      </c>
    </row>
    <row r="11" spans="2:6" x14ac:dyDescent="0.2">
      <c r="C11" t="s">
        <v>10</v>
      </c>
      <c r="E11" t="s">
        <v>59</v>
      </c>
    </row>
    <row r="12" spans="2:6" x14ac:dyDescent="0.2">
      <c r="C12" t="s">
        <v>12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>
      <selection activeCell="C21" sqref="C21:C30"/>
    </sheetView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5">
        <v>-10</v>
      </c>
      <c r="D6" s="15">
        <v>11</v>
      </c>
      <c r="E6" s="15" t="s">
        <v>166</v>
      </c>
      <c r="F6" s="15" t="s">
        <v>6</v>
      </c>
      <c r="G6" s="15">
        <f t="shared" ref="G6:G15" si="0">$D6+$C6</f>
        <v>1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5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5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5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5">
        <v>-3</v>
      </c>
      <c r="D10" s="15">
        <v>3</v>
      </c>
      <c r="E10" s="15" t="s">
        <v>166</v>
      </c>
      <c r="F10" s="15" t="s">
        <v>6</v>
      </c>
      <c r="G10" s="15">
        <f t="shared" si="0"/>
        <v>0</v>
      </c>
      <c r="H10" s="17" t="str">
        <f t="shared" si="1"/>
        <v>sold</v>
      </c>
    </row>
    <row r="11" spans="2:8" x14ac:dyDescent="0.2">
      <c r="B11" s="14" t="s">
        <v>11</v>
      </c>
      <c r="C11" s="85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5">
        <v>-13</v>
      </c>
      <c r="D12" s="15">
        <v>3800</v>
      </c>
      <c r="E12" s="15" t="s">
        <v>166</v>
      </c>
      <c r="F12" s="15" t="s">
        <v>6</v>
      </c>
      <c r="G12" s="15">
        <f t="shared" si="0"/>
        <v>3787</v>
      </c>
      <c r="H12" s="17" t="str">
        <f t="shared" si="1"/>
        <v/>
      </c>
    </row>
    <row r="13" spans="2:8" x14ac:dyDescent="0.2">
      <c r="B13" s="14" t="s">
        <v>13</v>
      </c>
      <c r="C13" s="85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>
        <v>0</v>
      </c>
      <c r="D25" s="15">
        <v>0</v>
      </c>
      <c r="E25" s="15"/>
      <c r="F25" s="15" t="s">
        <v>6</v>
      </c>
      <c r="G25" s="15">
        <f t="shared" si="2"/>
        <v>0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>
        <v>0</v>
      </c>
      <c r="D27" s="15">
        <v>0</v>
      </c>
      <c r="E27" s="15"/>
      <c r="F27" s="15" t="s">
        <v>6</v>
      </c>
      <c r="G27" s="15">
        <f t="shared" si="2"/>
        <v>0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0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50000</v>
      </c>
      <c r="E39" s="15" t="s">
        <v>166</v>
      </c>
      <c r="F39" s="15" t="s">
        <v>6</v>
      </c>
      <c r="G39" s="15">
        <f t="shared" si="3"/>
        <v>50000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51000</v>
      </c>
      <c r="E76" s="15" t="s">
        <v>166</v>
      </c>
      <c r="F76" s="15" t="s">
        <v>6</v>
      </c>
      <c r="G76" s="15">
        <f t="shared" si="5"/>
        <v>51000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>
      <selection activeCell="C47" sqref="C47:N48"/>
    </sheetView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0</v>
      </c>
      <c r="D6" s="87">
        <v>0</v>
      </c>
      <c r="E6" s="87">
        <v>0</v>
      </c>
      <c r="F6" s="87">
        <v>0</v>
      </c>
      <c r="G6" s="87">
        <v>0</v>
      </c>
      <c r="H6" s="87">
        <v>0</v>
      </c>
      <c r="I6" s="87">
        <v>0</v>
      </c>
      <c r="J6" s="87">
        <v>0</v>
      </c>
      <c r="K6" s="87">
        <v>0</v>
      </c>
      <c r="L6" s="87">
        <v>0</v>
      </c>
      <c r="M6" s="87">
        <v>0</v>
      </c>
      <c r="N6" s="87">
        <v>0</v>
      </c>
    </row>
    <row r="7" spans="2:14" x14ac:dyDescent="0.2">
      <c r="B7" s="36" t="s">
        <v>105</v>
      </c>
      <c r="C7" s="88">
        <v>3203.3999387586405</v>
      </c>
      <c r="D7" s="89">
        <v>3203.3999387586405</v>
      </c>
      <c r="E7" s="89">
        <v>3203.3999387586405</v>
      </c>
      <c r="F7" s="89">
        <v>3203.3999387586405</v>
      </c>
      <c r="G7" s="89">
        <v>3203.3999387586405</v>
      </c>
      <c r="H7" s="89">
        <v>3203.3999387586405</v>
      </c>
      <c r="I7" s="89">
        <v>3203.3999387586405</v>
      </c>
      <c r="J7" s="89">
        <v>3203.3999387586405</v>
      </c>
      <c r="K7" s="89">
        <v>3203.3999387586405</v>
      </c>
      <c r="L7" s="89">
        <v>3203.3999387586405</v>
      </c>
      <c r="M7" s="89">
        <v>3203.3999387586405</v>
      </c>
      <c r="N7" s="89">
        <v>3203.3999387586405</v>
      </c>
    </row>
    <row r="8" spans="2:14" x14ac:dyDescent="0.2">
      <c r="B8" s="36" t="s">
        <v>106</v>
      </c>
      <c r="C8" s="88">
        <v>2958.1665880602222</v>
      </c>
      <c r="D8" s="89">
        <v>2958.1665880602222</v>
      </c>
      <c r="E8" s="89">
        <v>2958.1665880602222</v>
      </c>
      <c r="F8" s="89">
        <v>2958.1665880602222</v>
      </c>
      <c r="G8" s="89">
        <v>2958.1665880602222</v>
      </c>
      <c r="H8" s="89">
        <v>2958.1665880602222</v>
      </c>
      <c r="I8" s="89">
        <v>2958.1665880602222</v>
      </c>
      <c r="J8" s="89">
        <v>2958.1665880602222</v>
      </c>
      <c r="K8" s="89">
        <v>2958.1665880602222</v>
      </c>
      <c r="L8" s="89">
        <v>2958.1665880602222</v>
      </c>
      <c r="M8" s="89">
        <v>2958.1665880602222</v>
      </c>
      <c r="N8" s="89">
        <v>2958.1665880602222</v>
      </c>
    </row>
    <row r="9" spans="2:14" x14ac:dyDescent="0.2">
      <c r="B9" s="36" t="s">
        <v>107</v>
      </c>
      <c r="C9" s="88">
        <v>0</v>
      </c>
      <c r="D9" s="89">
        <v>0</v>
      </c>
      <c r="E9" s="89">
        <v>0</v>
      </c>
      <c r="F9" s="89">
        <v>0</v>
      </c>
      <c r="G9" s="89">
        <v>0</v>
      </c>
      <c r="H9" s="89">
        <v>0</v>
      </c>
      <c r="I9" s="89">
        <v>0</v>
      </c>
      <c r="J9" s="89">
        <v>0</v>
      </c>
      <c r="K9" s="89">
        <v>0</v>
      </c>
      <c r="L9" s="89">
        <v>0</v>
      </c>
      <c r="M9" s="89">
        <v>0</v>
      </c>
      <c r="N9" s="89">
        <v>0</v>
      </c>
    </row>
    <row r="10" spans="2:14" x14ac:dyDescent="0.2">
      <c r="B10" s="36" t="s">
        <v>108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</row>
    <row r="11" spans="2:14" x14ac:dyDescent="0.2">
      <c r="B11" s="37" t="s">
        <v>109</v>
      </c>
      <c r="C11" s="88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0</v>
      </c>
      <c r="E17" s="90">
        <v>1</v>
      </c>
      <c r="F17" s="90">
        <v>5</v>
      </c>
      <c r="G17" s="90">
        <v>1</v>
      </c>
      <c r="H17" s="90">
        <v>10</v>
      </c>
      <c r="I17" s="29" t="s">
        <v>110</v>
      </c>
    </row>
    <row r="18" spans="2:33" x14ac:dyDescent="0.2">
      <c r="B18" s="36" t="s">
        <v>105</v>
      </c>
      <c r="C18" s="91">
        <v>1</v>
      </c>
      <c r="D18" s="91">
        <v>0</v>
      </c>
      <c r="E18" s="91">
        <v>1</v>
      </c>
      <c r="F18" s="91">
        <v>5</v>
      </c>
      <c r="G18" s="91">
        <v>1</v>
      </c>
      <c r="H18" s="91">
        <v>10</v>
      </c>
      <c r="I18" s="29" t="s">
        <v>110</v>
      </c>
    </row>
    <row r="19" spans="2:33" x14ac:dyDescent="0.2">
      <c r="B19" s="36" t="s">
        <v>106</v>
      </c>
      <c r="C19" s="91">
        <v>1</v>
      </c>
      <c r="D19" s="91">
        <v>0</v>
      </c>
      <c r="E19" s="91">
        <v>1</v>
      </c>
      <c r="F19" s="91">
        <v>5</v>
      </c>
      <c r="G19" s="91">
        <v>1</v>
      </c>
      <c r="H19" s="91">
        <v>10</v>
      </c>
      <c r="I19" s="29" t="s">
        <v>110</v>
      </c>
    </row>
    <row r="20" spans="2:33" x14ac:dyDescent="0.2">
      <c r="B20" s="36" t="s">
        <v>107</v>
      </c>
      <c r="C20" s="91">
        <v>1</v>
      </c>
      <c r="D20" s="91">
        <v>0</v>
      </c>
      <c r="E20" s="91">
        <v>1</v>
      </c>
      <c r="F20" s="91">
        <v>5</v>
      </c>
      <c r="G20" s="91">
        <v>1</v>
      </c>
      <c r="H20" s="91">
        <v>10</v>
      </c>
    </row>
    <row r="21" spans="2:33" x14ac:dyDescent="0.2">
      <c r="B21" s="36" t="s">
        <v>108</v>
      </c>
      <c r="C21" s="91">
        <v>1</v>
      </c>
      <c r="D21" s="91">
        <v>0</v>
      </c>
      <c r="E21" s="91">
        <v>1</v>
      </c>
      <c r="F21" s="91">
        <v>5</v>
      </c>
      <c r="G21" s="91">
        <v>1</v>
      </c>
      <c r="H21" s="91">
        <v>10</v>
      </c>
    </row>
    <row r="22" spans="2:33" x14ac:dyDescent="0.2">
      <c r="B22" s="37" t="s">
        <v>109</v>
      </c>
      <c r="C22" s="91">
        <v>1</v>
      </c>
      <c r="D22" s="91">
        <v>0</v>
      </c>
      <c r="E22" s="91">
        <v>1</v>
      </c>
      <c r="F22" s="91">
        <v>5</v>
      </c>
      <c r="G22" s="91">
        <v>1</v>
      </c>
      <c r="H22" s="91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2007</v>
      </c>
      <c r="E28" s="49"/>
      <c r="F28" s="45">
        <f>basic_info!$D$5-4</f>
        <v>2008</v>
      </c>
      <c r="G28" s="49"/>
      <c r="H28" s="45">
        <f>basic_info!$D$5-3</f>
        <v>2009</v>
      </c>
      <c r="I28" s="49"/>
      <c r="J28" s="45">
        <f>basic_info!$D$5-2</f>
        <v>2010</v>
      </c>
      <c r="K28" s="49"/>
      <c r="L28" s="45">
        <f>basic_info!$D$5-1</f>
        <v>2011</v>
      </c>
      <c r="N28" s="45">
        <f>basic_info!$D$5</f>
        <v>2012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2012</v>
      </c>
      <c r="D30" s="44">
        <v>0.66759713542461396</v>
      </c>
      <c r="E30" s="35">
        <v>400000</v>
      </c>
      <c r="F30" s="47">
        <v>0.81134172439645946</v>
      </c>
      <c r="G30" s="46">
        <v>400000</v>
      </c>
      <c r="H30" s="47">
        <v>0.81188912511999345</v>
      </c>
      <c r="I30" s="46"/>
      <c r="J30" s="47">
        <v>0.69770012734349673</v>
      </c>
      <c r="K30" s="46"/>
      <c r="L30" s="47">
        <v>0.81979439563375311</v>
      </c>
      <c r="M30" s="46"/>
      <c r="N30" s="60"/>
      <c r="O30" s="71" t="s">
        <v>162</v>
      </c>
      <c r="P30" s="41">
        <f>M30+K30+I30+E30+G30</f>
        <v>800000</v>
      </c>
      <c r="Q30" s="70"/>
    </row>
    <row r="31" spans="2:33" x14ac:dyDescent="0.2">
      <c r="B31" s="36"/>
      <c r="C31" s="47">
        <f>basic_info!$D$5+1</f>
        <v>2013</v>
      </c>
      <c r="D31" s="76"/>
      <c r="E31" s="75"/>
      <c r="F31" s="69">
        <v>0.77419792761206629</v>
      </c>
      <c r="G31" s="79">
        <v>400000</v>
      </c>
      <c r="H31" s="61">
        <v>0.75988620984963406</v>
      </c>
      <c r="I31" s="62">
        <v>400000</v>
      </c>
      <c r="J31" s="61">
        <v>0.70400269357188838</v>
      </c>
      <c r="K31" s="62"/>
      <c r="L31" s="61">
        <v>0.75933230319260714</v>
      </c>
      <c r="M31" s="62"/>
      <c r="N31" s="63">
        <v>0.79110236905498132</v>
      </c>
      <c r="O31" s="89"/>
      <c r="P31" s="63">
        <f>O31+M31+K31+I31+G31</f>
        <v>800000</v>
      </c>
    </row>
    <row r="32" spans="2:33" x14ac:dyDescent="0.2">
      <c r="B32" s="36"/>
      <c r="C32" s="47">
        <f>basic_info!$D$5+2</f>
        <v>2014</v>
      </c>
      <c r="D32" s="76"/>
      <c r="E32" s="75"/>
      <c r="F32" s="75"/>
      <c r="G32" s="75"/>
      <c r="H32" s="69">
        <v>0.72473765751123431</v>
      </c>
      <c r="I32" s="79">
        <v>400000</v>
      </c>
      <c r="J32" s="61">
        <v>0.71441382370859263</v>
      </c>
      <c r="K32" s="62">
        <v>400000</v>
      </c>
      <c r="L32" s="61">
        <v>0.69091416758853352</v>
      </c>
      <c r="M32" s="62"/>
      <c r="N32" s="63">
        <v>0.75192074042674273</v>
      </c>
      <c r="O32" s="89"/>
      <c r="P32" s="63">
        <f>O32+M32+K32+I32</f>
        <v>800000</v>
      </c>
    </row>
    <row r="33" spans="2:17" x14ac:dyDescent="0.2">
      <c r="B33" s="36"/>
      <c r="C33" s="47">
        <f>basic_info!$D$5+3</f>
        <v>2015</v>
      </c>
      <c r="D33" s="76"/>
      <c r="E33" s="75"/>
      <c r="F33" s="75"/>
      <c r="G33" s="75"/>
      <c r="H33" s="75"/>
      <c r="I33" s="75"/>
      <c r="J33" s="69">
        <v>0.67398288510441784</v>
      </c>
      <c r="K33" s="79">
        <v>400000</v>
      </c>
      <c r="L33" s="61">
        <v>0.7025784495475329</v>
      </c>
      <c r="M33" s="62">
        <v>400000</v>
      </c>
      <c r="N33" s="63">
        <v>0.75974471053693216</v>
      </c>
      <c r="O33" s="89"/>
      <c r="P33" s="63">
        <f>O33+M33+K33</f>
        <v>800000</v>
      </c>
    </row>
    <row r="34" spans="2:17" x14ac:dyDescent="0.2">
      <c r="B34" s="36"/>
      <c r="C34" s="47">
        <f>basic_info!$D$5+4</f>
        <v>2016</v>
      </c>
      <c r="D34" s="76"/>
      <c r="E34" s="75"/>
      <c r="F34" s="75"/>
      <c r="G34" s="75"/>
      <c r="H34" s="75"/>
      <c r="I34" s="75"/>
      <c r="J34" s="75"/>
      <c r="K34" s="75"/>
      <c r="L34" s="69">
        <v>0.71552384896278387</v>
      </c>
      <c r="M34" s="79">
        <v>400000</v>
      </c>
      <c r="N34" s="63">
        <v>0.73352858177408109</v>
      </c>
      <c r="O34" s="89">
        <v>400000</v>
      </c>
      <c r="P34" s="63">
        <f>O34+M34</f>
        <v>800000</v>
      </c>
    </row>
    <row r="35" spans="2:17" x14ac:dyDescent="0.2">
      <c r="B35" s="37"/>
      <c r="C35" s="72">
        <f>basic_info!$D$5+5</f>
        <v>2017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0.68859153167605403</v>
      </c>
      <c r="O35" s="89">
        <v>400000</v>
      </c>
      <c r="P35" s="65">
        <f>O35</f>
        <v>400000</v>
      </c>
    </row>
    <row r="36" spans="2:17" x14ac:dyDescent="0.2">
      <c r="B36" s="41" t="s">
        <v>113</v>
      </c>
      <c r="C36" s="36">
        <f>basic_info!$D$5</f>
        <v>2012</v>
      </c>
      <c r="D36" s="44">
        <v>0.89032073213160046</v>
      </c>
      <c r="E36" s="35">
        <v>300000</v>
      </c>
      <c r="F36" s="73">
        <v>0.91383547859681491</v>
      </c>
      <c r="G36" s="74">
        <v>300000</v>
      </c>
      <c r="H36" s="73">
        <v>1.0175796433406761</v>
      </c>
      <c r="I36" s="74">
        <v>300000</v>
      </c>
      <c r="J36" s="73">
        <v>1.0991066984060751</v>
      </c>
      <c r="K36" s="74">
        <v>300000</v>
      </c>
      <c r="L36" s="66">
        <v>1.1501363751654021</v>
      </c>
      <c r="M36" s="67">
        <v>600000</v>
      </c>
      <c r="N36" s="68"/>
      <c r="O36" s="71" t="s">
        <v>162</v>
      </c>
      <c r="P36" s="41">
        <f>M36+K36+I36+E36+G36</f>
        <v>1800000</v>
      </c>
      <c r="Q36" s="70"/>
    </row>
    <row r="37" spans="2:17" x14ac:dyDescent="0.2">
      <c r="B37" s="36"/>
      <c r="C37" s="47">
        <f>basic_info!$D$5+1</f>
        <v>2013</v>
      </c>
      <c r="D37" s="76"/>
      <c r="E37" s="75"/>
      <c r="F37" s="69">
        <v>0.87400841210782521</v>
      </c>
      <c r="G37" s="79">
        <v>300000</v>
      </c>
      <c r="H37" s="61">
        <v>0.98773074448833686</v>
      </c>
      <c r="I37" s="62">
        <v>300000</v>
      </c>
      <c r="J37" s="61">
        <v>1.0158087168858814</v>
      </c>
      <c r="K37" s="62">
        <v>300000</v>
      </c>
      <c r="L37" s="61">
        <v>1.1144936542893142</v>
      </c>
      <c r="M37" s="62">
        <v>300000</v>
      </c>
      <c r="N37" s="61">
        <v>1.1730117703794187</v>
      </c>
      <c r="O37" s="89">
        <v>600000</v>
      </c>
      <c r="P37" s="63">
        <f>O37+M37+K37+I37+G37</f>
        <v>1800000</v>
      </c>
    </row>
    <row r="38" spans="2:17" x14ac:dyDescent="0.2">
      <c r="B38" s="36"/>
      <c r="C38" s="47">
        <f>basic_info!$D$5+2</f>
        <v>2014</v>
      </c>
      <c r="D38" s="76"/>
      <c r="E38" s="75"/>
      <c r="F38" s="75"/>
      <c r="G38" s="75"/>
      <c r="H38" s="69">
        <v>0.97905324764549728</v>
      </c>
      <c r="I38" s="79">
        <v>300000</v>
      </c>
      <c r="J38" s="61">
        <v>1.004390797006619</v>
      </c>
      <c r="K38" s="62">
        <v>300000</v>
      </c>
      <c r="L38" s="61">
        <v>1.1358391365953338</v>
      </c>
      <c r="M38" s="62">
        <v>300000</v>
      </c>
      <c r="N38" s="61">
        <v>1.114568040022595</v>
      </c>
      <c r="O38" s="89">
        <v>300000</v>
      </c>
      <c r="P38" s="63">
        <f>O38+M38+K38+I38</f>
        <v>1200000</v>
      </c>
    </row>
    <row r="39" spans="2:17" x14ac:dyDescent="0.2">
      <c r="B39" s="36"/>
      <c r="C39" s="47">
        <f>basic_info!$D$5+3</f>
        <v>2015</v>
      </c>
      <c r="D39" s="76"/>
      <c r="E39" s="75"/>
      <c r="F39" s="75"/>
      <c r="G39" s="75"/>
      <c r="H39" s="75"/>
      <c r="I39" s="75"/>
      <c r="J39" s="69">
        <v>0.92318454591929922</v>
      </c>
      <c r="K39" s="79">
        <v>300000</v>
      </c>
      <c r="L39" s="61">
        <v>1.0932932166591005</v>
      </c>
      <c r="M39" s="62">
        <v>300000</v>
      </c>
      <c r="N39" s="61">
        <v>1.0797159727823964</v>
      </c>
      <c r="O39" s="89">
        <v>300000</v>
      </c>
      <c r="P39" s="63">
        <f>O39+M39+K39</f>
        <v>900000</v>
      </c>
    </row>
    <row r="40" spans="2:17" x14ac:dyDescent="0.2">
      <c r="B40" s="36"/>
      <c r="C40" s="47">
        <f>basic_info!$D$5+4</f>
        <v>2016</v>
      </c>
      <c r="D40" s="76"/>
      <c r="E40" s="75"/>
      <c r="F40" s="75"/>
      <c r="G40" s="75"/>
      <c r="H40" s="75"/>
      <c r="I40" s="75"/>
      <c r="J40" s="75"/>
      <c r="K40" s="75"/>
      <c r="L40" s="69">
        <v>1.023757758513093</v>
      </c>
      <c r="M40" s="79">
        <v>300000</v>
      </c>
      <c r="N40" s="61">
        <v>1.057380701748182</v>
      </c>
      <c r="O40" s="89">
        <v>300000</v>
      </c>
      <c r="P40" s="63">
        <f>O40+M40</f>
        <v>600000</v>
      </c>
    </row>
    <row r="41" spans="2:17" x14ac:dyDescent="0.2">
      <c r="B41" s="37"/>
      <c r="C41" s="72">
        <f>basic_info!$D$5+5</f>
        <v>2017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0.96417330466210838</v>
      </c>
      <c r="O41" s="89">
        <v>300000</v>
      </c>
      <c r="P41" s="64">
        <f>O41</f>
        <v>300000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9</v>
      </c>
      <c r="D47" s="92">
        <v>8</v>
      </c>
      <c r="E47" s="92">
        <v>8</v>
      </c>
      <c r="F47" s="92">
        <v>9</v>
      </c>
      <c r="G47" s="92">
        <v>8</v>
      </c>
      <c r="H47" s="92">
        <v>8</v>
      </c>
      <c r="I47" s="92">
        <v>9</v>
      </c>
      <c r="J47" s="92">
        <v>8</v>
      </c>
      <c r="K47" s="92">
        <v>8</v>
      </c>
      <c r="L47" s="92">
        <v>9</v>
      </c>
      <c r="M47" s="92">
        <v>8</v>
      </c>
      <c r="N47" s="92">
        <v>8</v>
      </c>
      <c r="O47" s="33">
        <f>SUM(C47:N47)</f>
        <v>100</v>
      </c>
    </row>
    <row r="48" spans="2:17" x14ac:dyDescent="0.2">
      <c r="B48" s="37" t="s">
        <v>113</v>
      </c>
      <c r="C48" s="92">
        <v>9</v>
      </c>
      <c r="D48" s="92">
        <v>8</v>
      </c>
      <c r="E48" s="92">
        <v>8</v>
      </c>
      <c r="F48" s="92">
        <v>9</v>
      </c>
      <c r="G48" s="92">
        <v>8</v>
      </c>
      <c r="H48" s="92">
        <v>8</v>
      </c>
      <c r="I48" s="92">
        <v>9</v>
      </c>
      <c r="J48" s="92">
        <v>8</v>
      </c>
      <c r="K48" s="92">
        <v>8</v>
      </c>
      <c r="L48" s="92">
        <v>9</v>
      </c>
      <c r="M48" s="92">
        <v>8</v>
      </c>
      <c r="N48" s="92">
        <v>8</v>
      </c>
      <c r="O48" s="33">
        <f>SUM(C48:N48)</f>
        <v>100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workbookViewId="0">
      <selection activeCell="B34" sqref="B34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7" x14ac:dyDescent="0.2">
      <c r="B2" s="28" t="s">
        <v>114</v>
      </c>
    </row>
    <row r="3" spans="2:17" x14ac:dyDescent="0.2">
      <c r="B3" s="30" t="s">
        <v>144</v>
      </c>
    </row>
    <row r="4" spans="2:17" x14ac:dyDescent="0.2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2">
      <c r="B6" s="45" t="s">
        <v>163</v>
      </c>
      <c r="C6" s="93">
        <v>6.083281169442694</v>
      </c>
      <c r="D6" s="93"/>
      <c r="E6" s="93">
        <v>21.322558656143194</v>
      </c>
      <c r="F6" s="93">
        <v>43.576000000000001</v>
      </c>
      <c r="G6" s="93">
        <v>29.018160174414106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2">
      <c r="B7" s="45" t="s">
        <v>105</v>
      </c>
      <c r="C7" s="93"/>
      <c r="D7" s="93">
        <v>29.273302900011473</v>
      </c>
      <c r="E7" s="93"/>
      <c r="F7" s="93">
        <v>5.2536970999885284</v>
      </c>
      <c r="G7" s="93">
        <v>65.472999999999999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2">
      <c r="B8" s="45" t="s">
        <v>106</v>
      </c>
      <c r="C8" s="93"/>
      <c r="D8" s="93">
        <v>13.311643831050283</v>
      </c>
      <c r="E8" s="93"/>
      <c r="F8" s="93">
        <v>41.02235616894972</v>
      </c>
      <c r="G8" s="93">
        <v>45.665999999999997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2">
      <c r="B9" s="45" t="s">
        <v>107</v>
      </c>
      <c r="C9" s="93">
        <v>100</v>
      </c>
      <c r="D9" s="93"/>
      <c r="E9" s="93"/>
      <c r="F9" s="93"/>
      <c r="G9" s="93"/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2">
      <c r="B10" s="45" t="s">
        <v>108</v>
      </c>
      <c r="C10" s="93">
        <v>100</v>
      </c>
      <c r="D10" s="93"/>
      <c r="E10" s="93"/>
      <c r="F10" s="93"/>
      <c r="G10" s="93"/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2">
      <c r="B11" s="45" t="s">
        <v>109</v>
      </c>
      <c r="C11" s="94">
        <v>100</v>
      </c>
      <c r="D11" s="94"/>
      <c r="E11" s="94"/>
      <c r="F11" s="94"/>
      <c r="G11" s="94"/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2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4">
        <v>100</v>
      </c>
      <c r="D19" s="44">
        <f>100-$C$19</f>
        <v>0</v>
      </c>
      <c r="E19" s="94">
        <v>100</v>
      </c>
      <c r="F19" s="44">
        <f>100-$E$19</f>
        <v>0</v>
      </c>
      <c r="G19" s="94">
        <v>100</v>
      </c>
      <c r="H19" s="33">
        <f>100-$G$19</f>
        <v>0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3">
        <v>10.386729968289858</v>
      </c>
      <c r="D27" s="93">
        <v>100</v>
      </c>
      <c r="E27" s="93">
        <v>100</v>
      </c>
      <c r="F27" s="93"/>
      <c r="G27" s="93">
        <v>100</v>
      </c>
      <c r="H27" s="93"/>
      <c r="I27" s="95">
        <v>100</v>
      </c>
      <c r="P27" s="50"/>
      <c r="Q27" s="50"/>
      <c r="R27" s="50"/>
    </row>
    <row r="28" spans="2:18" x14ac:dyDescent="0.2">
      <c r="B28" s="45" t="s">
        <v>59</v>
      </c>
      <c r="C28" s="93">
        <v>89.613270031710144</v>
      </c>
      <c r="D28" s="93"/>
      <c r="E28" s="93"/>
      <c r="F28" s="93">
        <v>100</v>
      </c>
      <c r="G28" s="93"/>
      <c r="H28" s="93">
        <v>100</v>
      </c>
      <c r="I28" s="95"/>
      <c r="P28" s="50"/>
      <c r="Q28" s="50"/>
      <c r="R28" s="50"/>
    </row>
    <row r="29" spans="2:18" x14ac:dyDescent="0.2">
      <c r="B29" s="45" t="s">
        <v>150</v>
      </c>
      <c r="C29" s="98">
        <f>SUM($C$27:$C$28)</f>
        <v>100</v>
      </c>
      <c r="D29" s="98">
        <f>SUM($D$27:$D$28)</f>
        <v>100</v>
      </c>
      <c r="E29" s="98">
        <f>SUM($E$27:$E$28)</f>
        <v>100</v>
      </c>
      <c r="F29" s="98">
        <f>SUM($F$27:$F$28)</f>
        <v>100</v>
      </c>
      <c r="G29" s="98">
        <f>SUM($G$27:$G$28)</f>
        <v>100</v>
      </c>
      <c r="H29" s="98">
        <f>SUM($H$27:$H$28)</f>
        <v>100</v>
      </c>
      <c r="I29" s="96">
        <f>SUM($I$27:$I$28)</f>
        <v>100</v>
      </c>
      <c r="P29" s="50"/>
      <c r="Q29" s="50"/>
      <c r="R29" s="50"/>
    </row>
    <row r="30" spans="2:18" x14ac:dyDescent="0.2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2">
      <c r="I31" s="50"/>
      <c r="J31" s="50"/>
      <c r="K31" s="50"/>
    </row>
    <row r="32" spans="2:18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3">
        <v>27.54034748087782</v>
      </c>
      <c r="D36" s="93">
        <v>27.54034748087782</v>
      </c>
      <c r="E36" s="93">
        <v>27.54034748087782</v>
      </c>
      <c r="F36" s="93">
        <v>27.54034748087782</v>
      </c>
      <c r="G36" s="93">
        <v>27.54034748087782</v>
      </c>
      <c r="H36" s="93">
        <v>27.54034748087782</v>
      </c>
      <c r="I36" s="93">
        <v>27.54034748087782</v>
      </c>
      <c r="J36" s="93">
        <v>27.54034748087782</v>
      </c>
      <c r="K36" s="93">
        <v>27.54034748087782</v>
      </c>
      <c r="L36" s="93">
        <v>27.54034748087782</v>
      </c>
      <c r="M36" s="93">
        <v>27.54034748087782</v>
      </c>
      <c r="N36" s="95">
        <v>27.54034748087782</v>
      </c>
    </row>
    <row r="37" spans="2:14" x14ac:dyDescent="0.2">
      <c r="B37" s="45" t="s">
        <v>59</v>
      </c>
      <c r="C37" s="94">
        <v>43.062944370491799</v>
      </c>
      <c r="D37" s="94">
        <v>43.06294437049182</v>
      </c>
      <c r="E37" s="94">
        <v>43.06294437049182</v>
      </c>
      <c r="F37" s="94">
        <v>43.06294437049182</v>
      </c>
      <c r="G37" s="94">
        <v>43.06294437049182</v>
      </c>
      <c r="H37" s="94">
        <v>43.06294437049182</v>
      </c>
      <c r="I37" s="94">
        <v>43.06294437049182</v>
      </c>
      <c r="J37" s="94">
        <v>43.06294437049182</v>
      </c>
      <c r="K37" s="94">
        <v>43.06294437049182</v>
      </c>
      <c r="L37" s="94">
        <v>43.06294437049182</v>
      </c>
      <c r="M37" s="94">
        <v>43.06294437049182</v>
      </c>
      <c r="N37" s="89">
        <v>43.062944370491799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>
      <selection activeCell="D33" sqref="D33:O39"/>
    </sheetView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3.5401107557824121</v>
      </c>
      <c r="E6" s="89">
        <v>3.0866490383141914</v>
      </c>
      <c r="F6" s="89">
        <v>2.0425745579542873</v>
      </c>
      <c r="G6" s="89">
        <v>1.5097802616059544</v>
      </c>
      <c r="H6" s="89">
        <v>2.2544977000022342</v>
      </c>
      <c r="I6" s="89">
        <v>2.0720950008824257</v>
      </c>
      <c r="J6" s="89">
        <v>2.2817240912740289</v>
      </c>
      <c r="K6" s="89">
        <v>1.4989342804667465</v>
      </c>
      <c r="L6" s="89">
        <v>1.5805613663944622</v>
      </c>
      <c r="M6" s="89">
        <v>2.216419652611787</v>
      </c>
      <c r="N6" s="89">
        <v>3.2261209327634366</v>
      </c>
      <c r="O6" s="89">
        <v>2.5661590282298228</v>
      </c>
    </row>
    <row r="7" spans="2:15" x14ac:dyDescent="0.2">
      <c r="C7" s="36" t="s">
        <v>127</v>
      </c>
      <c r="D7" s="89">
        <v>3.0160419047256171</v>
      </c>
      <c r="E7" s="89">
        <v>2.577329618192568</v>
      </c>
      <c r="F7" s="89">
        <v>1.0669700035519627</v>
      </c>
      <c r="G7" s="89">
        <v>2.5283076723151825</v>
      </c>
      <c r="H7" s="89">
        <v>2.414846545862634</v>
      </c>
      <c r="I7" s="89">
        <v>2.9149669232989908</v>
      </c>
      <c r="J7" s="89">
        <v>2.9669780644560984</v>
      </c>
      <c r="K7" s="89">
        <v>3.2243762206312505</v>
      </c>
      <c r="L7" s="89">
        <v>2.4730195117405405</v>
      </c>
      <c r="M7" s="89">
        <v>1.0396990163290549</v>
      </c>
      <c r="N7" s="89">
        <v>1.2054983144424616</v>
      </c>
      <c r="O7" s="89">
        <v>2.6870462430545214</v>
      </c>
    </row>
    <row r="8" spans="2:15" x14ac:dyDescent="0.2">
      <c r="C8" s="36" t="s">
        <v>128</v>
      </c>
      <c r="D8" s="89">
        <v>3.2720500813632576</v>
      </c>
      <c r="E8" s="89">
        <v>2.0358293843456581</v>
      </c>
      <c r="F8" s="89">
        <v>1.832522483816265</v>
      </c>
      <c r="G8" s="89">
        <v>1.6841095069388858</v>
      </c>
      <c r="H8" s="89">
        <v>2.6401218223632448</v>
      </c>
      <c r="I8" s="89">
        <v>1.3904802756160539</v>
      </c>
      <c r="J8" s="89">
        <v>2.5229472615590147</v>
      </c>
      <c r="K8" s="89">
        <v>2.1028230460036692</v>
      </c>
      <c r="L8" s="89">
        <v>2.4415337078919359</v>
      </c>
      <c r="M8" s="89">
        <v>3.3394861361336563</v>
      </c>
      <c r="N8" s="89">
        <v>1.6837892240758507</v>
      </c>
      <c r="O8" s="89">
        <v>1.8067546412964322</v>
      </c>
    </row>
    <row r="9" spans="2:15" x14ac:dyDescent="0.2">
      <c r="C9" s="36" t="s">
        <v>129</v>
      </c>
      <c r="D9" s="89">
        <v>3.3481814843067896</v>
      </c>
      <c r="E9" s="89">
        <v>3.3616993082083844</v>
      </c>
      <c r="F9" s="89">
        <v>1.1611691003267832</v>
      </c>
      <c r="G9" s="89">
        <v>2.3585674365475677</v>
      </c>
      <c r="H9" s="89">
        <v>1.9457557577174169</v>
      </c>
      <c r="I9" s="89">
        <v>3.5949442094316582</v>
      </c>
      <c r="J9" s="89">
        <v>3.3035095003274888</v>
      </c>
      <c r="K9" s="89">
        <v>3.0277023159566467</v>
      </c>
      <c r="L9" s="89">
        <v>2.27769048247543</v>
      </c>
      <c r="M9" s="89">
        <v>3.5928442854912919</v>
      </c>
      <c r="N9" s="89">
        <v>1.1121168654666862</v>
      </c>
      <c r="O9" s="89">
        <v>2.6121289837272026</v>
      </c>
    </row>
    <row r="10" spans="2:15" x14ac:dyDescent="0.2">
      <c r="C10" s="36" t="s">
        <v>130</v>
      </c>
      <c r="D10" s="89">
        <v>1.3416993422749979</v>
      </c>
      <c r="E10" s="89">
        <v>1.3352506207725445</v>
      </c>
      <c r="F10" s="89">
        <v>1.7539008724129923</v>
      </c>
      <c r="G10" s="89">
        <v>1.9326898699972155</v>
      </c>
      <c r="H10" s="89">
        <v>1.4086545888607007</v>
      </c>
      <c r="I10" s="89">
        <v>1.2179255933894499</v>
      </c>
      <c r="J10" s="89">
        <v>3.2874189944365741</v>
      </c>
      <c r="K10" s="89">
        <v>3.496112498287272</v>
      </c>
      <c r="L10" s="89">
        <v>3.0839652534945952</v>
      </c>
      <c r="M10" s="89">
        <v>1.4709137942223942</v>
      </c>
      <c r="N10" s="89">
        <v>3.5552775175666294</v>
      </c>
      <c r="O10" s="89">
        <v>2.8391615957447023</v>
      </c>
    </row>
    <row r="11" spans="2:15" x14ac:dyDescent="0.2">
      <c r="C11" s="36" t="s">
        <v>131</v>
      </c>
      <c r="D11" s="89">
        <v>3.2235412241886898</v>
      </c>
      <c r="E11" s="89">
        <v>2.5088639914852076</v>
      </c>
      <c r="F11" s="89">
        <v>2.4933314064885845</v>
      </c>
      <c r="G11" s="89">
        <v>1.9653088629980706</v>
      </c>
      <c r="H11" s="89">
        <v>2.1535739145181081</v>
      </c>
      <c r="I11" s="89">
        <v>1.6084083376277387</v>
      </c>
      <c r="J11" s="89">
        <v>3.3211234111159595</v>
      </c>
      <c r="K11" s="89">
        <v>2.2540319040785404</v>
      </c>
      <c r="L11" s="89">
        <v>1.7044894611840145</v>
      </c>
      <c r="M11" s="89">
        <v>2.4036405372574077</v>
      </c>
      <c r="N11" s="89">
        <v>3.170107741726615</v>
      </c>
      <c r="O11" s="89">
        <v>3.5969794204568308</v>
      </c>
    </row>
    <row r="12" spans="2:15" x14ac:dyDescent="0.2">
      <c r="C12" s="37" t="s">
        <v>132</v>
      </c>
      <c r="D12" s="89">
        <v>1.9306537140339839</v>
      </c>
      <c r="E12" s="89">
        <v>1.3411483074904007</v>
      </c>
      <c r="F12" s="89">
        <v>1.8428000118433827</v>
      </c>
      <c r="G12" s="89">
        <v>2.6980786015421709</v>
      </c>
      <c r="H12" s="89">
        <v>2.4302417800566989</v>
      </c>
      <c r="I12" s="89">
        <v>3.4375413664251657</v>
      </c>
      <c r="J12" s="89">
        <v>2.4366815762116736</v>
      </c>
      <c r="K12" s="89">
        <v>2.3754439532201115</v>
      </c>
      <c r="L12" s="89">
        <v>3.3448877420710383</v>
      </c>
      <c r="M12" s="89">
        <v>2.3044296745022876</v>
      </c>
      <c r="N12" s="89">
        <v>2.9793412366894891</v>
      </c>
      <c r="O12" s="89">
        <v>2.3717726595584896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2.1423922664137827</v>
      </c>
      <c r="E15" s="89">
        <v>1.2959737081562266</v>
      </c>
      <c r="F15" s="89">
        <v>3.5093205755151611</v>
      </c>
      <c r="G15" s="89">
        <v>1.8893285296821496</v>
      </c>
      <c r="H15" s="89">
        <v>3.1800718760351678</v>
      </c>
      <c r="I15" s="89">
        <v>1.5276780015697191</v>
      </c>
      <c r="J15" s="89">
        <v>2.930932956523967</v>
      </c>
      <c r="K15" s="89">
        <v>1.2702074599376625</v>
      </c>
      <c r="L15" s="89">
        <v>1.1416289654748526</v>
      </c>
      <c r="M15" s="89">
        <v>2.502000560169372</v>
      </c>
      <c r="N15" s="89">
        <v>2.2433452690124587</v>
      </c>
      <c r="O15" s="89">
        <v>2.4806244344205108</v>
      </c>
    </row>
    <row r="16" spans="2:15" x14ac:dyDescent="0.2">
      <c r="C16" s="36" t="s">
        <v>127</v>
      </c>
      <c r="D16" s="89">
        <v>2.2865117065980165</v>
      </c>
      <c r="E16" s="89">
        <v>3.0761910197565059</v>
      </c>
      <c r="F16" s="89">
        <v>2.4960875030395639</v>
      </c>
      <c r="G16" s="89">
        <v>3.1991040414541492</v>
      </c>
      <c r="H16" s="89">
        <v>2.8857673355193594</v>
      </c>
      <c r="I16" s="89">
        <v>3.0443464227413393</v>
      </c>
      <c r="J16" s="89">
        <v>1.3456213599957256</v>
      </c>
      <c r="K16" s="89">
        <v>3.3919724880584301</v>
      </c>
      <c r="L16" s="89">
        <v>3.3790947562983744</v>
      </c>
      <c r="M16" s="89">
        <v>3.5811399847769736</v>
      </c>
      <c r="N16" s="89">
        <v>1.1094794708596598</v>
      </c>
      <c r="O16" s="89">
        <v>1.0692730221713473</v>
      </c>
    </row>
    <row r="17" spans="2:15" x14ac:dyDescent="0.2">
      <c r="C17" s="36" t="s">
        <v>128</v>
      </c>
      <c r="D17" s="89">
        <v>1.0788786625191176</v>
      </c>
      <c r="E17" s="89">
        <v>2.2721731118917017</v>
      </c>
      <c r="F17" s="89">
        <v>3.0574798357731323</v>
      </c>
      <c r="G17" s="89">
        <v>2.2958365369359113</v>
      </c>
      <c r="H17" s="89">
        <v>2.7570912823939633</v>
      </c>
      <c r="I17" s="89">
        <v>1.0668847852520229</v>
      </c>
      <c r="J17" s="89">
        <v>2.2601603494241473</v>
      </c>
      <c r="K17" s="89">
        <v>2.669586198940419</v>
      </c>
      <c r="L17" s="89">
        <v>2.1450136303637786</v>
      </c>
      <c r="M17" s="89">
        <v>2.4793391192375878</v>
      </c>
      <c r="N17" s="89">
        <v>1.4204240343151104</v>
      </c>
      <c r="O17" s="89">
        <v>2.712643707032234</v>
      </c>
    </row>
    <row r="18" spans="2:15" x14ac:dyDescent="0.2">
      <c r="C18" s="36" t="s">
        <v>129</v>
      </c>
      <c r="D18" s="89">
        <v>1.3835672502273226</v>
      </c>
      <c r="E18" s="89">
        <v>2.7028707261349787</v>
      </c>
      <c r="F18" s="89">
        <v>3.1000405462825742</v>
      </c>
      <c r="G18" s="89">
        <v>3.4949707335807902</v>
      </c>
      <c r="H18" s="89">
        <v>1.8749962584289994</v>
      </c>
      <c r="I18" s="89">
        <v>1.9188799859974224</v>
      </c>
      <c r="J18" s="89">
        <v>2.5019798483326054</v>
      </c>
      <c r="K18" s="89">
        <v>2.0151653889620613</v>
      </c>
      <c r="L18" s="89">
        <v>2.2846261511393617</v>
      </c>
      <c r="M18" s="89">
        <v>1.7180567366634927</v>
      </c>
      <c r="N18" s="89">
        <v>2.0513096013951486</v>
      </c>
      <c r="O18" s="89">
        <v>2.5064896845577045</v>
      </c>
    </row>
    <row r="19" spans="2:15" x14ac:dyDescent="0.2">
      <c r="C19" s="36" t="s">
        <v>130</v>
      </c>
      <c r="D19" s="89">
        <v>2.4481388348452615</v>
      </c>
      <c r="E19" s="89">
        <v>2.0795706203110265</v>
      </c>
      <c r="F19" s="89">
        <v>2.5652036431920093</v>
      </c>
      <c r="G19" s="89">
        <v>2.9158347897502108</v>
      </c>
      <c r="H19" s="89">
        <v>3.0710718566563453</v>
      </c>
      <c r="I19" s="89">
        <v>1.2000993673182372</v>
      </c>
      <c r="J19" s="89">
        <v>3.5922344922753524</v>
      </c>
      <c r="K19" s="89">
        <v>1.6879011638920716</v>
      </c>
      <c r="L19" s="89">
        <v>3.4060127533766189</v>
      </c>
      <c r="M19" s="89">
        <v>2.7432400487020749</v>
      </c>
      <c r="N19" s="89">
        <v>3.3272437246062925</v>
      </c>
      <c r="O19" s="89">
        <v>2.939922517314876</v>
      </c>
    </row>
    <row r="20" spans="2:15" x14ac:dyDescent="0.2">
      <c r="C20" s="36" t="s">
        <v>131</v>
      </c>
      <c r="D20" s="89">
        <v>2.5202521749674869</v>
      </c>
      <c r="E20" s="89">
        <v>1.3808439918572899</v>
      </c>
      <c r="F20" s="89">
        <v>1.1011229947331305</v>
      </c>
      <c r="G20" s="89">
        <v>1.9522744955143283</v>
      </c>
      <c r="H20" s="89">
        <v>1.0829019951720367</v>
      </c>
      <c r="I20" s="89">
        <v>2.5534038917684678</v>
      </c>
      <c r="J20" s="89">
        <v>1.8387053206685755</v>
      </c>
      <c r="K20" s="89">
        <v>1.9701652116922515</v>
      </c>
      <c r="L20" s="89">
        <v>1.3432783498834751</v>
      </c>
      <c r="M20" s="89">
        <v>2.2832360520965835</v>
      </c>
      <c r="N20" s="89">
        <v>1.5738627939776226</v>
      </c>
      <c r="O20" s="89">
        <v>3.0035498619010346</v>
      </c>
    </row>
    <row r="21" spans="2:15" x14ac:dyDescent="0.2">
      <c r="C21" s="37" t="s">
        <v>132</v>
      </c>
      <c r="D21" s="89">
        <v>1.523161942607183</v>
      </c>
      <c r="E21" s="89">
        <v>1.5765459432553641</v>
      </c>
      <c r="F21" s="89">
        <v>1.125551303557855</v>
      </c>
      <c r="G21" s="89">
        <v>3.1444666663550289</v>
      </c>
      <c r="H21" s="89">
        <v>1.7809949061086936</v>
      </c>
      <c r="I21" s="89">
        <v>1.5824089613355521</v>
      </c>
      <c r="J21" s="89">
        <v>2.4698312790256471</v>
      </c>
      <c r="K21" s="89">
        <v>1.9989693662389258</v>
      </c>
      <c r="L21" s="89">
        <v>1.6170734003709328</v>
      </c>
      <c r="M21" s="89">
        <v>1.1110926313550673</v>
      </c>
      <c r="N21" s="89">
        <v>2.850805197393981</v>
      </c>
      <c r="O21" s="89">
        <v>1.6003034673895813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1.2206516357600274</v>
      </c>
      <c r="E24" s="89">
        <v>1.3714544667884601</v>
      </c>
      <c r="F24" s="89">
        <v>2.7552347249175</v>
      </c>
      <c r="G24" s="89">
        <v>2.7885856838248344</v>
      </c>
      <c r="H24" s="89">
        <v>3.467193370747248</v>
      </c>
      <c r="I24" s="89">
        <v>3.2283519102753608</v>
      </c>
      <c r="J24" s="89">
        <v>1.4311211175710743</v>
      </c>
      <c r="K24" s="89">
        <v>1.6180686186673001</v>
      </c>
      <c r="L24" s="89">
        <v>3.1456053248251239</v>
      </c>
      <c r="M24" s="89">
        <v>1.1306978906525669</v>
      </c>
      <c r="N24" s="89">
        <v>2.2926476135213787</v>
      </c>
      <c r="O24" s="89">
        <v>2.9631187635881258</v>
      </c>
    </row>
    <row r="25" spans="2:15" x14ac:dyDescent="0.2">
      <c r="C25" s="36" t="s">
        <v>127</v>
      </c>
      <c r="D25" s="89">
        <v>2.2096391736669734</v>
      </c>
      <c r="E25" s="89">
        <v>2.130761357750822</v>
      </c>
      <c r="F25" s="89">
        <v>2.6128792132735152</v>
      </c>
      <c r="G25" s="89">
        <v>3.0532780177232861</v>
      </c>
      <c r="H25" s="89">
        <v>3.1895991674839075</v>
      </c>
      <c r="I25" s="89">
        <v>3.2161853331933155</v>
      </c>
      <c r="J25" s="89">
        <v>3.2373553954434597</v>
      </c>
      <c r="K25" s="89">
        <v>2.152089867755282</v>
      </c>
      <c r="L25" s="89">
        <v>2.5557028878312575</v>
      </c>
      <c r="M25" s="89">
        <v>2.1555457712079629</v>
      </c>
      <c r="N25" s="89">
        <v>1.2154733357085707</v>
      </c>
      <c r="O25" s="89">
        <v>1.6159866373174063</v>
      </c>
    </row>
    <row r="26" spans="2:15" x14ac:dyDescent="0.2">
      <c r="C26" s="36" t="s">
        <v>128</v>
      </c>
      <c r="D26" s="89">
        <v>1.3164541109964643</v>
      </c>
      <c r="E26" s="89">
        <v>1.5582073342365836</v>
      </c>
      <c r="F26" s="89">
        <v>2.7996430007556441</v>
      </c>
      <c r="G26" s="89">
        <v>2.7994719173804663</v>
      </c>
      <c r="H26" s="89">
        <v>2.9585740496124471</v>
      </c>
      <c r="I26" s="89">
        <v>3.5645209906211326</v>
      </c>
      <c r="J26" s="89">
        <v>2.9624610396165392</v>
      </c>
      <c r="K26" s="89">
        <v>1.1547218944448647</v>
      </c>
      <c r="L26" s="89">
        <v>2.0708154474179166</v>
      </c>
      <c r="M26" s="89">
        <v>3.2689630709562301</v>
      </c>
      <c r="N26" s="89">
        <v>1.8138677610983156</v>
      </c>
      <c r="O26" s="89">
        <v>2.4519797922569224</v>
      </c>
    </row>
    <row r="27" spans="2:15" x14ac:dyDescent="0.2">
      <c r="C27" s="36" t="s">
        <v>129</v>
      </c>
      <c r="D27" s="89">
        <v>1.8702664130756488</v>
      </c>
      <c r="E27" s="89">
        <v>1.5309626200591353</v>
      </c>
      <c r="F27" s="89">
        <v>1.9437225280309898</v>
      </c>
      <c r="G27" s="89">
        <v>3.3503757994513346</v>
      </c>
      <c r="H27" s="89">
        <v>3.1501048962872962</v>
      </c>
      <c r="I27" s="89">
        <v>2.8385865897347009</v>
      </c>
      <c r="J27" s="89">
        <v>1.2712012608218206</v>
      </c>
      <c r="K27" s="89">
        <v>3.2361728838136852</v>
      </c>
      <c r="L27" s="89">
        <v>3.3060748115204874</v>
      </c>
      <c r="M27" s="89">
        <v>2.7790582888962656</v>
      </c>
      <c r="N27" s="89">
        <v>2.6099633720192159</v>
      </c>
      <c r="O27" s="89">
        <v>1.5381478243722138</v>
      </c>
    </row>
    <row r="28" spans="2:15" x14ac:dyDescent="0.2">
      <c r="C28" s="36" t="s">
        <v>130</v>
      </c>
      <c r="D28" s="89">
        <v>2.5533921656081988</v>
      </c>
      <c r="E28" s="89">
        <v>3.5302987118094626</v>
      </c>
      <c r="F28" s="89">
        <v>1.4312770534921639</v>
      </c>
      <c r="G28" s="89">
        <v>1.9955937081210235</v>
      </c>
      <c r="H28" s="89">
        <v>2.0613456795256031</v>
      </c>
      <c r="I28" s="89">
        <v>1.8023429996628828</v>
      </c>
      <c r="J28" s="89">
        <v>3.2843176896988671</v>
      </c>
      <c r="K28" s="89">
        <v>1.963967419711155</v>
      </c>
      <c r="L28" s="89">
        <v>2.8455451866143289</v>
      </c>
      <c r="M28" s="89">
        <v>2.9543354217756987</v>
      </c>
      <c r="N28" s="89">
        <v>1.9088348663720744</v>
      </c>
      <c r="O28" s="89">
        <v>3.1502299730053247</v>
      </c>
    </row>
    <row r="29" spans="2:15" x14ac:dyDescent="0.2">
      <c r="C29" s="36" t="s">
        <v>131</v>
      </c>
      <c r="D29" s="89">
        <v>3.3994657961999684</v>
      </c>
      <c r="E29" s="89">
        <v>1.7816323862202308</v>
      </c>
      <c r="F29" s="89">
        <v>1.2876461940788906</v>
      </c>
      <c r="G29" s="89">
        <v>2.4114962451256519</v>
      </c>
      <c r="H29" s="89">
        <v>2.0917861849523502</v>
      </c>
      <c r="I29" s="89">
        <v>3.0348945224808417</v>
      </c>
      <c r="J29" s="89">
        <v>2.6319743644809441</v>
      </c>
      <c r="K29" s="89">
        <v>1.7890205616054615</v>
      </c>
      <c r="L29" s="89">
        <v>1.2331075123680533</v>
      </c>
      <c r="M29" s="89">
        <v>1.4365534941982634</v>
      </c>
      <c r="N29" s="89">
        <v>2.2956659339676539</v>
      </c>
      <c r="O29" s="89">
        <v>3.2376576494768705</v>
      </c>
    </row>
    <row r="30" spans="2:15" x14ac:dyDescent="0.2">
      <c r="C30" s="37" t="s">
        <v>132</v>
      </c>
      <c r="D30" s="89">
        <v>3.1809669217580971</v>
      </c>
      <c r="E30" s="89">
        <v>2.7284420323669334</v>
      </c>
      <c r="F30" s="89">
        <v>2.5781866168748264</v>
      </c>
      <c r="G30" s="89">
        <v>1.3674683453887053</v>
      </c>
      <c r="H30" s="89">
        <v>3.4422890802135773</v>
      </c>
      <c r="I30" s="89">
        <v>1.5327150373059337</v>
      </c>
      <c r="J30" s="89">
        <v>1.8765758169181306</v>
      </c>
      <c r="K30" s="89">
        <v>1.6704470260914024</v>
      </c>
      <c r="L30" s="89">
        <v>1.9431954587992935</v>
      </c>
      <c r="M30" s="89">
        <v>1.8425072875737261</v>
      </c>
      <c r="N30" s="89">
        <v>2.0090355038332999</v>
      </c>
      <c r="O30" s="89">
        <v>1.0075979318978794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3.3760294982479446</v>
      </c>
      <c r="E33" s="89">
        <v>3.4253846968196893</v>
      </c>
      <c r="F33" s="89">
        <v>2.6034116819278093</v>
      </c>
      <c r="G33" s="89">
        <v>1.4348121700821808</v>
      </c>
      <c r="H33" s="89">
        <v>3.2274956005272282</v>
      </c>
      <c r="I33" s="89">
        <v>2.042396599570854</v>
      </c>
      <c r="J33" s="89">
        <v>2.9035686550578768</v>
      </c>
      <c r="K33" s="89">
        <v>2.5703237292587993</v>
      </c>
      <c r="L33" s="89">
        <v>1.3686991517053695</v>
      </c>
      <c r="M33" s="89">
        <v>3.2578447691258487</v>
      </c>
      <c r="N33" s="89">
        <v>1.4445228057908266</v>
      </c>
      <c r="O33" s="89">
        <v>2.3813478682690454</v>
      </c>
    </row>
    <row r="34" spans="3:15" x14ac:dyDescent="0.2">
      <c r="C34" s="36" t="s">
        <v>127</v>
      </c>
      <c r="D34" s="89">
        <v>3.118735431508143</v>
      </c>
      <c r="E34" s="89">
        <v>1.5464434217571745</v>
      </c>
      <c r="F34" s="89">
        <v>3.0115390110209121</v>
      </c>
      <c r="G34" s="89">
        <v>3.1488275950938638</v>
      </c>
      <c r="H34" s="89">
        <v>1.9323589885335091</v>
      </c>
      <c r="I34" s="89">
        <v>1.3272864892485807</v>
      </c>
      <c r="J34" s="89">
        <v>3.297534381977687</v>
      </c>
      <c r="K34" s="89">
        <v>1.8755327819510141</v>
      </c>
      <c r="L34" s="89">
        <v>3.3377377765530212</v>
      </c>
      <c r="M34" s="89">
        <v>1.547754503169398</v>
      </c>
      <c r="N34" s="89">
        <v>1.4378090341002869</v>
      </c>
      <c r="O34" s="89">
        <v>1.5263871290321422</v>
      </c>
    </row>
    <row r="35" spans="3:15" x14ac:dyDescent="0.2">
      <c r="C35" s="36" t="s">
        <v>128</v>
      </c>
      <c r="D35" s="89">
        <v>2.2838047140847006</v>
      </c>
      <c r="E35" s="89">
        <v>1.0851180457970802</v>
      </c>
      <c r="F35" s="89">
        <v>3.2954896654731001</v>
      </c>
      <c r="G35" s="89">
        <v>1.1108600976439995</v>
      </c>
      <c r="H35" s="89">
        <v>1.2013070273376159</v>
      </c>
      <c r="I35" s="89">
        <v>1.7698368183637141</v>
      </c>
      <c r="J35" s="89">
        <v>3.0450982162038827</v>
      </c>
      <c r="K35" s="89">
        <v>1.2337242758602387</v>
      </c>
      <c r="L35" s="89">
        <v>1.5649223129852841</v>
      </c>
      <c r="M35" s="89">
        <v>2.5768169751174796</v>
      </c>
      <c r="N35" s="89">
        <v>3.2492683536586044</v>
      </c>
      <c r="O35" s="89">
        <v>3.0097353539530167</v>
      </c>
    </row>
    <row r="36" spans="3:15" x14ac:dyDescent="0.2">
      <c r="C36" s="36" t="s">
        <v>129</v>
      </c>
      <c r="D36" s="89">
        <v>2.6253456273204376</v>
      </c>
      <c r="E36" s="89">
        <v>1.3471314986391199</v>
      </c>
      <c r="F36" s="89">
        <v>3.1288152188637861</v>
      </c>
      <c r="G36" s="89">
        <v>2.340024855081134</v>
      </c>
      <c r="H36" s="89">
        <v>2.463524014569574</v>
      </c>
      <c r="I36" s="89">
        <v>3.0489756586371648</v>
      </c>
      <c r="J36" s="89">
        <v>2.442324699325868</v>
      </c>
      <c r="K36" s="89">
        <v>2.937060872736069</v>
      </c>
      <c r="L36" s="89">
        <v>3.3544191604689315</v>
      </c>
      <c r="M36" s="89">
        <v>1.0135233950377691</v>
      </c>
      <c r="N36" s="89">
        <v>1.5171581587424796</v>
      </c>
      <c r="O36" s="89">
        <v>3.304884034185577</v>
      </c>
    </row>
    <row r="37" spans="3:15" x14ac:dyDescent="0.2">
      <c r="C37" s="36" t="s">
        <v>130</v>
      </c>
      <c r="D37" s="89">
        <v>1.6465930582214463</v>
      </c>
      <c r="E37" s="89">
        <v>1.6115617594986456</v>
      </c>
      <c r="F37" s="89">
        <v>2.4693921386877529</v>
      </c>
      <c r="G37" s="89">
        <v>2.1243237894451701</v>
      </c>
      <c r="H37" s="89">
        <v>2.7544994928619415</v>
      </c>
      <c r="I37" s="89">
        <v>1.2260274717203097</v>
      </c>
      <c r="J37" s="89">
        <v>1.0298822189527004</v>
      </c>
      <c r="K37" s="89">
        <v>2.674691589523249</v>
      </c>
      <c r="L37" s="89">
        <v>2.8630117101511106</v>
      </c>
      <c r="M37" s="89">
        <v>2.7559133541589098</v>
      </c>
      <c r="N37" s="89">
        <v>1.4266672879717173</v>
      </c>
      <c r="O37" s="89">
        <v>3.0779060112625003</v>
      </c>
    </row>
    <row r="38" spans="3:15" x14ac:dyDescent="0.2">
      <c r="C38" s="36" t="s">
        <v>131</v>
      </c>
      <c r="D38" s="89">
        <v>2.5724665791131853</v>
      </c>
      <c r="E38" s="89">
        <v>2.2168704988526455</v>
      </c>
      <c r="F38" s="89">
        <v>2.2420335987829043</v>
      </c>
      <c r="G38" s="89">
        <v>1.5686253858330925</v>
      </c>
      <c r="H38" s="89">
        <v>3.3899873412607437</v>
      </c>
      <c r="I38" s="89">
        <v>1.191074466283667</v>
      </c>
      <c r="J38" s="89">
        <v>1.2378317999294992</v>
      </c>
      <c r="K38" s="89">
        <v>2.9696607094803325</v>
      </c>
      <c r="L38" s="89">
        <v>1.7465365974497717</v>
      </c>
      <c r="M38" s="89">
        <v>2.2586014799989482</v>
      </c>
      <c r="N38" s="89">
        <v>2.1951896361085375</v>
      </c>
      <c r="O38" s="89">
        <v>1.4427904325652297</v>
      </c>
    </row>
    <row r="39" spans="3:15" x14ac:dyDescent="0.2">
      <c r="C39" s="37" t="s">
        <v>132</v>
      </c>
      <c r="D39" s="89">
        <v>2.8632686550754531</v>
      </c>
      <c r="E39" s="89">
        <v>3.4895359268490398</v>
      </c>
      <c r="F39" s="89">
        <v>2.2230647085081294</v>
      </c>
      <c r="G39" s="89">
        <v>2.6986510770961152</v>
      </c>
      <c r="H39" s="89">
        <v>1.2657200697469402</v>
      </c>
      <c r="I39" s="89">
        <v>3.476158563206011</v>
      </c>
      <c r="J39" s="89">
        <v>2.3383225292310144</v>
      </c>
      <c r="K39" s="89">
        <v>2.1449784110078536</v>
      </c>
      <c r="L39" s="89">
        <v>3.0395580241272433</v>
      </c>
      <c r="M39" s="89">
        <v>2.0060353064683722</v>
      </c>
      <c r="N39" s="89">
        <v>3.4854130783453297</v>
      </c>
      <c r="O39" s="89">
        <v>3.2925298098746838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2.75" x14ac:dyDescent="0.2"/>
  <cols>
    <col min="1" max="1" width="4.7109375" style="106" customWidth="1"/>
    <col min="2" max="6" width="9.140625" style="106"/>
    <col min="7" max="7" width="2.7109375" style="106" customWidth="1"/>
    <col min="8" max="8" width="11.140625" style="106" customWidth="1"/>
    <col min="9" max="10" width="9.140625" style="106"/>
    <col min="11" max="12" width="4.7109375" style="106" customWidth="1"/>
    <col min="13" max="17" width="9.140625" style="106"/>
    <col min="18" max="18" width="2.7109375" style="106" customWidth="1"/>
    <col min="19" max="19" width="14.7109375" style="106" customWidth="1"/>
    <col min="20" max="20" width="16.7109375" style="106" customWidth="1"/>
    <col min="21" max="21" width="4.7109375" style="106" customWidth="1"/>
    <col min="22" max="16384" width="9.140625" style="106"/>
  </cols>
  <sheetData>
    <row r="1" spans="1:20" x14ac:dyDescent="0.2">
      <c r="A1" s="185"/>
    </row>
    <row r="2" spans="1:20" ht="15.75" x14ac:dyDescent="0.25">
      <c r="C2" s="186" t="s">
        <v>165</v>
      </c>
      <c r="D2" s="186"/>
      <c r="E2" s="186"/>
      <c r="F2" s="186"/>
      <c r="G2" s="186"/>
      <c r="H2" s="186"/>
    </row>
    <row r="3" spans="1:20" ht="18.75" x14ac:dyDescent="0.25">
      <c r="C3" s="187" t="s">
        <v>413</v>
      </c>
      <c r="D3" s="187"/>
      <c r="E3" s="187"/>
      <c r="F3" s="187"/>
      <c r="G3" s="187"/>
    </row>
    <row r="5" spans="1:20" ht="15.75" x14ac:dyDescent="0.25">
      <c r="A5" s="188" t="s">
        <v>352</v>
      </c>
      <c r="B5" s="189"/>
      <c r="G5" s="190"/>
      <c r="L5" s="188" t="s">
        <v>353</v>
      </c>
      <c r="M5" s="189"/>
      <c r="R5" s="190"/>
    </row>
    <row r="6" spans="1:20" x14ac:dyDescent="0.2">
      <c r="A6" s="191" t="s">
        <v>354</v>
      </c>
      <c r="B6" s="189"/>
      <c r="G6" s="192"/>
      <c r="H6" s="116"/>
      <c r="L6" s="191" t="s">
        <v>355</v>
      </c>
      <c r="M6" s="189"/>
      <c r="S6" s="131"/>
    </row>
    <row r="7" spans="1:20" x14ac:dyDescent="0.2">
      <c r="A7" s="189"/>
      <c r="B7" s="189" t="s">
        <v>356</v>
      </c>
      <c r="G7" s="192"/>
      <c r="H7" s="193">
        <f>SUM(ORA!$D$116:$O$116)</f>
        <v>20594</v>
      </c>
      <c r="L7" s="189"/>
      <c r="M7" s="189" t="s">
        <v>356</v>
      </c>
      <c r="S7" s="194">
        <f>SUM(ORA!$D$127:$O$127)</f>
        <v>76130834.852224737</v>
      </c>
    </row>
    <row r="8" spans="1:20" x14ac:dyDescent="0.2">
      <c r="A8" s="189"/>
      <c r="B8" s="189" t="s">
        <v>357</v>
      </c>
      <c r="G8" s="192"/>
      <c r="H8" s="195">
        <f>SUM(POJ!$D$116:$O$116)</f>
        <v>526</v>
      </c>
      <c r="L8" s="189"/>
      <c r="M8" s="189" t="s">
        <v>357</v>
      </c>
      <c r="S8" s="196">
        <f>SUM(POJ!$D$127:$O$127)</f>
        <v>2042755.2836972459</v>
      </c>
    </row>
    <row r="9" spans="1:20" x14ac:dyDescent="0.2">
      <c r="A9" s="189"/>
      <c r="B9" s="189" t="s">
        <v>358</v>
      </c>
      <c r="G9" s="192"/>
      <c r="H9" s="195">
        <f>SUM(ROJ!$D$116:$O$116)</f>
        <v>31956.265929861896</v>
      </c>
      <c r="L9" s="189"/>
      <c r="M9" s="189" t="s">
        <v>358</v>
      </c>
      <c r="S9" s="196">
        <f>SUM(ROJ!$D$127:$O$127)</f>
        <v>117614940.73047736</v>
      </c>
    </row>
    <row r="10" spans="1:20" x14ac:dyDescent="0.2">
      <c r="A10" s="189"/>
      <c r="B10" s="189" t="s">
        <v>359</v>
      </c>
      <c r="G10" s="192"/>
      <c r="H10" s="197">
        <f>SUM(FCOJ!$D$116:$O$116)</f>
        <v>71717.265929861911</v>
      </c>
      <c r="L10" s="189"/>
      <c r="M10" s="189" t="s">
        <v>359</v>
      </c>
      <c r="S10" s="198">
        <f>SUM(FCOJ!$D$127:$O$127)</f>
        <v>233945710.34073049</v>
      </c>
    </row>
    <row r="11" spans="1:20" x14ac:dyDescent="0.2">
      <c r="A11" s="189"/>
      <c r="B11" s="189"/>
      <c r="G11" s="192"/>
      <c r="M11" s="189" t="s">
        <v>360</v>
      </c>
      <c r="T11" s="199">
        <f>SUM($S$7:$S$10)</f>
        <v>429734241.20712984</v>
      </c>
    </row>
    <row r="12" spans="1:20" x14ac:dyDescent="0.2">
      <c r="A12" s="191" t="s">
        <v>361</v>
      </c>
      <c r="B12" s="189"/>
      <c r="G12" s="192"/>
    </row>
    <row r="13" spans="1:20" x14ac:dyDescent="0.2">
      <c r="A13" s="189"/>
      <c r="B13" s="189" t="s">
        <v>362</v>
      </c>
      <c r="G13" s="192"/>
      <c r="H13" s="200">
        <f>SUM(grove!$C$48:$AX$53)</f>
        <v>287532.1328028139</v>
      </c>
      <c r="L13" s="191" t="s">
        <v>363</v>
      </c>
      <c r="M13" s="189"/>
    </row>
    <row r="14" spans="1:20" x14ac:dyDescent="0.2">
      <c r="A14" s="189"/>
      <c r="B14" s="189" t="s">
        <v>364</v>
      </c>
      <c r="G14" s="192"/>
      <c r="H14" s="193">
        <f>raw_materials!$P$30</f>
        <v>800000</v>
      </c>
      <c r="L14" s="189"/>
      <c r="M14" s="189" t="s">
        <v>365</v>
      </c>
      <c r="S14" s="194">
        <f>SUM(grove!$C$58:$AX$63)</f>
        <v>414697093.35651767</v>
      </c>
    </row>
    <row r="15" spans="1:20" x14ac:dyDescent="0.2">
      <c r="A15" s="189"/>
      <c r="B15" s="189" t="s">
        <v>366</v>
      </c>
      <c r="G15" s="192"/>
      <c r="H15" s="197">
        <f>raw_materials!$P$36</f>
        <v>1800000</v>
      </c>
      <c r="L15" s="189"/>
      <c r="M15" s="189" t="s">
        <v>367</v>
      </c>
      <c r="S15" s="196">
        <f>(raw_materials!D30*raw_materials!E30+raw_materials!F30*raw_materials!G30+raw_materials!H30*raw_materials!I30+raw_materials!J30*raw_materials!K30+raw_materials!L30*raw_materials!M30)*2000</f>
        <v>1183151087.8568587</v>
      </c>
    </row>
    <row r="16" spans="1:20" x14ac:dyDescent="0.2">
      <c r="A16" s="189"/>
      <c r="B16" s="189" t="s">
        <v>368</v>
      </c>
      <c r="G16" s="192"/>
      <c r="H16" s="201">
        <v>147529.0158546069</v>
      </c>
      <c r="L16" s="189"/>
      <c r="M16" s="189" t="s">
        <v>369</v>
      </c>
      <c r="S16" s="196">
        <f>(raw_materials!D36*raw_materials!E36+raw_materials!F36*raw_materials!G36+raw_materials!H36*raw_materials!I36+raw_materials!J36*raw_materials!K36+raw_materials!L36*raw_materials!M36)*2000</f>
        <v>3732669181.6835828</v>
      </c>
    </row>
    <row r="17" spans="1:21" x14ac:dyDescent="0.2">
      <c r="A17" s="189"/>
      <c r="B17" s="189" t="s">
        <v>370</v>
      </c>
      <c r="G17" s="192"/>
      <c r="H17" s="202">
        <v>0</v>
      </c>
      <c r="L17" s="189"/>
      <c r="M17" s="189" t="s">
        <v>371</v>
      </c>
      <c r="S17" s="196">
        <v>312390121.09808075</v>
      </c>
    </row>
    <row r="18" spans="1:21" x14ac:dyDescent="0.2">
      <c r="A18" s="189"/>
      <c r="B18" s="189" t="s">
        <v>372</v>
      </c>
      <c r="G18" s="192"/>
      <c r="H18" s="203">
        <v>1216722.279794212</v>
      </c>
      <c r="L18" s="189"/>
      <c r="M18" s="189" t="s">
        <v>373</v>
      </c>
      <c r="S18" s="198">
        <v>466036852.91986352</v>
      </c>
    </row>
    <row r="19" spans="1:21" x14ac:dyDescent="0.2">
      <c r="A19" s="189"/>
      <c r="B19" s="189" t="s">
        <v>374</v>
      </c>
      <c r="G19" s="192"/>
      <c r="H19" s="202">
        <v>2765769.353384343</v>
      </c>
      <c r="L19" s="189"/>
      <c r="M19" s="189" t="s">
        <v>375</v>
      </c>
      <c r="S19" s="204" t="s">
        <v>376</v>
      </c>
      <c r="T19" s="205">
        <f>SUM($S$14:$S$18)</f>
        <v>6108944336.9149036</v>
      </c>
      <c r="U19" s="106" t="s">
        <v>377</v>
      </c>
    </row>
    <row r="20" spans="1:21" x14ac:dyDescent="0.2">
      <c r="A20" s="189"/>
      <c r="B20" s="189" t="s">
        <v>378</v>
      </c>
      <c r="G20" s="192"/>
      <c r="H20" s="197">
        <v>0</v>
      </c>
      <c r="L20" s="189"/>
      <c r="M20" s="189"/>
    </row>
    <row r="21" spans="1:21" x14ac:dyDescent="0.2">
      <c r="A21" s="189"/>
      <c r="B21" s="189"/>
      <c r="G21" s="192"/>
      <c r="L21" s="191" t="s">
        <v>379</v>
      </c>
      <c r="M21" s="189"/>
      <c r="S21" s="131"/>
    </row>
    <row r="22" spans="1:21" x14ac:dyDescent="0.2">
      <c r="A22" s="191" t="s">
        <v>380</v>
      </c>
      <c r="B22" s="189"/>
      <c r="G22" s="192"/>
      <c r="L22" s="189"/>
      <c r="M22" s="189" t="s">
        <v>381</v>
      </c>
      <c r="S22" s="196">
        <v>295058031.70921397</v>
      </c>
    </row>
    <row r="23" spans="1:21" x14ac:dyDescent="0.2">
      <c r="A23" s="189"/>
      <c r="B23" s="189" t="s">
        <v>382</v>
      </c>
      <c r="G23" s="192"/>
      <c r="H23" s="193">
        <f>SUM(raw_materials!$O$31:$O$35)</f>
        <v>800000</v>
      </c>
      <c r="L23" s="189"/>
      <c r="M23" s="189" t="s">
        <v>383</v>
      </c>
      <c r="S23" s="196">
        <v>0</v>
      </c>
    </row>
    <row r="24" spans="1:21" x14ac:dyDescent="0.2">
      <c r="A24" s="189"/>
      <c r="B24" s="189" t="s">
        <v>384</v>
      </c>
      <c r="G24" s="192"/>
      <c r="H24" s="197">
        <f>SUM(raw_materials!$O$37:$O$41)</f>
        <v>1800000</v>
      </c>
      <c r="L24" s="189"/>
      <c r="M24" s="189" t="s">
        <v>385</v>
      </c>
      <c r="S24" s="198">
        <v>790869481.86623776</v>
      </c>
    </row>
    <row r="25" spans="1:21" x14ac:dyDescent="0.2">
      <c r="A25" s="189"/>
      <c r="B25" s="189"/>
      <c r="G25" s="192"/>
      <c r="L25" s="189"/>
      <c r="M25" s="189" t="s">
        <v>386</v>
      </c>
      <c r="S25" s="204" t="s">
        <v>376</v>
      </c>
      <c r="T25" s="205">
        <f>SUM($S$22:$S$24)</f>
        <v>1085927513.5754519</v>
      </c>
      <c r="U25" s="106" t="s">
        <v>377</v>
      </c>
    </row>
    <row r="26" spans="1:21" x14ac:dyDescent="0.2">
      <c r="A26" s="191" t="s">
        <v>387</v>
      </c>
      <c r="B26" s="189"/>
      <c r="G26" s="192"/>
      <c r="L26" s="189"/>
      <c r="M26" s="189"/>
    </row>
    <row r="27" spans="1:21" x14ac:dyDescent="0.2">
      <c r="A27" s="189"/>
      <c r="B27" s="189" t="s">
        <v>388</v>
      </c>
      <c r="G27" s="192"/>
      <c r="H27" s="193">
        <f>SUMIF(facilities!$C$6:$C$15,"&gt;0",facilities!$C$6:$C$15)</f>
        <v>0</v>
      </c>
      <c r="L27" s="191" t="s">
        <v>389</v>
      </c>
      <c r="M27" s="189"/>
    </row>
    <row r="28" spans="1:21" x14ac:dyDescent="0.2">
      <c r="A28" s="189"/>
      <c r="B28" s="189" t="s">
        <v>390</v>
      </c>
      <c r="G28" s="192"/>
      <c r="H28" s="195">
        <f>SUMIF(facilities!$C$36:$C$106,"&gt;0",facilities!$C$36:$C$106)</f>
        <v>0</v>
      </c>
      <c r="L28" s="189"/>
      <c r="M28" s="189" t="s">
        <v>391</v>
      </c>
      <c r="S28" s="194">
        <v>0</v>
      </c>
    </row>
    <row r="29" spans="1:21" x14ac:dyDescent="0.2">
      <c r="A29" s="189"/>
      <c r="B29" s="189" t="s">
        <v>392</v>
      </c>
      <c r="G29" s="192"/>
      <c r="H29" s="195">
        <f>SUMIF(facilities!$C$6:$C$15,"&lt;0",facilities!$C$6:$C$15)</f>
        <v>-26</v>
      </c>
      <c r="L29" s="189"/>
      <c r="M29" s="189" t="s">
        <v>393</v>
      </c>
      <c r="S29" s="196">
        <v>47917013.851219803</v>
      </c>
    </row>
    <row r="30" spans="1:21" x14ac:dyDescent="0.2">
      <c r="A30" s="189"/>
      <c r="B30" s="189" t="s">
        <v>394</v>
      </c>
      <c r="G30" s="192"/>
      <c r="H30" s="197">
        <f>SUMIF(facilities!$C$36:$C$106,"&lt;0",facilities!$C$36:$C$106)</f>
        <v>0</v>
      </c>
      <c r="L30" s="189"/>
      <c r="M30" s="189" t="s">
        <v>395</v>
      </c>
      <c r="S30" s="196">
        <v>210389051.30076382</v>
      </c>
    </row>
    <row r="31" spans="1:21" x14ac:dyDescent="0.2">
      <c r="L31" s="189"/>
      <c r="M31" s="189" t="s">
        <v>396</v>
      </c>
      <c r="S31" s="198">
        <f>SUM(ORA!D138:O138)+SUM(POJ!D138:O138)+SUM(ROJ!D138:O138)+SUM(FCOJ!D138:O138)</f>
        <v>134822631.35724357</v>
      </c>
    </row>
    <row r="32" spans="1:21" x14ac:dyDescent="0.2">
      <c r="A32" s="191" t="s">
        <v>397</v>
      </c>
      <c r="B32" s="189"/>
      <c r="G32" s="192"/>
      <c r="L32" s="189"/>
      <c r="M32" s="189" t="s">
        <v>398</v>
      </c>
      <c r="S32" s="119" t="s">
        <v>376</v>
      </c>
      <c r="T32" s="205">
        <f>SUM($S$28:$S$31)</f>
        <v>393128696.50922716</v>
      </c>
      <c r="U32" s="106" t="s">
        <v>377</v>
      </c>
    </row>
    <row r="33" spans="1:21" x14ac:dyDescent="0.2">
      <c r="A33" s="189"/>
      <c r="B33" s="189" t="s">
        <v>399</v>
      </c>
      <c r="G33" s="192"/>
      <c r="H33" s="193">
        <f>COUNTIF(facilities!$H$6:$H$15,"=new")</f>
        <v>0</v>
      </c>
      <c r="M33" s="189"/>
    </row>
    <row r="34" spans="1:21" x14ac:dyDescent="0.2">
      <c r="A34" s="189"/>
      <c r="B34" s="189" t="s">
        <v>400</v>
      </c>
      <c r="G34" s="192"/>
      <c r="H34" s="195">
        <f>COUNTIF(facilities!$H$36:$H$106,"=new")</f>
        <v>0</v>
      </c>
      <c r="L34" s="191" t="s">
        <v>401</v>
      </c>
      <c r="M34" s="189"/>
    </row>
    <row r="35" spans="1:21" x14ac:dyDescent="0.2">
      <c r="B35" s="189" t="s">
        <v>18</v>
      </c>
      <c r="H35" s="197">
        <f>SUMIF(facilities!$C$21:$C$30,"&gt;0",facilities!$C$21:$C$30)</f>
        <v>0</v>
      </c>
      <c r="L35" s="189"/>
      <c r="M35" s="189" t="s">
        <v>402</v>
      </c>
      <c r="S35" s="194">
        <v>33535000</v>
      </c>
    </row>
    <row r="36" spans="1:21" x14ac:dyDescent="0.2">
      <c r="L36" s="189"/>
      <c r="M36" s="189" t="s">
        <v>403</v>
      </c>
      <c r="S36" s="196">
        <f>H33*12000000-H38*70/100*12000000</f>
        <v>-8400000</v>
      </c>
    </row>
    <row r="37" spans="1:21" x14ac:dyDescent="0.2">
      <c r="A37" s="191" t="s">
        <v>404</v>
      </c>
      <c r="L37" s="189"/>
      <c r="M37" s="189" t="s">
        <v>405</v>
      </c>
      <c r="S37" s="196">
        <f>H27*8000+H29*70/100*8000</f>
        <v>-145600</v>
      </c>
    </row>
    <row r="38" spans="1:21" x14ac:dyDescent="0.2">
      <c r="B38" s="189" t="s">
        <v>399</v>
      </c>
      <c r="H38" s="193">
        <f>COUNTIF(facilities!$H$6:$H$15,"=sold")</f>
        <v>1</v>
      </c>
      <c r="L38" s="189"/>
      <c r="M38" s="189" t="s">
        <v>406</v>
      </c>
      <c r="S38" s="196">
        <v>80650000</v>
      </c>
    </row>
    <row r="39" spans="1:21" x14ac:dyDescent="0.2">
      <c r="B39" s="189" t="s">
        <v>400</v>
      </c>
      <c r="H39" s="195">
        <f>COUNTIF(facilities!$H$36:$H$106,"=sold")</f>
        <v>0</v>
      </c>
      <c r="L39" s="189"/>
      <c r="M39" s="189" t="s">
        <v>407</v>
      </c>
      <c r="S39" s="196">
        <f>H34*9000000-H39*80/100*9000000</f>
        <v>0</v>
      </c>
    </row>
    <row r="40" spans="1:21" x14ac:dyDescent="0.2">
      <c r="B40" s="189" t="s">
        <v>18</v>
      </c>
      <c r="H40" s="197">
        <f>-SUMIF(facilities!$C$21:$C$30,"&lt;0",facilities!$C$21:$C$30)</f>
        <v>0</v>
      </c>
      <c r="L40" s="189"/>
      <c r="M40" s="189" t="s">
        <v>408</v>
      </c>
      <c r="S40" s="196">
        <f>H28*6000+H30*80/100*6000</f>
        <v>0</v>
      </c>
    </row>
    <row r="41" spans="1:21" x14ac:dyDescent="0.2">
      <c r="L41" s="189"/>
      <c r="M41" s="189" t="s">
        <v>409</v>
      </c>
      <c r="S41" s="196">
        <v>0</v>
      </c>
    </row>
    <row r="42" spans="1:21" x14ac:dyDescent="0.2">
      <c r="L42" s="189"/>
      <c r="M42" s="189" t="s">
        <v>410</v>
      </c>
      <c r="S42" s="198">
        <f>H35*100000-H40*60/100*100000</f>
        <v>0</v>
      </c>
    </row>
    <row r="43" spans="1:21" x14ac:dyDescent="0.2">
      <c r="L43" s="189"/>
      <c r="M43" s="189" t="s">
        <v>411</v>
      </c>
      <c r="S43" s="183" t="s">
        <v>376</v>
      </c>
      <c r="T43" s="205">
        <f>SUM($S$35:$S$42)</f>
        <v>105639400</v>
      </c>
      <c r="U43" s="106" t="s">
        <v>377</v>
      </c>
    </row>
    <row r="44" spans="1:21" x14ac:dyDescent="0.2">
      <c r="L44" s="189"/>
      <c r="S44" s="116"/>
    </row>
    <row r="45" spans="1:21" ht="14.25" thickBot="1" x14ac:dyDescent="0.3">
      <c r="L45" s="206" t="s">
        <v>412</v>
      </c>
      <c r="M45" s="189"/>
      <c r="T45" s="207">
        <f>$T$11-$T$19-$T$25-$T$32-$T$43</f>
        <v>-7263905705.7924528</v>
      </c>
    </row>
    <row r="46" spans="1:21" ht="13.5" thickTop="1" x14ac:dyDescent="0.2">
      <c r="M46" s="189"/>
    </row>
    <row r="316" spans="1:1" x14ac:dyDescent="0.2">
      <c r="A316" s="185"/>
    </row>
    <row r="317" spans="1:1" x14ac:dyDescent="0.2">
      <c r="A317" s="185"/>
    </row>
    <row r="318" spans="1:1" x14ac:dyDescent="0.2">
      <c r="A318" s="185"/>
    </row>
    <row r="319" spans="1:1" x14ac:dyDescent="0.2">
      <c r="A319" s="185"/>
    </row>
    <row r="320" spans="1:1" x14ac:dyDescent="0.2">
      <c r="A320" s="185"/>
    </row>
    <row r="321" spans="1:1" x14ac:dyDescent="0.2">
      <c r="A321" s="185"/>
    </row>
    <row r="322" spans="1:1" x14ac:dyDescent="0.2">
      <c r="A322" s="185"/>
    </row>
    <row r="323" spans="1:1" x14ac:dyDescent="0.2">
      <c r="A323" s="185"/>
    </row>
    <row r="325" spans="1:1" x14ac:dyDescent="0.2">
      <c r="A325" s="185"/>
    </row>
    <row r="326" spans="1:1" x14ac:dyDescent="0.2">
      <c r="A326" s="185"/>
    </row>
    <row r="327" spans="1:1" x14ac:dyDescent="0.2">
      <c r="A327" s="185"/>
    </row>
    <row r="328" spans="1:1" x14ac:dyDescent="0.2">
      <c r="A328" s="185"/>
    </row>
    <row r="329" spans="1:1" x14ac:dyDescent="0.2">
      <c r="A329" s="185"/>
    </row>
    <row r="330" spans="1:1" x14ac:dyDescent="0.2">
      <c r="A330" s="185"/>
    </row>
    <row r="331" spans="1:1" x14ac:dyDescent="0.2">
      <c r="A331" s="185"/>
    </row>
    <row r="332" spans="1:1" x14ac:dyDescent="0.2">
      <c r="A332" s="185"/>
    </row>
    <row r="334" spans="1:1" x14ac:dyDescent="0.2">
      <c r="A334" s="185"/>
    </row>
    <row r="335" spans="1:1" x14ac:dyDescent="0.2">
      <c r="A335" s="185"/>
    </row>
    <row r="336" spans="1:1" x14ac:dyDescent="0.2">
      <c r="A336" s="185"/>
    </row>
    <row r="337" spans="1:1" x14ac:dyDescent="0.2">
      <c r="A337" s="185"/>
    </row>
    <row r="338" spans="1:1" x14ac:dyDescent="0.2">
      <c r="A338" s="185"/>
    </row>
    <row r="339" spans="1:1" x14ac:dyDescent="0.2">
      <c r="A339" s="185"/>
    </row>
    <row r="340" spans="1:1" x14ac:dyDescent="0.2">
      <c r="A340" s="185"/>
    </row>
    <row r="341" spans="1:1" x14ac:dyDescent="0.2">
      <c r="A341" s="185"/>
    </row>
    <row r="343" spans="1:1" x14ac:dyDescent="0.2">
      <c r="A343" s="185"/>
    </row>
    <row r="344" spans="1:1" x14ac:dyDescent="0.2">
      <c r="A344" s="185"/>
    </row>
    <row r="345" spans="1:1" x14ac:dyDescent="0.2">
      <c r="A345" s="185"/>
    </row>
    <row r="346" spans="1:1" x14ac:dyDescent="0.2">
      <c r="A346" s="185"/>
    </row>
    <row r="347" spans="1:1" x14ac:dyDescent="0.2">
      <c r="A347" s="185"/>
    </row>
    <row r="348" spans="1:1" x14ac:dyDescent="0.2">
      <c r="A348" s="185"/>
    </row>
    <row r="349" spans="1:1" x14ac:dyDescent="0.2">
      <c r="A349" s="185"/>
    </row>
    <row r="350" spans="1:1" x14ac:dyDescent="0.2">
      <c r="A350" s="185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defaultRowHeight="12.75" x14ac:dyDescent="0.2"/>
  <cols>
    <col min="1" max="1" width="4.7109375" style="106" customWidth="1"/>
    <col min="2" max="2" width="15.7109375" style="106" customWidth="1"/>
    <col min="3" max="16384" width="9.140625" style="106"/>
  </cols>
  <sheetData>
    <row r="2" spans="2:14" x14ac:dyDescent="0.2">
      <c r="B2" s="108" t="s">
        <v>313</v>
      </c>
    </row>
    <row r="3" spans="2:14" x14ac:dyDescent="0.2">
      <c r="B3" s="109" t="s">
        <v>314</v>
      </c>
    </row>
    <row r="4" spans="2:14" x14ac:dyDescent="0.2">
      <c r="B4" s="176" t="s">
        <v>91</v>
      </c>
      <c r="C4" s="176" t="s">
        <v>92</v>
      </c>
      <c r="D4" s="176" t="s">
        <v>93</v>
      </c>
      <c r="E4" s="176" t="s">
        <v>94</v>
      </c>
      <c r="F4" s="176" t="s">
        <v>95</v>
      </c>
      <c r="G4" s="176" t="s">
        <v>96</v>
      </c>
      <c r="H4" s="176" t="s">
        <v>97</v>
      </c>
      <c r="I4" s="176" t="s">
        <v>98</v>
      </c>
      <c r="J4" s="176" t="s">
        <v>99</v>
      </c>
      <c r="K4" s="176" t="s">
        <v>100</v>
      </c>
      <c r="L4" s="176" t="s">
        <v>101</v>
      </c>
      <c r="M4" s="176" t="s">
        <v>102</v>
      </c>
      <c r="N4" s="176" t="s">
        <v>103</v>
      </c>
    </row>
    <row r="5" spans="2:14" x14ac:dyDescent="0.2">
      <c r="B5" s="177" t="s">
        <v>104</v>
      </c>
      <c r="C5" s="106">
        <v>0.61691435597386712</v>
      </c>
      <c r="D5" s="106">
        <v>0.70803733140458802</v>
      </c>
      <c r="E5" s="106">
        <v>0.65496121314514189</v>
      </c>
      <c r="F5" s="106">
        <v>0.64557113770321639</v>
      </c>
      <c r="G5" s="106">
        <v>0.59070255864291066</v>
      </c>
      <c r="H5" s="106">
        <v>0.6673553941479029</v>
      </c>
      <c r="I5" s="106">
        <v>0.6474329308010266</v>
      </c>
      <c r="J5" s="106">
        <v>0.67442087957591124</v>
      </c>
      <c r="K5" s="106">
        <v>0.54033746896806389</v>
      </c>
      <c r="L5" s="106">
        <v>0.62605241420088631</v>
      </c>
      <c r="M5" s="106">
        <v>0.6152862732511839</v>
      </c>
      <c r="N5" s="106">
        <v>0.78488408924428232</v>
      </c>
    </row>
    <row r="6" spans="2:14" x14ac:dyDescent="0.2">
      <c r="B6" s="177" t="s">
        <v>105</v>
      </c>
      <c r="C6" s="106">
        <v>0.67691779107100647</v>
      </c>
      <c r="D6" s="106">
        <v>0.71152909526594843</v>
      </c>
      <c r="E6" s="106">
        <v>0.66019944670455233</v>
      </c>
      <c r="F6" s="106">
        <v>0.72741177881354246</v>
      </c>
      <c r="G6" s="106">
        <v>0.68284517686000634</v>
      </c>
      <c r="H6" s="106">
        <v>0.66816658237885274</v>
      </c>
      <c r="I6" s="106">
        <v>0.90590499592903173</v>
      </c>
      <c r="J6" s="106">
        <v>0.6846429579893577</v>
      </c>
      <c r="K6" s="106">
        <v>0.67282096677792225</v>
      </c>
      <c r="L6" s="106">
        <v>0.66699670271219025</v>
      </c>
      <c r="M6" s="106">
        <v>0.71984330008417652</v>
      </c>
      <c r="N6" s="106">
        <v>0.62169260454334108</v>
      </c>
    </row>
    <row r="7" spans="2:14" x14ac:dyDescent="0.2">
      <c r="B7" s="177" t="s">
        <v>106</v>
      </c>
      <c r="C7" s="106">
        <v>0.77660943628789381</v>
      </c>
      <c r="D7" s="106">
        <v>0.79939809315540267</v>
      </c>
      <c r="E7" s="106">
        <v>0.75603177527847498</v>
      </c>
      <c r="F7" s="106">
        <v>0.72713430429008874</v>
      </c>
      <c r="G7" s="106">
        <v>0.7033021396943504</v>
      </c>
      <c r="H7" s="106">
        <v>0.71342299072838811</v>
      </c>
      <c r="I7" s="106">
        <v>1.1000000000000001</v>
      </c>
      <c r="J7" s="106">
        <v>0.72171357424127036</v>
      </c>
      <c r="K7" s="106">
        <v>0.75679998555913497</v>
      </c>
      <c r="L7" s="106">
        <v>0.68240963216943429</v>
      </c>
      <c r="M7" s="106">
        <v>0.68685238139944094</v>
      </c>
      <c r="N7" s="106">
        <v>0.74513241578397404</v>
      </c>
    </row>
    <row r="8" spans="2:14" x14ac:dyDescent="0.2">
      <c r="B8" s="177" t="s">
        <v>107</v>
      </c>
      <c r="C8" s="106">
        <v>0.63137692480854779</v>
      </c>
      <c r="D8" s="106">
        <v>0.63790543574027536</v>
      </c>
      <c r="E8" s="106">
        <v>0.6323816360501866</v>
      </c>
      <c r="F8" s="106">
        <v>0.72156223143215048</v>
      </c>
      <c r="G8" s="106">
        <v>0.76781948875922867</v>
      </c>
      <c r="H8" s="106">
        <v>0.79078179796769943</v>
      </c>
      <c r="I8" s="106">
        <v>0.6595996173549088</v>
      </c>
      <c r="J8" s="106">
        <v>0.61629987237577577</v>
      </c>
      <c r="K8" s="106">
        <v>0.71088602386003019</v>
      </c>
      <c r="L8" s="106">
        <v>1.1000000000000001</v>
      </c>
      <c r="M8" s="106">
        <v>1.1000000000000001</v>
      </c>
      <c r="N8" s="106">
        <v>0.61366991079314426</v>
      </c>
    </row>
    <row r="9" spans="2:14" x14ac:dyDescent="0.2">
      <c r="B9" s="177" t="s">
        <v>108</v>
      </c>
      <c r="C9" s="106">
        <v>2.0217488622665405</v>
      </c>
      <c r="D9" s="106">
        <v>2.0550493752956389</v>
      </c>
      <c r="E9" s="106">
        <v>2.1032130217552187</v>
      </c>
      <c r="F9" s="106">
        <v>2.0332765257358552</v>
      </c>
      <c r="G9" s="106">
        <v>2.0631726837158202</v>
      </c>
      <c r="H9" s="106">
        <v>2.0819742000102996</v>
      </c>
      <c r="I9" s="106">
        <v>2.0938496804237365</v>
      </c>
      <c r="J9" s="106">
        <v>2.072133151292801</v>
      </c>
      <c r="K9" s="106">
        <v>2.039303002357483</v>
      </c>
      <c r="L9" s="106">
        <v>2.1004826581478118</v>
      </c>
      <c r="M9" s="106">
        <v>2.0226260638236999</v>
      </c>
      <c r="N9" s="106">
        <v>2.0578987276554108</v>
      </c>
    </row>
    <row r="10" spans="2:14" x14ac:dyDescent="0.2">
      <c r="B10" s="177" t="s">
        <v>109</v>
      </c>
      <c r="C10" s="106">
        <v>0.6807220935821533</v>
      </c>
      <c r="D10" s="106">
        <v>0.63507792353630066</v>
      </c>
      <c r="E10" s="106">
        <v>0.60728265047073371</v>
      </c>
      <c r="F10" s="106">
        <v>0.60360181927680967</v>
      </c>
      <c r="G10" s="106">
        <v>0.61959426403045659</v>
      </c>
      <c r="H10" s="106">
        <v>0.62551707625389097</v>
      </c>
      <c r="I10" s="106">
        <v>0.63979820013046262</v>
      </c>
      <c r="J10" s="106">
        <v>0.61955614686012273</v>
      </c>
      <c r="K10" s="106">
        <v>0.65622835159301762</v>
      </c>
      <c r="L10" s="106">
        <v>0.68712360262870786</v>
      </c>
      <c r="M10" s="106">
        <v>0.66545225381851203</v>
      </c>
      <c r="N10" s="106">
        <v>0.63617308735847478</v>
      </c>
    </row>
    <row r="11" spans="2:14" x14ac:dyDescent="0.2">
      <c r="B11" s="178"/>
      <c r="C11" s="107"/>
      <c r="D11" s="107"/>
      <c r="E11" s="107"/>
      <c r="F11" s="107"/>
      <c r="G11" s="107"/>
    </row>
    <row r="12" spans="2:14" x14ac:dyDescent="0.2">
      <c r="B12" s="110" t="s">
        <v>315</v>
      </c>
      <c r="C12" s="107"/>
      <c r="D12" s="107"/>
      <c r="E12" s="107"/>
      <c r="F12" s="107"/>
      <c r="G12" s="107"/>
    </row>
    <row r="13" spans="2:14" x14ac:dyDescent="0.2">
      <c r="B13" s="177" t="s">
        <v>316</v>
      </c>
      <c r="C13" s="177" t="s">
        <v>92</v>
      </c>
      <c r="D13" s="177" t="s">
        <v>93</v>
      </c>
      <c r="E13" s="176" t="s">
        <v>94</v>
      </c>
      <c r="F13" s="176" t="s">
        <v>95</v>
      </c>
      <c r="G13" s="176" t="s">
        <v>96</v>
      </c>
      <c r="H13" s="176" t="s">
        <v>97</v>
      </c>
      <c r="I13" s="176" t="s">
        <v>98</v>
      </c>
      <c r="J13" s="176" t="s">
        <v>99</v>
      </c>
      <c r="K13" s="176" t="s">
        <v>100</v>
      </c>
      <c r="L13" s="176" t="s">
        <v>101</v>
      </c>
      <c r="M13" s="176" t="s">
        <v>102</v>
      </c>
      <c r="N13" s="176" t="s">
        <v>103</v>
      </c>
    </row>
    <row r="14" spans="2:14" x14ac:dyDescent="0.2">
      <c r="B14" s="176" t="s">
        <v>317</v>
      </c>
      <c r="C14" s="107">
        <v>0.3727205315805654</v>
      </c>
      <c r="D14" s="107">
        <v>0.3741040230830005</v>
      </c>
      <c r="E14" s="107">
        <v>0.37548362169314148</v>
      </c>
      <c r="F14" s="107">
        <v>0.37685544547258182</v>
      </c>
      <c r="G14" s="107">
        <v>0.37821563435986788</v>
      </c>
      <c r="H14" s="106">
        <v>0.3795603610320068</v>
      </c>
      <c r="I14" s="106">
        <v>0.38088584167385359</v>
      </c>
      <c r="J14" s="106">
        <v>0.38218834662507611</v>
      </c>
      <c r="K14" s="106">
        <v>0.38346421087473742</v>
      </c>
      <c r="L14" s="106">
        <v>0.3847098443739666</v>
      </c>
      <c r="M14" s="106">
        <v>0.3859217421377012</v>
      </c>
      <c r="N14" s="106">
        <v>0.38709649410707375</v>
      </c>
    </row>
    <row r="15" spans="2:14" x14ac:dyDescent="0.2">
      <c r="B15" s="176" t="s">
        <v>318</v>
      </c>
      <c r="C15" s="106">
        <v>1.1451353717272466</v>
      </c>
      <c r="D15" s="106">
        <v>1.1481715129830099</v>
      </c>
      <c r="E15" s="106">
        <v>1.1511991110920481</v>
      </c>
      <c r="F15" s="106">
        <v>1.1542096469464893</v>
      </c>
      <c r="G15" s="106">
        <v>1.1571946494485295</v>
      </c>
      <c r="H15" s="106">
        <v>1.1601457193465521</v>
      </c>
      <c r="I15" s="106">
        <v>1.1630545528690883</v>
      </c>
      <c r="J15" s="106">
        <v>1.1659129650901117</v>
      </c>
      <c r="K15" s="106">
        <v>1.1687129129599263</v>
      </c>
      <c r="L15" s="106">
        <v>1.1714465179368376</v>
      </c>
      <c r="M15" s="106">
        <v>1.1741060881559284</v>
      </c>
      <c r="N15" s="106">
        <v>1.1766841400725636</v>
      </c>
    </row>
    <row r="16" spans="2:14" x14ac:dyDescent="0.2">
      <c r="B16" s="107"/>
    </row>
    <row r="17" spans="2:14" x14ac:dyDescent="0.2">
      <c r="B17" s="109" t="s">
        <v>319</v>
      </c>
    </row>
    <row r="18" spans="2:14" x14ac:dyDescent="0.2">
      <c r="B18" s="105" t="s">
        <v>91</v>
      </c>
      <c r="C18" s="105" t="s">
        <v>92</v>
      </c>
      <c r="D18" s="105" t="s">
        <v>93</v>
      </c>
      <c r="E18" s="105" t="s">
        <v>94</v>
      </c>
      <c r="F18" s="105" t="s">
        <v>95</v>
      </c>
      <c r="G18" s="105" t="s">
        <v>96</v>
      </c>
      <c r="H18" s="105" t="s">
        <v>97</v>
      </c>
      <c r="I18" s="105" t="s">
        <v>98</v>
      </c>
      <c r="J18" s="105" t="s">
        <v>99</v>
      </c>
      <c r="K18" s="105" t="s">
        <v>100</v>
      </c>
      <c r="L18" s="105" t="s">
        <v>101</v>
      </c>
      <c r="M18" s="105" t="s">
        <v>102</v>
      </c>
      <c r="N18" s="105" t="s">
        <v>103</v>
      </c>
    </row>
    <row r="19" spans="2:14" x14ac:dyDescent="0.2">
      <c r="B19" s="179" t="s">
        <v>104</v>
      </c>
      <c r="C19" s="106">
        <f>C5</f>
        <v>0.61691435597386712</v>
      </c>
      <c r="D19" s="106">
        <f t="shared" ref="D19:N20" si="0">D5</f>
        <v>0.70803733140458802</v>
      </c>
      <c r="E19" s="106">
        <f t="shared" si="0"/>
        <v>0.65496121314514189</v>
      </c>
      <c r="F19" s="106">
        <f t="shared" si="0"/>
        <v>0.64557113770321639</v>
      </c>
      <c r="G19" s="106">
        <f t="shared" si="0"/>
        <v>0.59070255864291066</v>
      </c>
      <c r="H19" s="106">
        <f t="shared" si="0"/>
        <v>0.6673553941479029</v>
      </c>
      <c r="I19" s="106">
        <f t="shared" si="0"/>
        <v>0.6474329308010266</v>
      </c>
      <c r="J19" s="106">
        <f t="shared" si="0"/>
        <v>0.67442087957591124</v>
      </c>
      <c r="K19" s="106">
        <f t="shared" si="0"/>
        <v>0.54033746896806389</v>
      </c>
      <c r="L19" s="106">
        <f t="shared" si="0"/>
        <v>0.62605241420088631</v>
      </c>
      <c r="M19" s="106">
        <f t="shared" si="0"/>
        <v>0.6152862732511839</v>
      </c>
      <c r="N19" s="106">
        <f t="shared" si="0"/>
        <v>0.78488408924428232</v>
      </c>
    </row>
    <row r="20" spans="2:14" x14ac:dyDescent="0.2">
      <c r="B20" s="179" t="s">
        <v>105</v>
      </c>
      <c r="C20" s="106">
        <f>C6</f>
        <v>0.67691779107100647</v>
      </c>
      <c r="D20" s="106">
        <f t="shared" si="0"/>
        <v>0.71152909526594843</v>
      </c>
      <c r="E20" s="106">
        <f t="shared" si="0"/>
        <v>0.66019944670455233</v>
      </c>
      <c r="F20" s="106">
        <f t="shared" si="0"/>
        <v>0.72741177881354246</v>
      </c>
      <c r="G20" s="106">
        <f t="shared" si="0"/>
        <v>0.68284517686000634</v>
      </c>
      <c r="H20" s="106">
        <f t="shared" si="0"/>
        <v>0.66816658237885274</v>
      </c>
      <c r="I20" s="106">
        <f t="shared" si="0"/>
        <v>0.90590499592903173</v>
      </c>
      <c r="J20" s="106">
        <f t="shared" si="0"/>
        <v>0.6846429579893577</v>
      </c>
      <c r="K20" s="106">
        <f t="shared" si="0"/>
        <v>0.67282096677792225</v>
      </c>
      <c r="L20" s="106">
        <f t="shared" si="0"/>
        <v>0.66699670271219025</v>
      </c>
      <c r="M20" s="106">
        <f t="shared" si="0"/>
        <v>0.71984330008417652</v>
      </c>
      <c r="N20" s="106">
        <f t="shared" si="0"/>
        <v>0.62169260454334108</v>
      </c>
    </row>
    <row r="21" spans="2:14" x14ac:dyDescent="0.2">
      <c r="B21" s="179" t="s">
        <v>106</v>
      </c>
      <c r="C21" s="106">
        <f t="shared" ref="C21:N22" si="1">C7</f>
        <v>0.77660943628789381</v>
      </c>
      <c r="D21" s="106">
        <f t="shared" si="1"/>
        <v>0.79939809315540267</v>
      </c>
      <c r="E21" s="106">
        <f t="shared" si="1"/>
        <v>0.75603177527847498</v>
      </c>
      <c r="F21" s="106">
        <f t="shared" si="1"/>
        <v>0.72713430429008874</v>
      </c>
      <c r="G21" s="106">
        <f t="shared" si="1"/>
        <v>0.7033021396943504</v>
      </c>
      <c r="H21" s="106">
        <f t="shared" si="1"/>
        <v>0.71342299072838811</v>
      </c>
      <c r="I21" s="106">
        <f t="shared" si="1"/>
        <v>1.1000000000000001</v>
      </c>
      <c r="J21" s="106">
        <f t="shared" si="1"/>
        <v>0.72171357424127036</v>
      </c>
      <c r="K21" s="106">
        <f t="shared" si="1"/>
        <v>0.75679998555913497</v>
      </c>
      <c r="L21" s="106">
        <f t="shared" si="1"/>
        <v>0.68240963216943429</v>
      </c>
      <c r="M21" s="106">
        <f t="shared" si="1"/>
        <v>0.68685238139944094</v>
      </c>
      <c r="N21" s="106">
        <f t="shared" si="1"/>
        <v>0.74513241578397404</v>
      </c>
    </row>
    <row r="22" spans="2:14" x14ac:dyDescent="0.2">
      <c r="B22" s="179" t="s">
        <v>107</v>
      </c>
      <c r="C22" s="106">
        <f t="shared" si="1"/>
        <v>0.63137692480854779</v>
      </c>
      <c r="D22" s="106">
        <f t="shared" si="1"/>
        <v>0.63790543574027536</v>
      </c>
      <c r="E22" s="106">
        <f t="shared" si="1"/>
        <v>0.6323816360501866</v>
      </c>
      <c r="F22" s="106">
        <f t="shared" si="1"/>
        <v>0.72156223143215048</v>
      </c>
      <c r="G22" s="106">
        <f t="shared" si="1"/>
        <v>0.76781948875922867</v>
      </c>
      <c r="H22" s="106">
        <f t="shared" si="1"/>
        <v>0.79078179796769943</v>
      </c>
      <c r="I22" s="106">
        <f t="shared" si="1"/>
        <v>0.6595996173549088</v>
      </c>
      <c r="J22" s="106">
        <f t="shared" si="1"/>
        <v>0.61629987237577577</v>
      </c>
      <c r="K22" s="106">
        <f t="shared" si="1"/>
        <v>0.71088602386003019</v>
      </c>
      <c r="L22" s="106">
        <f t="shared" si="1"/>
        <v>1.1000000000000001</v>
      </c>
      <c r="M22" s="106">
        <f t="shared" si="1"/>
        <v>1.1000000000000001</v>
      </c>
      <c r="N22" s="106">
        <f t="shared" si="1"/>
        <v>0.61366991079314426</v>
      </c>
    </row>
    <row r="23" spans="2:14" x14ac:dyDescent="0.2">
      <c r="B23" s="179" t="s">
        <v>108</v>
      </c>
      <c r="C23" s="106">
        <f>C9*C14</f>
        <v>0.75354731066638825</v>
      </c>
      <c r="D23" s="106">
        <f t="shared" ref="D23:N24" si="2">D9*D14</f>
        <v>0.76880223893230548</v>
      </c>
      <c r="E23" s="106">
        <f t="shared" si="2"/>
        <v>0.78972204260082546</v>
      </c>
      <c r="F23" s="106">
        <f t="shared" si="2"/>
        <v>0.7662513308751292</v>
      </c>
      <c r="G23" s="106">
        <f t="shared" si="2"/>
        <v>0.78032416536552995</v>
      </c>
      <c r="H23" s="106">
        <f t="shared" si="2"/>
        <v>0.79023487901523282</v>
      </c>
      <c r="I23" s="106">
        <f t="shared" si="2"/>
        <v>0.79751769786672422</v>
      </c>
      <c r="J23" s="106">
        <f t="shared" si="2"/>
        <v>0.79194514307960429</v>
      </c>
      <c r="K23" s="106">
        <f t="shared" si="2"/>
        <v>0.78199971653349498</v>
      </c>
      <c r="L23" s="106">
        <f t="shared" si="2"/>
        <v>0.80807635652626031</v>
      </c>
      <c r="M23" s="106">
        <f t="shared" si="2"/>
        <v>0.7805753742439635</v>
      </c>
      <c r="N23" s="106">
        <f t="shared" si="2"/>
        <v>0.79660538270281733</v>
      </c>
    </row>
    <row r="24" spans="2:14" x14ac:dyDescent="0.2">
      <c r="B24" s="179" t="s">
        <v>109</v>
      </c>
      <c r="C24" s="106">
        <f>C10*C15</f>
        <v>0.77951894767714869</v>
      </c>
      <c r="D24" s="106">
        <f t="shared" si="2"/>
        <v>0.72917838032878257</v>
      </c>
      <c r="E24" s="106">
        <f t="shared" si="2"/>
        <v>0.69910324740353158</v>
      </c>
      <c r="F24" s="106">
        <f t="shared" si="2"/>
        <v>0.69668304272374515</v>
      </c>
      <c r="G24" s="106">
        <f t="shared" si="2"/>
        <v>0.71699116716504385</v>
      </c>
      <c r="H24" s="106">
        <f t="shared" si="2"/>
        <v>0.72569095839412245</v>
      </c>
      <c r="I24" s="106">
        <f t="shared" si="2"/>
        <v>0.74412020957918268</v>
      </c>
      <c r="J24" s="106">
        <f t="shared" si="2"/>
        <v>0.72234854422549033</v>
      </c>
      <c r="K24" s="106">
        <f t="shared" si="2"/>
        <v>0.76694254835716635</v>
      </c>
      <c r="L24" s="106">
        <f t="shared" si="2"/>
        <v>0.80492855169161515</v>
      </c>
      <c r="M24" s="106">
        <f t="shared" si="2"/>
        <v>0.78131154258539914</v>
      </c>
      <c r="N24" s="106">
        <f t="shared" si="2"/>
        <v>0.74857478223571483</v>
      </c>
    </row>
    <row r="25" spans="2:14" x14ac:dyDescent="0.2">
      <c r="B25" s="178"/>
    </row>
    <row r="26" spans="2:14" x14ac:dyDescent="0.2">
      <c r="B26" s="110" t="s">
        <v>320</v>
      </c>
    </row>
    <row r="27" spans="2:14" x14ac:dyDescent="0.2">
      <c r="B27" s="105" t="s">
        <v>321</v>
      </c>
      <c r="C27" s="105" t="s">
        <v>92</v>
      </c>
      <c r="D27" s="105" t="s">
        <v>93</v>
      </c>
      <c r="E27" s="105" t="s">
        <v>94</v>
      </c>
      <c r="F27" s="105" t="s">
        <v>95</v>
      </c>
      <c r="G27" s="105" t="s">
        <v>96</v>
      </c>
      <c r="H27" s="105" t="s">
        <v>97</v>
      </c>
      <c r="I27" s="105" t="s">
        <v>98</v>
      </c>
      <c r="J27" s="105" t="s">
        <v>99</v>
      </c>
      <c r="K27" s="105" t="s">
        <v>100</v>
      </c>
      <c r="L27" s="105" t="s">
        <v>101</v>
      </c>
      <c r="M27" s="105" t="s">
        <v>102</v>
      </c>
      <c r="N27" s="105" t="s">
        <v>103</v>
      </c>
    </row>
    <row r="28" spans="2:14" x14ac:dyDescent="0.2">
      <c r="B28" s="105" t="s">
        <v>104</v>
      </c>
      <c r="C28" s="106">
        <f>IF(C19&lt;=raw_materials!$D17,raw_materials!$C17,IF(C19&lt;=raw_materials!$F17,raw_materials!$E17,IF(C19&lt;=raw_materials!$H17,raw_materials!$G17,0)))</f>
        <v>1</v>
      </c>
      <c r="D28" s="106">
        <f>IF(D19&lt;=raw_materials!$D17,raw_materials!$C17,IF(D19&lt;=raw_materials!$F17,raw_materials!$E17,IF(D19&lt;=raw_materials!$H17,raw_materials!$G17,0)))</f>
        <v>1</v>
      </c>
      <c r="E28" s="106">
        <f>IF(E19&lt;=raw_materials!$D17,raw_materials!$C17,IF(E19&lt;=raw_materials!$F17,raw_materials!$E17,IF(E19&lt;=raw_materials!$H17,raw_materials!$G17,0)))</f>
        <v>1</v>
      </c>
      <c r="F28" s="106">
        <f>IF(F19&lt;=raw_materials!$D17,raw_materials!$C17,IF(F19&lt;=raw_materials!$F17,raw_materials!$E17,IF(F19&lt;=raw_materials!$H17,raw_materials!$G17,0)))</f>
        <v>1</v>
      </c>
      <c r="G28" s="106">
        <f>IF(G19&lt;=raw_materials!$D17,raw_materials!$C17,IF(G19&lt;=raw_materials!$F17,raw_materials!$E17,IF(G19&lt;=raw_materials!$H17,raw_materials!$G17,0)))</f>
        <v>1</v>
      </c>
      <c r="H28" s="106">
        <f>IF(H19&lt;=raw_materials!$D17,raw_materials!$C17,IF(H19&lt;=raw_materials!$F17,raw_materials!$E17,IF(H19&lt;=raw_materials!$H17,raw_materials!$G17,0)))</f>
        <v>1</v>
      </c>
      <c r="I28" s="106">
        <f>IF(I19&lt;=raw_materials!$D17,raw_materials!$C17,IF(I19&lt;=raw_materials!$F17,raw_materials!$E17,IF(I19&lt;=raw_materials!$H17,raw_materials!$G17,0)))</f>
        <v>1</v>
      </c>
      <c r="J28" s="106">
        <f>IF(J19&lt;=raw_materials!$D17,raw_materials!$C17,IF(J19&lt;=raw_materials!$F17,raw_materials!$E17,IF(J19&lt;=raw_materials!$H17,raw_materials!$G17,0)))</f>
        <v>1</v>
      </c>
      <c r="K28" s="106">
        <f>IF(K19&lt;=raw_materials!$D17,raw_materials!$C17,IF(K19&lt;=raw_materials!$F17,raw_materials!$E17,IF(K19&lt;=raw_materials!$H17,raw_materials!$G17,0)))</f>
        <v>1</v>
      </c>
      <c r="L28" s="106">
        <f>IF(L19&lt;=raw_materials!$D17,raw_materials!$C17,IF(L19&lt;=raw_materials!$F17,raw_materials!$E17,IF(L19&lt;=raw_materials!$H17,raw_materials!$G17,0)))</f>
        <v>1</v>
      </c>
      <c r="M28" s="106">
        <f>IF(M19&lt;=raw_materials!$D17,raw_materials!$C17,IF(M19&lt;=raw_materials!$F17,raw_materials!$E17,IF(M19&lt;=raw_materials!$H17,raw_materials!$G17,0)))</f>
        <v>1</v>
      </c>
      <c r="N28" s="106">
        <f>IF(N19&lt;=raw_materials!$D17,raw_materials!$C17,IF(N19&lt;=raw_materials!$F17,raw_materials!$E17,IF(N19&lt;=raw_materials!$H17,raw_materials!$G17,0)))</f>
        <v>1</v>
      </c>
    </row>
    <row r="29" spans="2:14" x14ac:dyDescent="0.2">
      <c r="B29" s="105" t="s">
        <v>105</v>
      </c>
      <c r="C29" s="106">
        <f>IF(C20&lt;=raw_materials!$D18,raw_materials!$C18,IF(C20&lt;=raw_materials!$F18,raw_materials!$E18,IF(C20&lt;=raw_materials!$H18,raw_materials!$G18,0)))</f>
        <v>1</v>
      </c>
      <c r="D29" s="106">
        <f>IF(D20&lt;=raw_materials!$D18,raw_materials!$C18,IF(D20&lt;=raw_materials!$F18,raw_materials!$E18,IF(D20&lt;=raw_materials!$H18,raw_materials!$G18,0)))</f>
        <v>1</v>
      </c>
      <c r="E29" s="106">
        <f>IF(E20&lt;=raw_materials!$D18,raw_materials!$C18,IF(E20&lt;=raw_materials!$F18,raw_materials!$E18,IF(E20&lt;=raw_materials!$H18,raw_materials!$G18,0)))</f>
        <v>1</v>
      </c>
      <c r="F29" s="106">
        <f>IF(F20&lt;=raw_materials!$D18,raw_materials!$C18,IF(F20&lt;=raw_materials!$F18,raw_materials!$E18,IF(F20&lt;=raw_materials!$H18,raw_materials!$G18,0)))</f>
        <v>1</v>
      </c>
      <c r="G29" s="106">
        <f>IF(G20&lt;=raw_materials!$D18,raw_materials!$C18,IF(G20&lt;=raw_materials!$F18,raw_materials!$E18,IF(G20&lt;=raw_materials!$H18,raw_materials!$G18,0)))</f>
        <v>1</v>
      </c>
      <c r="H29" s="106">
        <f>IF(H20&lt;=raw_materials!$D18,raw_materials!$C18,IF(H20&lt;=raw_materials!$F18,raw_materials!$E18,IF(H20&lt;=raw_materials!$H18,raw_materials!$G18,0)))</f>
        <v>1</v>
      </c>
      <c r="I29" s="106">
        <f>IF(I20&lt;=raw_materials!$D18,raw_materials!$C18,IF(I20&lt;=raw_materials!$F18,raw_materials!$E18,IF(I20&lt;=raw_materials!$H18,raw_materials!$G18,0)))</f>
        <v>1</v>
      </c>
      <c r="J29" s="106">
        <f>IF(J20&lt;=raw_materials!$D18,raw_materials!$C18,IF(J20&lt;=raw_materials!$F18,raw_materials!$E18,IF(J20&lt;=raw_materials!$H18,raw_materials!$G18,0)))</f>
        <v>1</v>
      </c>
      <c r="K29" s="106">
        <f>IF(K20&lt;=raw_materials!$D18,raw_materials!$C18,IF(K20&lt;=raw_materials!$F18,raw_materials!$E18,IF(K20&lt;=raw_materials!$H18,raw_materials!$G18,0)))</f>
        <v>1</v>
      </c>
      <c r="L29" s="106">
        <f>IF(L20&lt;=raw_materials!$D18,raw_materials!$C18,IF(L20&lt;=raw_materials!$F18,raw_materials!$E18,IF(L20&lt;=raw_materials!$H18,raw_materials!$G18,0)))</f>
        <v>1</v>
      </c>
      <c r="M29" s="106">
        <f>IF(M20&lt;=raw_materials!$D18,raw_materials!$C18,IF(M20&lt;=raw_materials!$F18,raw_materials!$E18,IF(M20&lt;=raw_materials!$H18,raw_materials!$G18,0)))</f>
        <v>1</v>
      </c>
      <c r="N29" s="106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05" t="s">
        <v>106</v>
      </c>
      <c r="C30" s="106">
        <f>IF(C21&lt;=raw_materials!$D19,raw_materials!$C19,IF(C21&lt;=raw_materials!$F19,raw_materials!$E19,IF(C21&lt;=raw_materials!$H19,raw_materials!$G19,0)))</f>
        <v>1</v>
      </c>
      <c r="D30" s="106">
        <f>IF(D21&lt;=raw_materials!$D19,raw_materials!$C19,IF(D21&lt;=raw_materials!$F19,raw_materials!$E19,IF(D21&lt;=raw_materials!$H19,raw_materials!$G19,0)))</f>
        <v>1</v>
      </c>
      <c r="E30" s="106">
        <f>IF(E21&lt;=raw_materials!$D19,raw_materials!$C19,IF(E21&lt;=raw_materials!$F19,raw_materials!$E19,IF(E21&lt;=raw_materials!$H19,raw_materials!$G19,0)))</f>
        <v>1</v>
      </c>
      <c r="F30" s="106">
        <f>IF(F21&lt;=raw_materials!$D19,raw_materials!$C19,IF(F21&lt;=raw_materials!$F19,raw_materials!$E19,IF(F21&lt;=raw_materials!$H19,raw_materials!$G19,0)))</f>
        <v>1</v>
      </c>
      <c r="G30" s="106">
        <f>IF(G21&lt;=raw_materials!$D19,raw_materials!$C19,IF(G21&lt;=raw_materials!$F19,raw_materials!$E19,IF(G21&lt;=raw_materials!$H19,raw_materials!$G19,0)))</f>
        <v>1</v>
      </c>
      <c r="H30" s="106">
        <f>IF(H21&lt;=raw_materials!$D19,raw_materials!$C19,IF(H21&lt;=raw_materials!$F19,raw_materials!$E19,IF(H21&lt;=raw_materials!$H19,raw_materials!$G19,0)))</f>
        <v>1</v>
      </c>
      <c r="I30" s="106">
        <f>IF(I21&lt;=raw_materials!$D19,raw_materials!$C19,IF(I21&lt;=raw_materials!$F19,raw_materials!$E19,IF(I21&lt;=raw_materials!$H19,raw_materials!$G19,0)))</f>
        <v>1</v>
      </c>
      <c r="J30" s="106">
        <f>IF(J21&lt;=raw_materials!$D19,raw_materials!$C19,IF(J21&lt;=raw_materials!$F19,raw_materials!$E19,IF(J21&lt;=raw_materials!$H19,raw_materials!$G19,0)))</f>
        <v>1</v>
      </c>
      <c r="K30" s="106">
        <f>IF(K21&lt;=raw_materials!$D19,raw_materials!$C19,IF(K21&lt;=raw_materials!$F19,raw_materials!$E19,IF(K21&lt;=raw_materials!$H19,raw_materials!$G19,0)))</f>
        <v>1</v>
      </c>
      <c r="L30" s="106">
        <f>IF(L21&lt;=raw_materials!$D19,raw_materials!$C19,IF(L21&lt;=raw_materials!$F19,raw_materials!$E19,IF(L21&lt;=raw_materials!$H19,raw_materials!$G19,0)))</f>
        <v>1</v>
      </c>
      <c r="M30" s="106">
        <f>IF(M21&lt;=raw_materials!$D19,raw_materials!$C19,IF(M21&lt;=raw_materials!$F19,raw_materials!$E19,IF(M21&lt;=raw_materials!$H19,raw_materials!$G19,0)))</f>
        <v>1</v>
      </c>
      <c r="N30" s="106">
        <f>IF(N21&lt;=raw_materials!$D19,raw_materials!$C19,IF(N21&lt;=raw_materials!$F19,raw_materials!$E19,IF(N21&lt;=raw_materials!$H19,raw_materials!$G19,0)))</f>
        <v>1</v>
      </c>
    </row>
    <row r="31" spans="2:14" x14ac:dyDescent="0.2">
      <c r="B31" s="105" t="s">
        <v>107</v>
      </c>
      <c r="C31" s="106">
        <f>IF(C22&lt;=raw_materials!$D20,raw_materials!$C20,IF(C22&lt;=raw_materials!$F20,raw_materials!$E20,IF(C22&lt;=raw_materials!$H20,raw_materials!$G20,0)))</f>
        <v>1</v>
      </c>
      <c r="D31" s="106">
        <f>IF(D22&lt;=raw_materials!$D20,raw_materials!$C20,IF(D22&lt;=raw_materials!$F20,raw_materials!$E20,IF(D22&lt;=raw_materials!$H20,raw_materials!$G20,0)))</f>
        <v>1</v>
      </c>
      <c r="E31" s="106">
        <f>IF(E22&lt;=raw_materials!$D20,raw_materials!$C20,IF(E22&lt;=raw_materials!$F20,raw_materials!$E20,IF(E22&lt;=raw_materials!$H20,raw_materials!$G20,0)))</f>
        <v>1</v>
      </c>
      <c r="F31" s="106">
        <f>IF(F22&lt;=raw_materials!$D20,raw_materials!$C20,IF(F22&lt;=raw_materials!$F20,raw_materials!$E20,IF(F22&lt;=raw_materials!$H20,raw_materials!$G20,0)))</f>
        <v>1</v>
      </c>
      <c r="G31" s="106">
        <f>IF(G22&lt;=raw_materials!$D20,raw_materials!$C20,IF(G22&lt;=raw_materials!$F20,raw_materials!$E20,IF(G22&lt;=raw_materials!$H20,raw_materials!$G20,0)))</f>
        <v>1</v>
      </c>
      <c r="H31" s="106">
        <f>IF(H22&lt;=raw_materials!$D20,raw_materials!$C20,IF(H22&lt;=raw_materials!$F20,raw_materials!$E20,IF(H22&lt;=raw_materials!$H20,raw_materials!$G20,0)))</f>
        <v>1</v>
      </c>
      <c r="I31" s="106">
        <f>IF(I22&lt;=raw_materials!$D20,raw_materials!$C20,IF(I22&lt;=raw_materials!$F20,raw_materials!$E20,IF(I22&lt;=raw_materials!$H20,raw_materials!$G20,0)))</f>
        <v>1</v>
      </c>
      <c r="J31" s="106">
        <f>IF(J22&lt;=raw_materials!$D20,raw_materials!$C20,IF(J22&lt;=raw_materials!$F20,raw_materials!$E20,IF(J22&lt;=raw_materials!$H20,raw_materials!$G20,0)))</f>
        <v>1</v>
      </c>
      <c r="K31" s="106">
        <f>IF(K22&lt;=raw_materials!$D20,raw_materials!$C20,IF(K22&lt;=raw_materials!$F20,raw_materials!$E20,IF(K22&lt;=raw_materials!$H20,raw_materials!$G20,0)))</f>
        <v>1</v>
      </c>
      <c r="L31" s="106">
        <f>IF(L22&lt;=raw_materials!$D20,raw_materials!$C20,IF(L22&lt;=raw_materials!$F20,raw_materials!$E20,IF(L22&lt;=raw_materials!$H20,raw_materials!$G20,0)))</f>
        <v>1</v>
      </c>
      <c r="M31" s="106">
        <f>IF(M22&lt;=raw_materials!$D20,raw_materials!$C20,IF(M22&lt;=raw_materials!$F20,raw_materials!$E20,IF(M22&lt;=raw_materials!$H20,raw_materials!$G20,0)))</f>
        <v>1</v>
      </c>
      <c r="N31" s="106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05" t="s">
        <v>108</v>
      </c>
      <c r="C32" s="106">
        <f>IF(C23&lt;=raw_materials!$D21,raw_materials!$C21,IF(C23&lt;=raw_materials!$F21,raw_materials!$E21,IF(C23&lt;=raw_materials!$H21,raw_materials!$G21,0)))</f>
        <v>1</v>
      </c>
      <c r="D32" s="106">
        <f>IF(D23&lt;=raw_materials!$D21,raw_materials!$C21,IF(D23&lt;=raw_materials!$F21,raw_materials!$E21,IF(D23&lt;=raw_materials!$H21,raw_materials!$G21,0)))</f>
        <v>1</v>
      </c>
      <c r="E32" s="106">
        <f>IF(E23&lt;=raw_materials!$D21,raw_materials!$C21,IF(E23&lt;=raw_materials!$F21,raw_materials!$E21,IF(E23&lt;=raw_materials!$H21,raw_materials!$G21,0)))</f>
        <v>1</v>
      </c>
      <c r="F32" s="106">
        <f>IF(F23&lt;=raw_materials!$D21,raw_materials!$C21,IF(F23&lt;=raw_materials!$F21,raw_materials!$E21,IF(F23&lt;=raw_materials!$H21,raw_materials!$G21,0)))</f>
        <v>1</v>
      </c>
      <c r="G32" s="106">
        <f>IF(G23&lt;=raw_materials!$D21,raw_materials!$C21,IF(G23&lt;=raw_materials!$F21,raw_materials!$E21,IF(G23&lt;=raw_materials!$H21,raw_materials!$G21,0)))</f>
        <v>1</v>
      </c>
      <c r="H32" s="106">
        <f>IF(H23&lt;=raw_materials!$D21,raw_materials!$C21,IF(H23&lt;=raw_materials!$F21,raw_materials!$E21,IF(H23&lt;=raw_materials!$H21,raw_materials!$G21,0)))</f>
        <v>1</v>
      </c>
      <c r="I32" s="106">
        <f>IF(I23&lt;=raw_materials!$D21,raw_materials!$C21,IF(I23&lt;=raw_materials!$F21,raw_materials!$E21,IF(I23&lt;=raw_materials!$H21,raw_materials!$G21,0)))</f>
        <v>1</v>
      </c>
      <c r="J32" s="106">
        <f>IF(J23&lt;=raw_materials!$D21,raw_materials!$C21,IF(J23&lt;=raw_materials!$F21,raw_materials!$E21,IF(J23&lt;=raw_materials!$H21,raw_materials!$G21,0)))</f>
        <v>1</v>
      </c>
      <c r="K32" s="106">
        <f>IF(K23&lt;=raw_materials!$D21,raw_materials!$C21,IF(K23&lt;=raw_materials!$F21,raw_materials!$E21,IF(K23&lt;=raw_materials!$H21,raw_materials!$G21,0)))</f>
        <v>1</v>
      </c>
      <c r="L32" s="106">
        <f>IF(L23&lt;=raw_materials!$D21,raw_materials!$C21,IF(L23&lt;=raw_materials!$F21,raw_materials!$E21,IF(L23&lt;=raw_materials!$H21,raw_materials!$G21,0)))</f>
        <v>1</v>
      </c>
      <c r="M32" s="106">
        <f>IF(M23&lt;=raw_materials!$D21,raw_materials!$C21,IF(M23&lt;=raw_materials!$F21,raw_materials!$E21,IF(M23&lt;=raw_materials!$H21,raw_materials!$G21,0)))</f>
        <v>1</v>
      </c>
      <c r="N32" s="106">
        <f>IF(N23&lt;=raw_materials!$D21,raw_materials!$C21,IF(N23&lt;=raw_materials!$F21,raw_materials!$E21,IF(N23&lt;=raw_materials!$H21,raw_materials!$G21,0)))</f>
        <v>1</v>
      </c>
    </row>
    <row r="33" spans="2:50" x14ac:dyDescent="0.2">
      <c r="B33" s="105" t="s">
        <v>109</v>
      </c>
      <c r="C33" s="106">
        <f>IF(C24&lt;=raw_materials!$D22,raw_materials!$C22,IF(C24&lt;=raw_materials!$F22,raw_materials!$E22,IF(C24&lt;=raw_materials!$H22,raw_materials!$G22,0)))</f>
        <v>1</v>
      </c>
      <c r="D33" s="106">
        <f>IF(D24&lt;=raw_materials!$D22,raw_materials!$C22,IF(D24&lt;=raw_materials!$F22,raw_materials!$E22,IF(D24&lt;=raw_materials!$H22,raw_materials!$G22,0)))</f>
        <v>1</v>
      </c>
      <c r="E33" s="106">
        <f>IF(E24&lt;=raw_materials!$D22,raw_materials!$C22,IF(E24&lt;=raw_materials!$F22,raw_materials!$E22,IF(E24&lt;=raw_materials!$H22,raw_materials!$G22,0)))</f>
        <v>1</v>
      </c>
      <c r="F33" s="106">
        <f>IF(F24&lt;=raw_materials!$D22,raw_materials!$C22,IF(F24&lt;=raw_materials!$F22,raw_materials!$E22,IF(F24&lt;=raw_materials!$H22,raw_materials!$G22,0)))</f>
        <v>1</v>
      </c>
      <c r="G33" s="106">
        <f>IF(G24&lt;=raw_materials!$D22,raw_materials!$C22,IF(G24&lt;=raw_materials!$F22,raw_materials!$E22,IF(G24&lt;=raw_materials!$H22,raw_materials!$G22,0)))</f>
        <v>1</v>
      </c>
      <c r="H33" s="106">
        <f>IF(H24&lt;=raw_materials!$D22,raw_materials!$C22,IF(H24&lt;=raw_materials!$F22,raw_materials!$E22,IF(H24&lt;=raw_materials!$H22,raw_materials!$G22,0)))</f>
        <v>1</v>
      </c>
      <c r="I33" s="106">
        <f>IF(I24&lt;=raw_materials!$D22,raw_materials!$C22,IF(I24&lt;=raw_materials!$F22,raw_materials!$E22,IF(I24&lt;=raw_materials!$H22,raw_materials!$G22,0)))</f>
        <v>1</v>
      </c>
      <c r="J33" s="106">
        <f>IF(J24&lt;=raw_materials!$D22,raw_materials!$C22,IF(J24&lt;=raw_materials!$F22,raw_materials!$E22,IF(J24&lt;=raw_materials!$H22,raw_materials!$G22,0)))</f>
        <v>1</v>
      </c>
      <c r="K33" s="106">
        <f>IF(K24&lt;=raw_materials!$D22,raw_materials!$C22,IF(K24&lt;=raw_materials!$F22,raw_materials!$E22,IF(K24&lt;=raw_materials!$H22,raw_materials!$G22,0)))</f>
        <v>1</v>
      </c>
      <c r="L33" s="106">
        <f>IF(L24&lt;=raw_materials!$D22,raw_materials!$C22,IF(L24&lt;=raw_materials!$F22,raw_materials!$E22,IF(L24&lt;=raw_materials!$H22,raw_materials!$G22,0)))</f>
        <v>1</v>
      </c>
      <c r="M33" s="106">
        <f>IF(M24&lt;=raw_materials!$D22,raw_materials!$C22,IF(M24&lt;=raw_materials!$F22,raw_materials!$E22,IF(M24&lt;=raw_materials!$H22,raw_materials!$G22,0)))</f>
        <v>1</v>
      </c>
      <c r="N33" s="106">
        <f>IF(N24&lt;=raw_materials!$D22,raw_materials!$C22,IF(N24&lt;=raw_materials!$F22,raw_materials!$E22,IF(N24&lt;=raw_materials!$H22,raw_materials!$G22,0)))</f>
        <v>1</v>
      </c>
    </row>
    <row r="35" spans="2:50" x14ac:dyDescent="0.2">
      <c r="B35" s="109" t="s">
        <v>322</v>
      </c>
    </row>
    <row r="36" spans="2:50" x14ac:dyDescent="0.2">
      <c r="B36" s="176" t="s">
        <v>274</v>
      </c>
      <c r="C36" s="176" t="s">
        <v>92</v>
      </c>
      <c r="D36" s="107"/>
      <c r="E36" s="107"/>
      <c r="F36" s="107"/>
      <c r="G36" s="176" t="s">
        <v>93</v>
      </c>
      <c r="H36" s="107"/>
      <c r="I36" s="107"/>
      <c r="J36" s="107"/>
      <c r="K36" s="176" t="s">
        <v>94</v>
      </c>
      <c r="L36" s="107"/>
      <c r="M36" s="107"/>
      <c r="N36" s="107"/>
      <c r="O36" s="176" t="s">
        <v>95</v>
      </c>
      <c r="P36" s="107"/>
      <c r="Q36" s="107"/>
      <c r="R36" s="107"/>
      <c r="S36" s="176" t="s">
        <v>96</v>
      </c>
      <c r="T36" s="107"/>
      <c r="U36" s="107"/>
      <c r="V36" s="107"/>
      <c r="W36" s="176" t="s">
        <v>97</v>
      </c>
      <c r="X36" s="107"/>
      <c r="Y36" s="107"/>
      <c r="Z36" s="107"/>
      <c r="AA36" s="176" t="s">
        <v>98</v>
      </c>
      <c r="AB36" s="107"/>
      <c r="AC36" s="107"/>
      <c r="AD36" s="107"/>
      <c r="AE36" s="176" t="s">
        <v>99</v>
      </c>
      <c r="AF36" s="107"/>
      <c r="AG36" s="107"/>
      <c r="AH36" s="107"/>
      <c r="AI36" s="176" t="s">
        <v>100</v>
      </c>
      <c r="AJ36" s="107"/>
      <c r="AK36" s="107"/>
      <c r="AL36" s="107"/>
      <c r="AM36" s="176" t="s">
        <v>101</v>
      </c>
      <c r="AN36" s="107"/>
      <c r="AO36" s="107"/>
      <c r="AP36" s="107"/>
      <c r="AQ36" s="176" t="s">
        <v>102</v>
      </c>
      <c r="AR36" s="107"/>
      <c r="AS36" s="107"/>
      <c r="AT36" s="107"/>
      <c r="AU36" s="176" t="s">
        <v>103</v>
      </c>
      <c r="AV36" s="107"/>
      <c r="AW36" s="107"/>
      <c r="AX36" s="107"/>
    </row>
    <row r="37" spans="2:50" x14ac:dyDescent="0.2">
      <c r="B37" s="176" t="s">
        <v>323</v>
      </c>
      <c r="C37" s="176">
        <v>1</v>
      </c>
      <c r="D37" s="176">
        <v>2</v>
      </c>
      <c r="E37" s="176">
        <v>3</v>
      </c>
      <c r="F37" s="176">
        <v>4</v>
      </c>
      <c r="G37" s="176">
        <v>1</v>
      </c>
      <c r="H37" s="176">
        <v>2</v>
      </c>
      <c r="I37" s="176">
        <v>3</v>
      </c>
      <c r="J37" s="176">
        <v>4</v>
      </c>
      <c r="K37" s="176">
        <v>1</v>
      </c>
      <c r="L37" s="176">
        <v>2</v>
      </c>
      <c r="M37" s="176">
        <v>3</v>
      </c>
      <c r="N37" s="176">
        <v>4</v>
      </c>
      <c r="O37" s="176">
        <v>1</v>
      </c>
      <c r="P37" s="176">
        <v>2</v>
      </c>
      <c r="Q37" s="176">
        <v>3</v>
      </c>
      <c r="R37" s="176">
        <v>4</v>
      </c>
      <c r="S37" s="176">
        <v>1</v>
      </c>
      <c r="T37" s="176">
        <v>2</v>
      </c>
      <c r="U37" s="176">
        <v>3</v>
      </c>
      <c r="V37" s="176">
        <v>4</v>
      </c>
      <c r="W37" s="176">
        <v>1</v>
      </c>
      <c r="X37" s="176">
        <v>2</v>
      </c>
      <c r="Y37" s="176">
        <v>3</v>
      </c>
      <c r="Z37" s="176">
        <v>4</v>
      </c>
      <c r="AA37" s="176">
        <v>1</v>
      </c>
      <c r="AB37" s="176">
        <v>2</v>
      </c>
      <c r="AC37" s="176">
        <v>3</v>
      </c>
      <c r="AD37" s="176">
        <v>4</v>
      </c>
      <c r="AE37" s="176">
        <v>1</v>
      </c>
      <c r="AF37" s="176">
        <v>2</v>
      </c>
      <c r="AG37" s="176">
        <v>3</v>
      </c>
      <c r="AH37" s="176">
        <v>4</v>
      </c>
      <c r="AI37" s="176">
        <v>1</v>
      </c>
      <c r="AJ37" s="176">
        <v>2</v>
      </c>
      <c r="AK37" s="176">
        <v>3</v>
      </c>
      <c r="AL37" s="176">
        <v>4</v>
      </c>
      <c r="AM37" s="176">
        <v>1</v>
      </c>
      <c r="AN37" s="176">
        <v>2</v>
      </c>
      <c r="AO37" s="176">
        <v>3</v>
      </c>
      <c r="AP37" s="176">
        <v>4</v>
      </c>
      <c r="AQ37" s="176">
        <v>1</v>
      </c>
      <c r="AR37" s="176">
        <v>2</v>
      </c>
      <c r="AS37" s="176">
        <v>3</v>
      </c>
      <c r="AT37" s="176">
        <v>4</v>
      </c>
      <c r="AU37" s="176">
        <v>1</v>
      </c>
      <c r="AV37" s="176">
        <v>2</v>
      </c>
      <c r="AW37" s="176">
        <v>3</v>
      </c>
      <c r="AX37" s="176">
        <v>4</v>
      </c>
    </row>
    <row r="38" spans="2:50" x14ac:dyDescent="0.2">
      <c r="B38" s="176" t="s">
        <v>104</v>
      </c>
      <c r="C38" s="106">
        <v>25054.902514011505</v>
      </c>
      <c r="D38" s="106">
        <v>25109.81675262624</v>
      </c>
      <c r="E38" s="106">
        <v>25164.733912812586</v>
      </c>
      <c r="F38" s="106">
        <v>25219.64518704552</v>
      </c>
      <c r="G38" s="106">
        <v>25274.541764850626</v>
      </c>
      <c r="H38" s="106">
        <v>25329.41483434946</v>
      </c>
      <c r="I38" s="106">
        <v>17768.978908664292</v>
      </c>
      <c r="J38" s="106">
        <v>17807.338642222287</v>
      </c>
      <c r="K38" s="106">
        <v>25493.804885647136</v>
      </c>
      <c r="L38" s="106">
        <v>25548.495829201689</v>
      </c>
      <c r="M38" s="106">
        <v>17922.183466705839</v>
      </c>
      <c r="N38" s="106">
        <v>25657.666324691218</v>
      </c>
      <c r="O38" s="106">
        <v>25712.128310447646</v>
      </c>
      <c r="P38" s="106">
        <v>25766.496428023554</v>
      </c>
      <c r="Q38" s="106">
        <v>25820.761922544945</v>
      </c>
      <c r="R38" s="106">
        <v>25874.916053205223</v>
      </c>
      <c r="S38" s="106">
        <v>25928.950094808049</v>
      </c>
      <c r="T38" s="106">
        <v>25982.855339308269</v>
      </c>
      <c r="U38" s="106">
        <v>26036.623097350748</v>
      </c>
      <c r="V38" s="106">
        <v>26090.24469980675</v>
      </c>
      <c r="W38" s="106">
        <v>26143.711499307632</v>
      </c>
      <c r="X38" s="106">
        <v>26197.014871775551</v>
      </c>
      <c r="Y38" s="106">
        <v>26250.146217950878</v>
      </c>
      <c r="Z38" s="106">
        <v>26303.096964916222</v>
      </c>
      <c r="AA38" s="106">
        <v>26355.858567616488</v>
      </c>
      <c r="AB38" s="106">
        <v>26408.422510375025</v>
      </c>
      <c r="AC38" s="106">
        <v>26460.780308405316</v>
      </c>
      <c r="AD38" s="106">
        <v>26512.923509318131</v>
      </c>
      <c r="AE38" s="106">
        <v>26564.8436946238</v>
      </c>
      <c r="AF38" s="106">
        <v>26616.532481229282</v>
      </c>
      <c r="AG38" s="106">
        <v>26667.981522929855</v>
      </c>
      <c r="AH38" s="106">
        <v>26719.182511895149</v>
      </c>
      <c r="AI38" s="106">
        <v>26770.127180149142</v>
      </c>
      <c r="AJ38" s="106">
        <v>26820.807301044035</v>
      </c>
      <c r="AK38" s="106">
        <v>26871.21469072756</v>
      </c>
      <c r="AL38" s="106">
        <v>26921.341209603564</v>
      </c>
      <c r="AM38" s="106">
        <v>18879.825134649927</v>
      </c>
      <c r="AN38" s="106">
        <v>27020.719306543244</v>
      </c>
      <c r="AO38" s="106">
        <v>27069.954839740756</v>
      </c>
      <c r="AP38" s="106">
        <v>27118.877415268147</v>
      </c>
      <c r="AQ38" s="106">
        <v>27167.47913646403</v>
      </c>
      <c r="AR38" s="106">
        <v>19051.02651167112</v>
      </c>
      <c r="AS38" s="106">
        <v>27263.688694937566</v>
      </c>
      <c r="AT38" s="106">
        <v>27311.281008823513</v>
      </c>
      <c r="AU38" s="106">
        <v>27358.521424379818</v>
      </c>
      <c r="AV38" s="106">
        <v>27405.40232323145</v>
      </c>
      <c r="AW38" s="106">
        <v>19216.341302764056</v>
      </c>
      <c r="AX38" s="106">
        <v>12362.553833286331</v>
      </c>
    </row>
    <row r="39" spans="2:50" x14ac:dyDescent="0.2">
      <c r="B39" s="176" t="s">
        <v>105</v>
      </c>
      <c r="C39" s="106">
        <v>15032.941508406904</v>
      </c>
      <c r="D39" s="106">
        <v>15065.890051575743</v>
      </c>
      <c r="E39" s="106">
        <v>15098.84034768755</v>
      </c>
      <c r="F39" s="106">
        <v>15131.787112227312</v>
      </c>
      <c r="G39" s="106">
        <v>15164.725058910377</v>
      </c>
      <c r="H39" s="106">
        <v>15197.648900609674</v>
      </c>
      <c r="I39" s="106">
        <v>15230.553350283679</v>
      </c>
      <c r="J39" s="106">
        <v>15263.433121904818</v>
      </c>
      <c r="K39" s="106">
        <v>15296.282931388283</v>
      </c>
      <c r="L39" s="106">
        <v>15329.097497521014</v>
      </c>
      <c r="M39" s="106">
        <v>15361.87154289072</v>
      </c>
      <c r="N39" s="106">
        <v>15394.599794814729</v>
      </c>
      <c r="O39" s="106">
        <v>15427.276986268587</v>
      </c>
      <c r="P39" s="106">
        <v>15459.897856814132</v>
      </c>
      <c r="Q39" s="106">
        <v>15492.457153526968</v>
      </c>
      <c r="R39" s="106">
        <v>15524.949631923135</v>
      </c>
      <c r="S39" s="106">
        <v>15557.370056884829</v>
      </c>
      <c r="T39" s="106">
        <v>15589.713203584963</v>
      </c>
      <c r="U39" s="106">
        <v>15621.973858410449</v>
      </c>
      <c r="V39" s="106">
        <v>15654.14681988405</v>
      </c>
      <c r="W39" s="106">
        <v>15686.226899584581</v>
      </c>
      <c r="X39" s="106">
        <v>15718.208923065331</v>
      </c>
      <c r="Y39" s="106">
        <v>15750.087730770527</v>
      </c>
      <c r="Z39" s="106">
        <v>15781.858178949733</v>
      </c>
      <c r="AA39" s="106">
        <v>11069.460598398924</v>
      </c>
      <c r="AB39" s="106">
        <v>6338.021402490006</v>
      </c>
      <c r="AC39" s="106">
        <v>6350.5872740172754</v>
      </c>
      <c r="AD39" s="106">
        <v>15907.754105590879</v>
      </c>
      <c r="AE39" s="106">
        <v>15938.90621677428</v>
      </c>
      <c r="AF39" s="106">
        <v>15969.919488737569</v>
      </c>
      <c r="AG39" s="106">
        <v>16000.788913757913</v>
      </c>
      <c r="AH39" s="106">
        <v>16031.509507137089</v>
      </c>
      <c r="AI39" s="106">
        <v>16062.076308089485</v>
      </c>
      <c r="AJ39" s="106">
        <v>16092.48438062642</v>
      </c>
      <c r="AK39" s="106">
        <v>16122.728814436536</v>
      </c>
      <c r="AL39" s="106">
        <v>16152.80472576214</v>
      </c>
      <c r="AM39" s="106">
        <v>16182.707258271368</v>
      </c>
      <c r="AN39" s="106">
        <v>16212.431583925947</v>
      </c>
      <c r="AO39" s="106">
        <v>16241.972903844453</v>
      </c>
      <c r="AP39" s="106">
        <v>16271.326449160888</v>
      </c>
      <c r="AQ39" s="106">
        <v>16300.487481878417</v>
      </c>
      <c r="AR39" s="106">
        <v>16329.451295718105</v>
      </c>
      <c r="AS39" s="106">
        <v>11450.749251873776</v>
      </c>
      <c r="AT39" s="106">
        <v>11470.738023705875</v>
      </c>
      <c r="AU39" s="106">
        <v>16415.112854627889</v>
      </c>
      <c r="AV39" s="106">
        <v>16443.241393938872</v>
      </c>
      <c r="AW39" s="106">
        <v>16471.149688083475</v>
      </c>
      <c r="AX39" s="106">
        <v>16498.833238615145</v>
      </c>
    </row>
    <row r="40" spans="2:50" x14ac:dyDescent="0.2">
      <c r="B40" s="176" t="s">
        <v>106</v>
      </c>
      <c r="C40" s="106">
        <v>5010.9805028023011</v>
      </c>
      <c r="D40" s="106">
        <v>5021.9633505252477</v>
      </c>
      <c r="E40" s="106">
        <v>5032.946782562517</v>
      </c>
      <c r="F40" s="106">
        <v>5043.9290374091042</v>
      </c>
      <c r="G40" s="106">
        <v>2021.9633411880502</v>
      </c>
      <c r="H40" s="106">
        <v>5065.8829668698918</v>
      </c>
      <c r="I40" s="106">
        <v>5076.851116761226</v>
      </c>
      <c r="J40" s="106">
        <v>5087.8110406349388</v>
      </c>
      <c r="K40" s="106">
        <v>5098.7609771294274</v>
      </c>
      <c r="L40" s="106">
        <v>5109.6991658403376</v>
      </c>
      <c r="M40" s="106">
        <v>5120.6238476302397</v>
      </c>
      <c r="N40" s="106">
        <v>5131.5332649382435</v>
      </c>
      <c r="O40" s="106">
        <v>5142.4256620895294</v>
      </c>
      <c r="P40" s="106">
        <v>5153.2992856047113</v>
      </c>
      <c r="Q40" s="106">
        <v>5164.1523845089887</v>
      </c>
      <c r="R40" s="106">
        <v>5174.9832106410449</v>
      </c>
      <c r="S40" s="106">
        <v>5185.7900189616103</v>
      </c>
      <c r="T40" s="106">
        <v>5196.5710678616542</v>
      </c>
      <c r="U40" s="106">
        <v>5207.3246194701496</v>
      </c>
      <c r="V40" s="106">
        <v>5218.0489399613498</v>
      </c>
      <c r="W40" s="106">
        <v>5228.7422998615266</v>
      </c>
      <c r="X40" s="106">
        <v>5239.40297435511</v>
      </c>
      <c r="Y40" s="106">
        <v>5250.0292435901756</v>
      </c>
      <c r="Z40" s="106">
        <v>5260.6193929832443</v>
      </c>
      <c r="AA40" s="106">
        <v>5271.1717135232975</v>
      </c>
      <c r="AB40" s="106">
        <v>528.16845020750054</v>
      </c>
      <c r="AC40" s="106">
        <v>529.21560616810632</v>
      </c>
      <c r="AD40" s="106">
        <v>530.25847018636262</v>
      </c>
      <c r="AE40" s="106">
        <v>5312.9687389247601</v>
      </c>
      <c r="AF40" s="106">
        <v>5323.3064962458566</v>
      </c>
      <c r="AG40" s="106">
        <v>5333.5963045859717</v>
      </c>
      <c r="AH40" s="106">
        <v>5343.8365023790293</v>
      </c>
      <c r="AI40" s="106">
        <v>5354.0254360298286</v>
      </c>
      <c r="AJ40" s="106">
        <v>5364.1614602088066</v>
      </c>
      <c r="AK40" s="106">
        <v>5374.2429381455113</v>
      </c>
      <c r="AL40" s="106">
        <v>5384.2682419207131</v>
      </c>
      <c r="AM40" s="106">
        <v>5394.2357527571221</v>
      </c>
      <c r="AN40" s="106">
        <v>5404.1438613086484</v>
      </c>
      <c r="AO40" s="106">
        <v>5413.9909679481507</v>
      </c>
      <c r="AP40" s="106">
        <v>5423.7754830536296</v>
      </c>
      <c r="AQ40" s="106">
        <v>5433.4958272928061</v>
      </c>
      <c r="AR40" s="106">
        <v>5443.150431906035</v>
      </c>
      <c r="AS40" s="106">
        <v>5452.7377389875128</v>
      </c>
      <c r="AT40" s="106">
        <v>5462.2562017647024</v>
      </c>
      <c r="AU40" s="106">
        <v>5471.7042848759638</v>
      </c>
      <c r="AV40" s="106">
        <v>5481.0804646462902</v>
      </c>
      <c r="AW40" s="106">
        <v>5490.3832293611586</v>
      </c>
      <c r="AX40" s="106">
        <v>5499.611079538382</v>
      </c>
    </row>
    <row r="41" spans="2:50" x14ac:dyDescent="0.2">
      <c r="B41" s="176" t="s">
        <v>107</v>
      </c>
      <c r="C41" s="106">
        <v>3006.5883016813805</v>
      </c>
      <c r="D41" s="106">
        <v>3013.1780103151486</v>
      </c>
      <c r="E41" s="106">
        <v>3019.7680695375102</v>
      </c>
      <c r="F41" s="106">
        <v>3026.3574224454624</v>
      </c>
      <c r="G41" s="106">
        <v>3032.9450117820752</v>
      </c>
      <c r="H41" s="106">
        <v>3039.5297801219349</v>
      </c>
      <c r="I41" s="106">
        <v>3046.1106700567357</v>
      </c>
      <c r="J41" s="106">
        <v>3052.6866243809636</v>
      </c>
      <c r="K41" s="106">
        <v>3059.2565862776564</v>
      </c>
      <c r="L41" s="106">
        <v>3065.8194995042027</v>
      </c>
      <c r="M41" s="106">
        <v>3072.3743085781439</v>
      </c>
      <c r="N41" s="106">
        <v>3078.9199589629461</v>
      </c>
      <c r="O41" s="106">
        <v>3085.4553972537178</v>
      </c>
      <c r="P41" s="106">
        <v>2164.3856999539785</v>
      </c>
      <c r="Q41" s="106">
        <v>2168.9440014937754</v>
      </c>
      <c r="R41" s="106">
        <v>2173.4929484692389</v>
      </c>
      <c r="S41" s="106">
        <v>2178.031807963876</v>
      </c>
      <c r="T41" s="106">
        <v>2182.5598485018945</v>
      </c>
      <c r="U41" s="106">
        <v>2187.076340177463</v>
      </c>
      <c r="V41" s="106">
        <v>2191.5805547837667</v>
      </c>
      <c r="W41" s="106">
        <v>1254.8981519667666</v>
      </c>
      <c r="X41" s="106">
        <v>314.36417846130661</v>
      </c>
      <c r="Y41" s="106">
        <v>3150.0175461541053</v>
      </c>
      <c r="Z41" s="106">
        <v>3156.3716357899466</v>
      </c>
      <c r="AA41" s="106">
        <v>3162.7030281139782</v>
      </c>
      <c r="AB41" s="106">
        <v>3169.010701245003</v>
      </c>
      <c r="AC41" s="106">
        <v>3175.2936370086377</v>
      </c>
      <c r="AD41" s="106">
        <v>3181.5508211181759</v>
      </c>
      <c r="AE41" s="106">
        <v>3187.7812433548561</v>
      </c>
      <c r="AF41" s="106">
        <v>3193.9838977475138</v>
      </c>
      <c r="AG41" s="106">
        <v>3200.1577827515825</v>
      </c>
      <c r="AH41" s="106">
        <v>3206.3019014274178</v>
      </c>
      <c r="AI41" s="106">
        <v>3212.4152616178967</v>
      </c>
      <c r="AJ41" s="106">
        <v>3218.496876125284</v>
      </c>
      <c r="AK41" s="106">
        <v>3224.5457628873069</v>
      </c>
      <c r="AL41" s="106">
        <v>323.05609451524282</v>
      </c>
      <c r="AM41" s="106">
        <v>323.65414516542739</v>
      </c>
      <c r="AN41" s="106">
        <v>324.24863167851896</v>
      </c>
      <c r="AO41" s="106">
        <v>324.83945807688906</v>
      </c>
      <c r="AP41" s="106">
        <v>3254.2652898321776</v>
      </c>
      <c r="AQ41" s="106">
        <v>3260.0974963756835</v>
      </c>
      <c r="AR41" s="106">
        <v>326.58902591436208</v>
      </c>
      <c r="AS41" s="106">
        <v>327.16426433925079</v>
      </c>
      <c r="AT41" s="106">
        <v>327.73537210588216</v>
      </c>
      <c r="AU41" s="106">
        <v>3283.0225709255783</v>
      </c>
      <c r="AV41" s="106">
        <v>3288.648278787774</v>
      </c>
      <c r="AW41" s="106">
        <v>3294.2299376166952</v>
      </c>
      <c r="AX41" s="106">
        <v>3299.7666477230291</v>
      </c>
    </row>
    <row r="42" spans="2:50" x14ac:dyDescent="0.2">
      <c r="B42" s="176" t="s">
        <v>108</v>
      </c>
      <c r="C42" s="106">
        <v>10000000</v>
      </c>
      <c r="D42" s="106">
        <v>10000000</v>
      </c>
      <c r="E42" s="106">
        <v>10000000</v>
      </c>
      <c r="F42" s="106">
        <v>10000000</v>
      </c>
      <c r="G42" s="106">
        <v>10000000</v>
      </c>
      <c r="H42" s="106">
        <v>10000000</v>
      </c>
      <c r="I42" s="106">
        <v>10000000</v>
      </c>
      <c r="J42" s="106">
        <v>10000000</v>
      </c>
      <c r="K42" s="106">
        <v>10000000</v>
      </c>
      <c r="L42" s="106">
        <v>10000000</v>
      </c>
      <c r="M42" s="106">
        <v>10000000</v>
      </c>
      <c r="N42" s="106">
        <v>10000000</v>
      </c>
      <c r="O42" s="106">
        <v>10000000</v>
      </c>
      <c r="P42" s="106">
        <v>10000000</v>
      </c>
      <c r="Q42" s="106">
        <v>10000000</v>
      </c>
      <c r="R42" s="106">
        <v>10000000</v>
      </c>
      <c r="S42" s="106">
        <v>10000000</v>
      </c>
      <c r="T42" s="106">
        <v>10000000</v>
      </c>
      <c r="U42" s="106">
        <v>10000000</v>
      </c>
      <c r="V42" s="106">
        <v>10000000</v>
      </c>
      <c r="W42" s="106">
        <v>10000000</v>
      </c>
      <c r="X42" s="106">
        <v>10000000</v>
      </c>
      <c r="Y42" s="106">
        <v>10000000</v>
      </c>
      <c r="Z42" s="106">
        <v>10000000</v>
      </c>
      <c r="AA42" s="106">
        <v>10000000</v>
      </c>
      <c r="AB42" s="106">
        <v>10000000</v>
      </c>
      <c r="AC42" s="106">
        <v>10000000</v>
      </c>
      <c r="AD42" s="106">
        <v>10000000</v>
      </c>
      <c r="AE42" s="106">
        <v>10000000</v>
      </c>
      <c r="AF42" s="106">
        <v>10000000</v>
      </c>
      <c r="AG42" s="106">
        <v>10000000</v>
      </c>
      <c r="AH42" s="106">
        <v>10000000</v>
      </c>
      <c r="AI42" s="106">
        <v>10000000</v>
      </c>
      <c r="AJ42" s="106">
        <v>10000000</v>
      </c>
      <c r="AK42" s="106">
        <v>10000000</v>
      </c>
      <c r="AL42" s="106">
        <v>10000000</v>
      </c>
      <c r="AM42" s="106">
        <v>10000000</v>
      </c>
      <c r="AN42" s="106">
        <v>10000000</v>
      </c>
      <c r="AO42" s="106">
        <v>10000000</v>
      </c>
      <c r="AP42" s="106">
        <v>10000000</v>
      </c>
      <c r="AQ42" s="106">
        <v>10000000</v>
      </c>
      <c r="AR42" s="106">
        <v>10000000</v>
      </c>
      <c r="AS42" s="106">
        <v>10000000</v>
      </c>
      <c r="AT42" s="106">
        <v>10000000</v>
      </c>
      <c r="AU42" s="106">
        <v>10000000</v>
      </c>
      <c r="AV42" s="106">
        <v>10000000</v>
      </c>
      <c r="AW42" s="106">
        <v>10000000</v>
      </c>
      <c r="AX42" s="106">
        <v>10000000</v>
      </c>
    </row>
    <row r="43" spans="2:50" x14ac:dyDescent="0.2">
      <c r="B43" s="176" t="s">
        <v>109</v>
      </c>
      <c r="C43" s="106">
        <v>10000000</v>
      </c>
      <c r="D43" s="106">
        <v>10000000</v>
      </c>
      <c r="E43" s="106">
        <v>10000000</v>
      </c>
      <c r="F43" s="106">
        <v>10000000</v>
      </c>
      <c r="G43" s="106">
        <v>10000000</v>
      </c>
      <c r="H43" s="106">
        <v>10000000</v>
      </c>
      <c r="I43" s="106">
        <v>10000000</v>
      </c>
      <c r="J43" s="106">
        <v>10000000</v>
      </c>
      <c r="K43" s="106">
        <v>10000000</v>
      </c>
      <c r="L43" s="106">
        <v>10000000</v>
      </c>
      <c r="M43" s="106">
        <v>10000000</v>
      </c>
      <c r="N43" s="106">
        <v>10000000</v>
      </c>
      <c r="O43" s="106">
        <v>10000000</v>
      </c>
      <c r="P43" s="106">
        <v>10000000</v>
      </c>
      <c r="Q43" s="106">
        <v>10000000</v>
      </c>
      <c r="R43" s="106">
        <v>10000000</v>
      </c>
      <c r="S43" s="106">
        <v>10000000</v>
      </c>
      <c r="T43" s="106">
        <v>10000000</v>
      </c>
      <c r="U43" s="106">
        <v>10000000</v>
      </c>
      <c r="V43" s="106">
        <v>10000000</v>
      </c>
      <c r="W43" s="106">
        <v>10000000</v>
      </c>
      <c r="X43" s="106">
        <v>10000000</v>
      </c>
      <c r="Y43" s="106">
        <v>10000000</v>
      </c>
      <c r="Z43" s="106">
        <v>10000000</v>
      </c>
      <c r="AA43" s="106">
        <v>10000000</v>
      </c>
      <c r="AB43" s="106">
        <v>10000000</v>
      </c>
      <c r="AC43" s="106">
        <v>10000000</v>
      </c>
      <c r="AD43" s="106">
        <v>10000000</v>
      </c>
      <c r="AE43" s="106">
        <v>10000000</v>
      </c>
      <c r="AF43" s="106">
        <v>10000000</v>
      </c>
      <c r="AG43" s="106">
        <v>10000000</v>
      </c>
      <c r="AH43" s="106">
        <v>10000000</v>
      </c>
      <c r="AI43" s="106">
        <v>10000000</v>
      </c>
      <c r="AJ43" s="106">
        <v>10000000</v>
      </c>
      <c r="AK43" s="106">
        <v>10000000</v>
      </c>
      <c r="AL43" s="106">
        <v>10000000</v>
      </c>
      <c r="AM43" s="106">
        <v>10000000</v>
      </c>
      <c r="AN43" s="106">
        <v>10000000</v>
      </c>
      <c r="AO43" s="106">
        <v>10000000</v>
      </c>
      <c r="AP43" s="106">
        <v>10000000</v>
      </c>
      <c r="AQ43" s="106">
        <v>10000000</v>
      </c>
      <c r="AR43" s="106">
        <v>10000000</v>
      </c>
      <c r="AS43" s="106">
        <v>10000000</v>
      </c>
      <c r="AT43" s="106">
        <v>10000000</v>
      </c>
      <c r="AU43" s="106">
        <v>10000000</v>
      </c>
      <c r="AV43" s="106">
        <v>10000000</v>
      </c>
      <c r="AW43" s="106">
        <v>10000000</v>
      </c>
      <c r="AX43" s="106">
        <v>10000000</v>
      </c>
    </row>
    <row r="45" spans="2:50" x14ac:dyDescent="0.2">
      <c r="B45" s="109" t="s">
        <v>324</v>
      </c>
    </row>
    <row r="46" spans="2:50" x14ac:dyDescent="0.2">
      <c r="B46" s="105" t="s">
        <v>274</v>
      </c>
      <c r="C46" s="105" t="s">
        <v>92</v>
      </c>
      <c r="D46" s="107"/>
      <c r="E46" s="107"/>
      <c r="F46" s="107"/>
      <c r="G46" s="105" t="s">
        <v>93</v>
      </c>
      <c r="H46" s="107"/>
      <c r="I46" s="107"/>
      <c r="J46" s="107"/>
      <c r="K46" s="105" t="s">
        <v>94</v>
      </c>
      <c r="L46" s="107"/>
      <c r="M46" s="107"/>
      <c r="N46" s="107"/>
      <c r="O46" s="105" t="s">
        <v>95</v>
      </c>
      <c r="P46" s="107"/>
      <c r="Q46" s="107"/>
      <c r="R46" s="107"/>
      <c r="S46" s="105" t="s">
        <v>96</v>
      </c>
      <c r="T46" s="107"/>
      <c r="U46" s="107"/>
      <c r="V46" s="107"/>
      <c r="W46" s="105" t="s">
        <v>97</v>
      </c>
      <c r="X46" s="107"/>
      <c r="Y46" s="107"/>
      <c r="Z46" s="107"/>
      <c r="AA46" s="105" t="s">
        <v>98</v>
      </c>
      <c r="AB46" s="107"/>
      <c r="AC46" s="107"/>
      <c r="AD46" s="107"/>
      <c r="AE46" s="105" t="s">
        <v>99</v>
      </c>
      <c r="AF46" s="107"/>
      <c r="AG46" s="107"/>
      <c r="AH46" s="107"/>
      <c r="AI46" s="105" t="s">
        <v>100</v>
      </c>
      <c r="AJ46" s="107"/>
      <c r="AK46" s="107"/>
      <c r="AL46" s="107"/>
      <c r="AM46" s="105" t="s">
        <v>101</v>
      </c>
      <c r="AN46" s="107"/>
      <c r="AO46" s="107"/>
      <c r="AP46" s="107"/>
      <c r="AQ46" s="105" t="s">
        <v>102</v>
      </c>
      <c r="AR46" s="107"/>
      <c r="AS46" s="107"/>
      <c r="AT46" s="107"/>
      <c r="AU46" s="105" t="s">
        <v>103</v>
      </c>
      <c r="AV46" s="107"/>
      <c r="AW46" s="107"/>
    </row>
    <row r="47" spans="2:50" x14ac:dyDescent="0.2">
      <c r="B47" s="105" t="s">
        <v>325</v>
      </c>
      <c r="C47" s="105">
        <v>1</v>
      </c>
      <c r="D47" s="105">
        <v>2</v>
      </c>
      <c r="E47" s="105">
        <v>3</v>
      </c>
      <c r="F47" s="105">
        <v>4</v>
      </c>
      <c r="G47" s="105">
        <v>1</v>
      </c>
      <c r="H47" s="105">
        <v>2</v>
      </c>
      <c r="I47" s="105">
        <v>3</v>
      </c>
      <c r="J47" s="105">
        <v>4</v>
      </c>
      <c r="K47" s="105">
        <v>1</v>
      </c>
      <c r="L47" s="105">
        <v>2</v>
      </c>
      <c r="M47" s="105">
        <v>3</v>
      </c>
      <c r="N47" s="105">
        <v>4</v>
      </c>
      <c r="O47" s="105">
        <v>1</v>
      </c>
      <c r="P47" s="105">
        <v>2</v>
      </c>
      <c r="Q47" s="105">
        <v>3</v>
      </c>
      <c r="R47" s="105">
        <v>4</v>
      </c>
      <c r="S47" s="105">
        <v>1</v>
      </c>
      <c r="T47" s="105">
        <v>2</v>
      </c>
      <c r="U47" s="105">
        <v>3</v>
      </c>
      <c r="V47" s="105">
        <v>4</v>
      </c>
      <c r="W47" s="105">
        <v>1</v>
      </c>
      <c r="X47" s="105">
        <v>2</v>
      </c>
      <c r="Y47" s="105">
        <v>3</v>
      </c>
      <c r="Z47" s="105">
        <v>4</v>
      </c>
      <c r="AA47" s="105">
        <v>1</v>
      </c>
      <c r="AB47" s="105">
        <v>2</v>
      </c>
      <c r="AC47" s="105">
        <v>3</v>
      </c>
      <c r="AD47" s="105">
        <v>4</v>
      </c>
      <c r="AE47" s="105">
        <v>1</v>
      </c>
      <c r="AF47" s="105">
        <v>2</v>
      </c>
      <c r="AG47" s="105">
        <v>3</v>
      </c>
      <c r="AH47" s="105">
        <v>4</v>
      </c>
      <c r="AI47" s="105">
        <v>1</v>
      </c>
      <c r="AJ47" s="105">
        <v>2</v>
      </c>
      <c r="AK47" s="105">
        <v>3</v>
      </c>
      <c r="AL47" s="105">
        <v>4</v>
      </c>
      <c r="AM47" s="105">
        <v>1</v>
      </c>
      <c r="AN47" s="105">
        <v>2</v>
      </c>
      <c r="AO47" s="105">
        <v>3</v>
      </c>
      <c r="AP47" s="105">
        <v>4</v>
      </c>
      <c r="AQ47" s="105">
        <v>1</v>
      </c>
      <c r="AR47" s="105">
        <v>2</v>
      </c>
      <c r="AS47" s="105">
        <v>3</v>
      </c>
      <c r="AT47" s="105">
        <v>4</v>
      </c>
      <c r="AU47" s="105">
        <v>1</v>
      </c>
      <c r="AV47" s="105">
        <v>2</v>
      </c>
      <c r="AW47" s="105">
        <v>3</v>
      </c>
      <c r="AX47" s="105">
        <v>4</v>
      </c>
    </row>
    <row r="48" spans="2:50" x14ac:dyDescent="0.2">
      <c r="B48" s="105" t="s">
        <v>104</v>
      </c>
      <c r="C48" s="106">
        <v>0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</row>
    <row r="49" spans="2:51" x14ac:dyDescent="0.2">
      <c r="B49" s="105" t="s">
        <v>105</v>
      </c>
      <c r="C49" s="106">
        <v>3203.3999387586405</v>
      </c>
      <c r="D49" s="106">
        <v>3203.3999387586405</v>
      </c>
      <c r="E49" s="106">
        <v>3203.3999387586405</v>
      </c>
      <c r="F49" s="106">
        <v>3203.3999387586405</v>
      </c>
      <c r="G49" s="106">
        <v>3203.3999387586405</v>
      </c>
      <c r="H49" s="106">
        <v>3203.3999387586405</v>
      </c>
      <c r="I49" s="106">
        <v>3203.3999387586405</v>
      </c>
      <c r="J49" s="106">
        <v>3203.3999387586405</v>
      </c>
      <c r="K49" s="106">
        <v>3203.3999387586405</v>
      </c>
      <c r="L49" s="106">
        <v>3203.3999387586405</v>
      </c>
      <c r="M49" s="106">
        <v>3203.3999387586405</v>
      </c>
      <c r="N49" s="106">
        <v>3203.3999387586405</v>
      </c>
      <c r="O49" s="106">
        <v>3203.3999387586405</v>
      </c>
      <c r="P49" s="106">
        <v>3203.3999387586405</v>
      </c>
      <c r="Q49" s="106">
        <v>3203.3999387586405</v>
      </c>
      <c r="R49" s="106">
        <v>3203.3999387586405</v>
      </c>
      <c r="S49" s="106">
        <v>3203.3999387586405</v>
      </c>
      <c r="T49" s="106">
        <v>3203.3999387586405</v>
      </c>
      <c r="U49" s="106">
        <v>3203.3999387586405</v>
      </c>
      <c r="V49" s="106">
        <v>3203.3999387586405</v>
      </c>
      <c r="W49" s="106">
        <v>3203.3999387586405</v>
      </c>
      <c r="X49" s="106">
        <v>3203.3999387586405</v>
      </c>
      <c r="Y49" s="106">
        <v>3203.3999387586405</v>
      </c>
      <c r="Z49" s="106">
        <v>3203.3999387586405</v>
      </c>
      <c r="AA49" s="106">
        <v>3203.3999387586405</v>
      </c>
      <c r="AB49" s="106">
        <v>3203.3999387586405</v>
      </c>
      <c r="AC49" s="106">
        <v>3203.3999387586405</v>
      </c>
      <c r="AD49" s="106">
        <v>3203.3999387586405</v>
      </c>
      <c r="AE49" s="106">
        <v>3203.3999387586405</v>
      </c>
      <c r="AF49" s="106">
        <v>3203.3999387586405</v>
      </c>
      <c r="AG49" s="106">
        <v>3203.3999387586405</v>
      </c>
      <c r="AH49" s="106">
        <v>3203.3999387586405</v>
      </c>
      <c r="AI49" s="106">
        <v>3203.3999387586405</v>
      </c>
      <c r="AJ49" s="106">
        <v>3203.3999387586405</v>
      </c>
      <c r="AK49" s="106">
        <v>3203.3999387586405</v>
      </c>
      <c r="AL49" s="106">
        <v>3203.3999387586405</v>
      </c>
      <c r="AM49" s="106">
        <v>3203.3999387586405</v>
      </c>
      <c r="AN49" s="106">
        <v>3203.3999387586405</v>
      </c>
      <c r="AO49" s="106">
        <v>3203.3999387586405</v>
      </c>
      <c r="AP49" s="106">
        <v>3203.3999387586405</v>
      </c>
      <c r="AQ49" s="106">
        <v>3203.3999387586405</v>
      </c>
      <c r="AR49" s="106">
        <v>3203.3999387586405</v>
      </c>
      <c r="AS49" s="106">
        <v>3203.3999387586405</v>
      </c>
      <c r="AT49" s="106">
        <v>3203.3999387586405</v>
      </c>
      <c r="AU49" s="106">
        <v>3203.3999387586405</v>
      </c>
      <c r="AV49" s="106">
        <v>3203.3999387586405</v>
      </c>
      <c r="AW49" s="106">
        <v>3203.3999387586405</v>
      </c>
      <c r="AX49" s="106">
        <v>3203.3999387586405</v>
      </c>
    </row>
    <row r="50" spans="2:51" x14ac:dyDescent="0.2">
      <c r="B50" s="105" t="s">
        <v>106</v>
      </c>
      <c r="C50" s="106">
        <v>2958.1665880602222</v>
      </c>
      <c r="D50" s="106">
        <v>2958.1665880602222</v>
      </c>
      <c r="E50" s="106">
        <v>2958.1665880602222</v>
      </c>
      <c r="F50" s="106">
        <v>2958.1665880602222</v>
      </c>
      <c r="G50" s="106">
        <v>2021.9633411880502</v>
      </c>
      <c r="H50" s="106">
        <v>2958.1665880602222</v>
      </c>
      <c r="I50" s="106">
        <v>2958.1665880602222</v>
      </c>
      <c r="J50" s="106">
        <v>2958.1665880602222</v>
      </c>
      <c r="K50" s="106">
        <v>2958.1665880602222</v>
      </c>
      <c r="L50" s="106">
        <v>2958.1665880602222</v>
      </c>
      <c r="M50" s="106">
        <v>2958.1665880602222</v>
      </c>
      <c r="N50" s="106">
        <v>2958.1665880602222</v>
      </c>
      <c r="O50" s="106">
        <v>2958.1665880602222</v>
      </c>
      <c r="P50" s="106">
        <v>2958.1665880602222</v>
      </c>
      <c r="Q50" s="106">
        <v>2958.1665880602222</v>
      </c>
      <c r="R50" s="106">
        <v>2958.1665880602222</v>
      </c>
      <c r="S50" s="106">
        <v>2958.1665880602222</v>
      </c>
      <c r="T50" s="106">
        <v>2958.1665880602222</v>
      </c>
      <c r="U50" s="106">
        <v>2958.1665880602222</v>
      </c>
      <c r="V50" s="106">
        <v>2958.1665880602222</v>
      </c>
      <c r="W50" s="106">
        <v>2958.1665880602222</v>
      </c>
      <c r="X50" s="106">
        <v>2958.1665880602222</v>
      </c>
      <c r="Y50" s="106">
        <v>2958.1665880602222</v>
      </c>
      <c r="Z50" s="106">
        <v>2958.1665880602222</v>
      </c>
      <c r="AA50" s="106">
        <v>2958.1665880602222</v>
      </c>
      <c r="AB50" s="106">
        <v>528.16845020750054</v>
      </c>
      <c r="AC50" s="106">
        <v>529.21560616810632</v>
      </c>
      <c r="AD50" s="106">
        <v>530.25847018636262</v>
      </c>
      <c r="AE50" s="106">
        <v>2958.1665880602222</v>
      </c>
      <c r="AF50" s="106">
        <v>2958.1665880602222</v>
      </c>
      <c r="AG50" s="106">
        <v>2958.1665880602222</v>
      </c>
      <c r="AH50" s="106">
        <v>2958.1665880602222</v>
      </c>
      <c r="AI50" s="106">
        <v>2958.1665880602222</v>
      </c>
      <c r="AJ50" s="106">
        <v>2958.1665880602222</v>
      </c>
      <c r="AK50" s="106">
        <v>2958.1665880602222</v>
      </c>
      <c r="AL50" s="106">
        <v>2958.1665880602222</v>
      </c>
      <c r="AM50" s="106">
        <v>2958.1665880602222</v>
      </c>
      <c r="AN50" s="106">
        <v>2958.1665880602222</v>
      </c>
      <c r="AO50" s="106">
        <v>2958.1665880602222</v>
      </c>
      <c r="AP50" s="106">
        <v>2958.1665880602222</v>
      </c>
      <c r="AQ50" s="106">
        <v>2958.1665880602222</v>
      </c>
      <c r="AR50" s="106">
        <v>2958.1665880602222</v>
      </c>
      <c r="AS50" s="106">
        <v>2958.1665880602222</v>
      </c>
      <c r="AT50" s="106">
        <v>2958.1665880602222</v>
      </c>
      <c r="AU50" s="106">
        <v>2958.1665880602222</v>
      </c>
      <c r="AV50" s="106">
        <v>2958.1665880602222</v>
      </c>
      <c r="AW50" s="106">
        <v>2958.1665880602222</v>
      </c>
      <c r="AX50" s="106">
        <v>2958.1665880602222</v>
      </c>
      <c r="AY50" s="118"/>
    </row>
    <row r="51" spans="2:51" x14ac:dyDescent="0.2">
      <c r="B51" s="105" t="s">
        <v>107</v>
      </c>
      <c r="C51" s="106">
        <v>0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17"/>
    </row>
    <row r="52" spans="2:51" x14ac:dyDescent="0.2">
      <c r="B52" s="105" t="s">
        <v>108</v>
      </c>
      <c r="C52" s="106">
        <v>0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</row>
    <row r="53" spans="2:51" x14ac:dyDescent="0.2">
      <c r="B53" s="105" t="s">
        <v>109</v>
      </c>
      <c r="C53" s="106">
        <v>0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</row>
    <row r="55" spans="2:51" x14ac:dyDescent="0.2">
      <c r="B55" s="180" t="s">
        <v>326</v>
      </c>
      <c r="C55" s="181"/>
      <c r="D55" s="181"/>
      <c r="E55" s="181"/>
      <c r="F55" s="181"/>
      <c r="G55" s="181"/>
      <c r="H55" s="181"/>
      <c r="I55" s="181"/>
      <c r="J55" s="181"/>
      <c r="K55" s="181"/>
      <c r="L55" s="181"/>
      <c r="M55" s="181"/>
      <c r="N55" s="181"/>
      <c r="O55" s="181"/>
      <c r="P55" s="181"/>
      <c r="Q55" s="181"/>
      <c r="R55" s="181"/>
      <c r="S55" s="181"/>
      <c r="T55" s="181"/>
      <c r="U55" s="181"/>
      <c r="V55" s="181"/>
      <c r="W55" s="181"/>
      <c r="X55" s="181"/>
      <c r="Y55" s="181"/>
      <c r="Z55" s="181"/>
      <c r="AA55" s="181"/>
      <c r="AB55" s="181"/>
      <c r="AC55" s="181"/>
      <c r="AD55" s="181"/>
      <c r="AE55" s="181"/>
      <c r="AF55" s="181"/>
      <c r="AG55" s="181"/>
      <c r="AH55" s="181"/>
      <c r="AI55" s="181"/>
      <c r="AJ55" s="181"/>
      <c r="AK55" s="181"/>
      <c r="AL55" s="181"/>
      <c r="AM55" s="181"/>
      <c r="AN55" s="181"/>
      <c r="AO55" s="181"/>
      <c r="AP55" s="181"/>
      <c r="AQ55" s="181"/>
      <c r="AR55" s="181"/>
      <c r="AS55" s="181"/>
      <c r="AT55" s="181"/>
      <c r="AU55" s="181"/>
      <c r="AV55" s="181"/>
      <c r="AW55" s="181"/>
      <c r="AX55" s="181"/>
    </row>
    <row r="56" spans="2:51" x14ac:dyDescent="0.2">
      <c r="B56" s="111" t="s">
        <v>274</v>
      </c>
      <c r="C56" s="111" t="s">
        <v>92</v>
      </c>
      <c r="D56" s="107"/>
      <c r="E56" s="107"/>
      <c r="F56" s="107"/>
      <c r="G56" s="111" t="s">
        <v>93</v>
      </c>
      <c r="H56" s="107"/>
      <c r="I56" s="107"/>
      <c r="J56" s="107"/>
      <c r="K56" s="111" t="s">
        <v>94</v>
      </c>
      <c r="L56" s="107"/>
      <c r="M56" s="107"/>
      <c r="N56" s="107"/>
      <c r="O56" s="111" t="s">
        <v>95</v>
      </c>
      <c r="P56" s="107"/>
      <c r="Q56" s="107"/>
      <c r="R56" s="107"/>
      <c r="S56" s="111" t="s">
        <v>96</v>
      </c>
      <c r="T56" s="107"/>
      <c r="U56" s="107"/>
      <c r="V56" s="107"/>
      <c r="W56" s="111" t="s">
        <v>97</v>
      </c>
      <c r="X56" s="107"/>
      <c r="Y56" s="107"/>
      <c r="Z56" s="107"/>
      <c r="AA56" s="111" t="s">
        <v>98</v>
      </c>
      <c r="AB56" s="107"/>
      <c r="AC56" s="107"/>
      <c r="AD56" s="107"/>
      <c r="AE56" s="111" t="s">
        <v>99</v>
      </c>
      <c r="AF56" s="107"/>
      <c r="AG56" s="107"/>
      <c r="AH56" s="107"/>
      <c r="AI56" s="111" t="s">
        <v>100</v>
      </c>
      <c r="AJ56" s="107"/>
      <c r="AK56" s="107"/>
      <c r="AL56" s="107"/>
      <c r="AM56" s="111" t="s">
        <v>101</v>
      </c>
      <c r="AN56" s="107"/>
      <c r="AO56" s="107"/>
      <c r="AP56" s="107"/>
      <c r="AQ56" s="111" t="s">
        <v>102</v>
      </c>
      <c r="AR56" s="107"/>
      <c r="AS56" s="107"/>
      <c r="AT56" s="107"/>
      <c r="AU56" s="111" t="s">
        <v>103</v>
      </c>
      <c r="AV56" s="107"/>
      <c r="AW56" s="107"/>
    </row>
    <row r="57" spans="2:51" x14ac:dyDescent="0.2">
      <c r="B57" s="111" t="s">
        <v>325</v>
      </c>
      <c r="C57" s="111">
        <v>1</v>
      </c>
      <c r="D57" s="111">
        <v>2</v>
      </c>
      <c r="E57" s="111">
        <v>3</v>
      </c>
      <c r="F57" s="111">
        <v>4</v>
      </c>
      <c r="G57" s="111">
        <v>1</v>
      </c>
      <c r="H57" s="111">
        <v>2</v>
      </c>
      <c r="I57" s="111">
        <v>3</v>
      </c>
      <c r="J57" s="111">
        <v>4</v>
      </c>
      <c r="K57" s="111">
        <v>1</v>
      </c>
      <c r="L57" s="111">
        <v>2</v>
      </c>
      <c r="M57" s="111">
        <v>3</v>
      </c>
      <c r="N57" s="111">
        <v>4</v>
      </c>
      <c r="O57" s="111">
        <v>1</v>
      </c>
      <c r="P57" s="111">
        <v>2</v>
      </c>
      <c r="Q57" s="111">
        <v>3</v>
      </c>
      <c r="R57" s="111">
        <v>4</v>
      </c>
      <c r="S57" s="111">
        <v>1</v>
      </c>
      <c r="T57" s="111">
        <v>2</v>
      </c>
      <c r="U57" s="111">
        <v>3</v>
      </c>
      <c r="V57" s="111">
        <v>4</v>
      </c>
      <c r="W57" s="111">
        <v>1</v>
      </c>
      <c r="X57" s="111">
        <v>2</v>
      </c>
      <c r="Y57" s="111">
        <v>3</v>
      </c>
      <c r="Z57" s="111">
        <v>4</v>
      </c>
      <c r="AA57" s="111">
        <v>1</v>
      </c>
      <c r="AB57" s="111">
        <v>2</v>
      </c>
      <c r="AC57" s="111">
        <v>3</v>
      </c>
      <c r="AD57" s="111">
        <v>4</v>
      </c>
      <c r="AE57" s="111">
        <v>1</v>
      </c>
      <c r="AF57" s="111">
        <v>2</v>
      </c>
      <c r="AG57" s="111">
        <v>3</v>
      </c>
      <c r="AH57" s="111">
        <v>4</v>
      </c>
      <c r="AI57" s="111">
        <v>1</v>
      </c>
      <c r="AJ57" s="111">
        <v>2</v>
      </c>
      <c r="AK57" s="111">
        <v>3</v>
      </c>
      <c r="AL57" s="111">
        <v>4</v>
      </c>
      <c r="AM57" s="111">
        <v>1</v>
      </c>
      <c r="AN57" s="111">
        <v>2</v>
      </c>
      <c r="AO57" s="111">
        <v>3</v>
      </c>
      <c r="AP57" s="111">
        <v>4</v>
      </c>
      <c r="AQ57" s="111">
        <v>1</v>
      </c>
      <c r="AR57" s="111">
        <v>2</v>
      </c>
      <c r="AS57" s="111">
        <v>3</v>
      </c>
      <c r="AT57" s="111">
        <v>4</v>
      </c>
      <c r="AU57" s="111">
        <v>1</v>
      </c>
      <c r="AV57" s="111">
        <v>2</v>
      </c>
      <c r="AW57" s="111">
        <v>3</v>
      </c>
      <c r="AX57" s="111">
        <v>4</v>
      </c>
    </row>
    <row r="58" spans="2:51" x14ac:dyDescent="0.2">
      <c r="B58" s="111" t="s">
        <v>104</v>
      </c>
      <c r="C58" s="106">
        <v>0</v>
      </c>
      <c r="D58" s="106">
        <v>0</v>
      </c>
      <c r="E58" s="106">
        <v>0</v>
      </c>
      <c r="F58" s="106">
        <v>0</v>
      </c>
      <c r="G58" s="106">
        <v>0</v>
      </c>
      <c r="H58" s="106">
        <v>0</v>
      </c>
      <c r="I58" s="106">
        <v>0</v>
      </c>
      <c r="J58" s="106">
        <v>0</v>
      </c>
      <c r="K58" s="106">
        <v>0</v>
      </c>
      <c r="L58" s="106">
        <v>0</v>
      </c>
      <c r="M58" s="106">
        <v>0</v>
      </c>
      <c r="N58" s="106">
        <v>0</v>
      </c>
      <c r="O58" s="106">
        <v>0</v>
      </c>
      <c r="P58" s="106">
        <v>0</v>
      </c>
      <c r="Q58" s="106">
        <v>0</v>
      </c>
      <c r="R58" s="106">
        <v>0</v>
      </c>
      <c r="S58" s="106">
        <v>0</v>
      </c>
      <c r="T58" s="106">
        <v>0</v>
      </c>
      <c r="U58" s="106">
        <v>0</v>
      </c>
      <c r="V58" s="106">
        <v>0</v>
      </c>
      <c r="W58" s="106">
        <v>0</v>
      </c>
      <c r="X58" s="106">
        <v>0</v>
      </c>
      <c r="Y58" s="106">
        <v>0</v>
      </c>
      <c r="Z58" s="106">
        <v>0</v>
      </c>
      <c r="AA58" s="106">
        <v>0</v>
      </c>
      <c r="AB58" s="106">
        <v>0</v>
      </c>
      <c r="AC58" s="106">
        <v>0</v>
      </c>
      <c r="AD58" s="106">
        <v>0</v>
      </c>
      <c r="AE58" s="106">
        <v>0</v>
      </c>
      <c r="AF58" s="106">
        <v>0</v>
      </c>
      <c r="AG58" s="106">
        <v>0</v>
      </c>
      <c r="AH58" s="106">
        <v>0</v>
      </c>
      <c r="AI58" s="106">
        <v>0</v>
      </c>
      <c r="AJ58" s="106">
        <v>0</v>
      </c>
      <c r="AK58" s="106">
        <v>0</v>
      </c>
      <c r="AL58" s="106">
        <v>0</v>
      </c>
      <c r="AM58" s="106">
        <v>0</v>
      </c>
      <c r="AN58" s="106">
        <v>0</v>
      </c>
      <c r="AO58" s="106">
        <v>0</v>
      </c>
      <c r="AP58" s="106">
        <v>0</v>
      </c>
      <c r="AQ58" s="106">
        <v>0</v>
      </c>
      <c r="AR58" s="106">
        <v>0</v>
      </c>
      <c r="AS58" s="106">
        <v>0</v>
      </c>
      <c r="AT58" s="106">
        <v>0</v>
      </c>
      <c r="AU58" s="106">
        <v>0</v>
      </c>
      <c r="AV58" s="106">
        <v>0</v>
      </c>
      <c r="AW58" s="106">
        <v>0</v>
      </c>
      <c r="AX58" s="106">
        <v>0</v>
      </c>
    </row>
    <row r="59" spans="2:51" x14ac:dyDescent="0.2">
      <c r="B59" s="111" t="s">
        <v>105</v>
      </c>
      <c r="C59" s="106">
        <v>4336876.8209229931</v>
      </c>
      <c r="D59" s="106">
        <v>4336876.8209229931</v>
      </c>
      <c r="E59" s="106">
        <v>4336876.8209229931</v>
      </c>
      <c r="F59" s="106">
        <v>4336876.8209229931</v>
      </c>
      <c r="G59" s="106">
        <v>4558624.5203998601</v>
      </c>
      <c r="H59" s="106">
        <v>4558624.5203998601</v>
      </c>
      <c r="I59" s="106">
        <v>4558624.5203998601</v>
      </c>
      <c r="J59" s="106">
        <v>4558624.5203998601</v>
      </c>
      <c r="K59" s="106">
        <v>4229765.7342837024</v>
      </c>
      <c r="L59" s="106">
        <v>4229765.7342837024</v>
      </c>
      <c r="M59" s="106">
        <v>4229765.7342837024</v>
      </c>
      <c r="N59" s="106">
        <v>4229765.7342837024</v>
      </c>
      <c r="O59" s="106">
        <v>4660381.6954072313</v>
      </c>
      <c r="P59" s="106">
        <v>4660381.6954072313</v>
      </c>
      <c r="Q59" s="106">
        <v>4660381.6954072313</v>
      </c>
      <c r="R59" s="106">
        <v>4660381.6954072313</v>
      </c>
      <c r="S59" s="106">
        <v>4374852.3954699552</v>
      </c>
      <c r="T59" s="106">
        <v>4374852.3954699552</v>
      </c>
      <c r="U59" s="106">
        <v>4374852.3954699552</v>
      </c>
      <c r="V59" s="106">
        <v>4374852.3954699552</v>
      </c>
      <c r="W59" s="106">
        <v>4280809.5781459743</v>
      </c>
      <c r="X59" s="106">
        <v>4280809.5781459743</v>
      </c>
      <c r="Y59" s="106">
        <v>4280809.5781459743</v>
      </c>
      <c r="Z59" s="106">
        <v>4280809.5781459743</v>
      </c>
      <c r="AA59" s="106">
        <v>5803952.0169604132</v>
      </c>
      <c r="AB59" s="106">
        <v>5803952.0169604132</v>
      </c>
      <c r="AC59" s="106">
        <v>5803952.0169604132</v>
      </c>
      <c r="AD59" s="106">
        <v>5803952.0169604132</v>
      </c>
      <c r="AE59" s="106">
        <v>4386370.4193892851</v>
      </c>
      <c r="AF59" s="106">
        <v>4386370.4193892851</v>
      </c>
      <c r="AG59" s="106">
        <v>4386370.4193892851</v>
      </c>
      <c r="AH59" s="106">
        <v>4386370.4193892851</v>
      </c>
      <c r="AI59" s="106">
        <v>4310629.287543851</v>
      </c>
      <c r="AJ59" s="106">
        <v>4310629.287543851</v>
      </c>
      <c r="AK59" s="106">
        <v>4310629.287543851</v>
      </c>
      <c r="AL59" s="106">
        <v>4310629.287543851</v>
      </c>
      <c r="AM59" s="106">
        <v>4273314.3932408914</v>
      </c>
      <c r="AN59" s="106">
        <v>4273314.3932408914</v>
      </c>
      <c r="AO59" s="106">
        <v>4273314.3932408914</v>
      </c>
      <c r="AP59" s="106">
        <v>4273314.3932408914</v>
      </c>
      <c r="AQ59" s="106">
        <v>4611891.966810937</v>
      </c>
      <c r="AR59" s="106">
        <v>4611891.966810937</v>
      </c>
      <c r="AS59" s="106">
        <v>4611891.966810937</v>
      </c>
      <c r="AT59" s="106">
        <v>4611891.966810937</v>
      </c>
      <c r="AU59" s="106">
        <v>3983060.102641677</v>
      </c>
      <c r="AV59" s="106">
        <v>3983060.102641677</v>
      </c>
      <c r="AW59" s="106">
        <v>3983060.102641677</v>
      </c>
      <c r="AX59" s="106">
        <v>3983060.102641677</v>
      </c>
    </row>
    <row r="60" spans="2:51" x14ac:dyDescent="0.2">
      <c r="B60" s="111" t="s">
        <v>106</v>
      </c>
      <c r="C60" s="106">
        <v>4594680.1727982629</v>
      </c>
      <c r="D60" s="106">
        <v>4594680.1727982629</v>
      </c>
      <c r="E60" s="106">
        <v>4594680.1727982629</v>
      </c>
      <c r="F60" s="106">
        <v>4594680.1727982629</v>
      </c>
      <c r="G60" s="106">
        <v>3232707.2787517086</v>
      </c>
      <c r="H60" s="106">
        <v>4729505.4594627302</v>
      </c>
      <c r="I60" s="106">
        <v>4729505.4594627302</v>
      </c>
      <c r="J60" s="106">
        <v>4729505.4594627302</v>
      </c>
      <c r="K60" s="106">
        <v>4472935.8742812779</v>
      </c>
      <c r="L60" s="106">
        <v>4472935.8742812779</v>
      </c>
      <c r="M60" s="106">
        <v>4472935.8742812779</v>
      </c>
      <c r="N60" s="106">
        <v>4472935.8742812779</v>
      </c>
      <c r="O60" s="106">
        <v>4301968.8079667101</v>
      </c>
      <c r="P60" s="106">
        <v>4301968.8079667101</v>
      </c>
      <c r="Q60" s="106">
        <v>4301968.8079667101</v>
      </c>
      <c r="R60" s="106">
        <v>4301968.8079667101</v>
      </c>
      <c r="S60" s="106">
        <v>4160969.7819101801</v>
      </c>
      <c r="T60" s="106">
        <v>4160969.7819101801</v>
      </c>
      <c r="U60" s="106">
        <v>4160969.7819101801</v>
      </c>
      <c r="V60" s="106">
        <v>4160969.7819101801</v>
      </c>
      <c r="W60" s="106">
        <v>4220848.1086534308</v>
      </c>
      <c r="X60" s="106">
        <v>4220848.1086534308</v>
      </c>
      <c r="Y60" s="106">
        <v>4220848.1086534308</v>
      </c>
      <c r="Z60" s="106">
        <v>4220848.1086534308</v>
      </c>
      <c r="AA60" s="106">
        <v>6507966.4937324896</v>
      </c>
      <c r="AB60" s="106">
        <v>1161970.5904565011</v>
      </c>
      <c r="AC60" s="106">
        <v>1164274.333569834</v>
      </c>
      <c r="AD60" s="106">
        <v>1166568.6344099978</v>
      </c>
      <c r="AE60" s="106">
        <v>4269897.9629400931</v>
      </c>
      <c r="AF60" s="106">
        <v>4269897.9629400931</v>
      </c>
      <c r="AG60" s="106">
        <v>4269897.9629400931</v>
      </c>
      <c r="AH60" s="106">
        <v>4269897.9629400931</v>
      </c>
      <c r="AI60" s="106">
        <v>4477480.8622509837</v>
      </c>
      <c r="AJ60" s="106">
        <v>4477480.8622509837</v>
      </c>
      <c r="AK60" s="106">
        <v>4477480.8622509837</v>
      </c>
      <c r="AL60" s="106">
        <v>4477480.8622509837</v>
      </c>
      <c r="AM60" s="106">
        <v>4037362.7465081736</v>
      </c>
      <c r="AN60" s="106">
        <v>4037362.7465081736</v>
      </c>
      <c r="AO60" s="106">
        <v>4037362.7465081736</v>
      </c>
      <c r="AP60" s="106">
        <v>4037362.7465081736</v>
      </c>
      <c r="AQ60" s="106">
        <v>4063647.5311708455</v>
      </c>
      <c r="AR60" s="106">
        <v>4063647.5311708455</v>
      </c>
      <c r="AS60" s="106">
        <v>4063647.5311708455</v>
      </c>
      <c r="AT60" s="106">
        <v>4063647.5311708455</v>
      </c>
      <c r="AU60" s="106">
        <v>4408451.6321054986</v>
      </c>
      <c r="AV60" s="106">
        <v>4408451.6321054986</v>
      </c>
      <c r="AW60" s="106">
        <v>4408451.6321054986</v>
      </c>
      <c r="AX60" s="106">
        <v>4408451.6321054986</v>
      </c>
    </row>
    <row r="61" spans="2:51" x14ac:dyDescent="0.2">
      <c r="B61" s="111" t="s">
        <v>107</v>
      </c>
      <c r="C61" s="106">
        <v>0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</row>
    <row r="62" spans="2:51" x14ac:dyDescent="0.2">
      <c r="B62" s="111" t="s">
        <v>108</v>
      </c>
      <c r="C62" s="106">
        <v>0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</row>
    <row r="63" spans="2:51" x14ac:dyDescent="0.2">
      <c r="B63" s="111" t="s">
        <v>109</v>
      </c>
      <c r="C63" s="106">
        <v>0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</row>
    <row r="64" spans="2:51" x14ac:dyDescent="0.2">
      <c r="B64" s="107"/>
    </row>
    <row r="65" spans="1:14" x14ac:dyDescent="0.2">
      <c r="B65" s="110" t="s">
        <v>327</v>
      </c>
    </row>
    <row r="66" spans="1:14" x14ac:dyDescent="0.2">
      <c r="B66" s="105" t="s">
        <v>328</v>
      </c>
      <c r="C66" s="105" t="s">
        <v>92</v>
      </c>
      <c r="D66" s="105" t="s">
        <v>93</v>
      </c>
      <c r="E66" s="105" t="s">
        <v>94</v>
      </c>
      <c r="F66" s="105" t="s">
        <v>95</v>
      </c>
      <c r="G66" s="105" t="s">
        <v>96</v>
      </c>
      <c r="H66" s="105" t="s">
        <v>97</v>
      </c>
      <c r="I66" s="105" t="s">
        <v>98</v>
      </c>
      <c r="J66" s="105" t="s">
        <v>99</v>
      </c>
      <c r="K66" s="105" t="s">
        <v>100</v>
      </c>
      <c r="L66" s="105" t="s">
        <v>101</v>
      </c>
      <c r="M66" s="105" t="s">
        <v>102</v>
      </c>
      <c r="N66" s="105" t="s">
        <v>103</v>
      </c>
    </row>
    <row r="67" spans="1:14" x14ac:dyDescent="0.2">
      <c r="B67" s="105" t="s">
        <v>329</v>
      </c>
      <c r="C67" s="106">
        <v>72000</v>
      </c>
      <c r="D67" s="106">
        <v>64000</v>
      </c>
      <c r="E67" s="106">
        <v>64000</v>
      </c>
      <c r="F67" s="106">
        <v>72000</v>
      </c>
      <c r="G67" s="106">
        <v>64000</v>
      </c>
      <c r="H67" s="106">
        <v>64000</v>
      </c>
      <c r="I67" s="106">
        <v>72000</v>
      </c>
      <c r="J67" s="106">
        <v>64000</v>
      </c>
      <c r="K67" s="106">
        <v>64000</v>
      </c>
      <c r="L67" s="106">
        <v>72000</v>
      </c>
      <c r="M67" s="106">
        <v>64000</v>
      </c>
      <c r="N67" s="106">
        <v>64000</v>
      </c>
    </row>
    <row r="68" spans="1:14" x14ac:dyDescent="0.2">
      <c r="B68" s="105" t="s">
        <v>330</v>
      </c>
      <c r="C68" s="106">
        <v>162000</v>
      </c>
      <c r="D68" s="106">
        <v>144000</v>
      </c>
      <c r="E68" s="106">
        <v>144000</v>
      </c>
      <c r="F68" s="106">
        <v>162000</v>
      </c>
      <c r="G68" s="106">
        <v>144000</v>
      </c>
      <c r="H68" s="106">
        <v>144000</v>
      </c>
      <c r="I68" s="106">
        <v>162000</v>
      </c>
      <c r="J68" s="106">
        <v>144000</v>
      </c>
      <c r="K68" s="106">
        <v>144000</v>
      </c>
      <c r="L68" s="106">
        <v>162000</v>
      </c>
      <c r="M68" s="106">
        <v>144000</v>
      </c>
      <c r="N68" s="106">
        <v>144000</v>
      </c>
    </row>
    <row r="70" spans="1:14" x14ac:dyDescent="0.2">
      <c r="B70" s="110" t="s">
        <v>331</v>
      </c>
    </row>
    <row r="71" spans="1:14" x14ac:dyDescent="0.2">
      <c r="A71" s="111" t="s">
        <v>121</v>
      </c>
      <c r="B71" s="111" t="s">
        <v>332</v>
      </c>
      <c r="C71" s="111" t="s">
        <v>22</v>
      </c>
      <c r="D71" s="111" t="s">
        <v>59</v>
      </c>
    </row>
    <row r="72" spans="1:14" x14ac:dyDescent="0.2">
      <c r="A72" s="111" t="s">
        <v>104</v>
      </c>
      <c r="B72" s="111" t="s">
        <v>92</v>
      </c>
      <c r="C72" s="106">
        <v>5437989.0936661046</v>
      </c>
      <c r="D72" s="106">
        <v>36505327.669121616</v>
      </c>
    </row>
    <row r="73" spans="1:14" x14ac:dyDescent="0.2">
      <c r="B73" s="111" t="s">
        <v>93</v>
      </c>
      <c r="C73" s="106">
        <v>4833768.0832587592</v>
      </c>
      <c r="D73" s="106">
        <v>32449180.150330324</v>
      </c>
    </row>
    <row r="74" spans="1:14" x14ac:dyDescent="0.2">
      <c r="B74" s="111" t="s">
        <v>94</v>
      </c>
      <c r="C74" s="106">
        <v>4833768.0832587592</v>
      </c>
      <c r="D74" s="106">
        <v>32449180.150330324</v>
      </c>
    </row>
    <row r="75" spans="1:14" x14ac:dyDescent="0.2">
      <c r="B75" s="111" t="s">
        <v>95</v>
      </c>
      <c r="C75" s="106">
        <v>5437989.0936661046</v>
      </c>
      <c r="D75" s="106">
        <v>36505327.669121616</v>
      </c>
    </row>
    <row r="76" spans="1:14" x14ac:dyDescent="0.2">
      <c r="B76" s="111" t="s">
        <v>96</v>
      </c>
      <c r="C76" s="106">
        <v>4833768.0832587592</v>
      </c>
      <c r="D76" s="106">
        <v>32449180.150330324</v>
      </c>
    </row>
    <row r="77" spans="1:14" x14ac:dyDescent="0.2">
      <c r="B77" s="111" t="s">
        <v>97</v>
      </c>
      <c r="C77" s="106">
        <v>4833768.0832587592</v>
      </c>
      <c r="D77" s="106">
        <v>32449180.150330324</v>
      </c>
    </row>
    <row r="78" spans="1:14" x14ac:dyDescent="0.2">
      <c r="B78" s="111" t="s">
        <v>98</v>
      </c>
      <c r="C78" s="106">
        <v>5437989.0936661046</v>
      </c>
      <c r="D78" s="106">
        <v>36505327.669121616</v>
      </c>
    </row>
    <row r="79" spans="1:14" x14ac:dyDescent="0.2">
      <c r="B79" s="111" t="s">
        <v>99</v>
      </c>
      <c r="C79" s="106">
        <v>4833768.0832587592</v>
      </c>
      <c r="D79" s="106">
        <v>32449180.150330324</v>
      </c>
    </row>
    <row r="80" spans="1:14" x14ac:dyDescent="0.2">
      <c r="B80" s="111" t="s">
        <v>100</v>
      </c>
      <c r="C80" s="106">
        <v>4833768.0832587592</v>
      </c>
      <c r="D80" s="106">
        <v>32449180.150330324</v>
      </c>
    </row>
    <row r="81" spans="2:50" x14ac:dyDescent="0.2">
      <c r="B81" s="111" t="s">
        <v>101</v>
      </c>
      <c r="C81" s="106">
        <v>5437989.0936661046</v>
      </c>
      <c r="D81" s="106">
        <v>36505327.669121616</v>
      </c>
    </row>
    <row r="82" spans="2:50" x14ac:dyDescent="0.2">
      <c r="B82" s="111" t="s">
        <v>102</v>
      </c>
      <c r="C82" s="106">
        <v>4833768.0832587592</v>
      </c>
      <c r="D82" s="106">
        <v>32449180.150330324</v>
      </c>
    </row>
    <row r="83" spans="2:50" x14ac:dyDescent="0.2">
      <c r="B83" s="111" t="s">
        <v>103</v>
      </c>
      <c r="C83" s="106">
        <v>4833768.0832587592</v>
      </c>
      <c r="D83" s="106">
        <v>32449180.150330324</v>
      </c>
    </row>
    <row r="85" spans="2:50" x14ac:dyDescent="0.2">
      <c r="B85" s="109" t="s">
        <v>333</v>
      </c>
    </row>
    <row r="86" spans="2:50" x14ac:dyDescent="0.2">
      <c r="B86" s="105" t="s">
        <v>274</v>
      </c>
      <c r="C86" s="105" t="s">
        <v>92</v>
      </c>
      <c r="D86" s="107"/>
      <c r="E86" s="107"/>
      <c r="F86" s="107"/>
      <c r="G86" s="105" t="s">
        <v>93</v>
      </c>
      <c r="H86" s="107"/>
      <c r="I86" s="107"/>
      <c r="J86" s="107"/>
      <c r="K86" s="105" t="s">
        <v>94</v>
      </c>
      <c r="L86" s="107"/>
      <c r="M86" s="107"/>
      <c r="N86" s="107"/>
      <c r="O86" s="105" t="s">
        <v>95</v>
      </c>
      <c r="P86" s="107"/>
      <c r="Q86" s="107"/>
      <c r="R86" s="107"/>
      <c r="S86" s="105" t="s">
        <v>96</v>
      </c>
      <c r="T86" s="107"/>
      <c r="U86" s="107"/>
      <c r="V86" s="107"/>
      <c r="W86" s="105" t="s">
        <v>97</v>
      </c>
      <c r="X86" s="107"/>
      <c r="Y86" s="107"/>
      <c r="Z86" s="107"/>
      <c r="AA86" s="105" t="s">
        <v>98</v>
      </c>
      <c r="AB86" s="107"/>
      <c r="AC86" s="107"/>
      <c r="AD86" s="107"/>
      <c r="AE86" s="105" t="s">
        <v>99</v>
      </c>
      <c r="AF86" s="107"/>
      <c r="AG86" s="107"/>
      <c r="AH86" s="107"/>
      <c r="AI86" s="105" t="s">
        <v>100</v>
      </c>
      <c r="AJ86" s="107"/>
      <c r="AK86" s="107"/>
      <c r="AL86" s="107"/>
      <c r="AM86" s="105" t="s">
        <v>101</v>
      </c>
      <c r="AN86" s="107"/>
      <c r="AO86" s="107"/>
      <c r="AP86" s="107"/>
      <c r="AQ86" s="105" t="s">
        <v>102</v>
      </c>
      <c r="AR86" s="107"/>
      <c r="AS86" s="107"/>
      <c r="AT86" s="107"/>
      <c r="AU86" s="105" t="s">
        <v>103</v>
      </c>
      <c r="AV86" s="107"/>
      <c r="AW86" s="107"/>
    </row>
    <row r="87" spans="2:50" x14ac:dyDescent="0.2">
      <c r="B87" s="105" t="s">
        <v>334</v>
      </c>
      <c r="C87" s="105">
        <v>1</v>
      </c>
      <c r="D87" s="105">
        <v>2</v>
      </c>
      <c r="E87" s="105">
        <v>3</v>
      </c>
      <c r="F87" s="105">
        <v>4</v>
      </c>
      <c r="G87" s="105">
        <v>1</v>
      </c>
      <c r="H87" s="105">
        <v>2</v>
      </c>
      <c r="I87" s="105">
        <v>3</v>
      </c>
      <c r="J87" s="105">
        <v>4</v>
      </c>
      <c r="K87" s="105">
        <v>1</v>
      </c>
      <c r="L87" s="105">
        <v>2</v>
      </c>
      <c r="M87" s="105">
        <v>3</v>
      </c>
      <c r="N87" s="105">
        <v>4</v>
      </c>
      <c r="O87" s="105">
        <v>1</v>
      </c>
      <c r="P87" s="105">
        <v>2</v>
      </c>
      <c r="Q87" s="105">
        <v>3</v>
      </c>
      <c r="R87" s="105">
        <v>4</v>
      </c>
      <c r="S87" s="105">
        <v>1</v>
      </c>
      <c r="T87" s="105">
        <v>2</v>
      </c>
      <c r="U87" s="105">
        <v>3</v>
      </c>
      <c r="V87" s="105">
        <v>4</v>
      </c>
      <c r="W87" s="105">
        <v>1</v>
      </c>
      <c r="X87" s="105">
        <v>2</v>
      </c>
      <c r="Y87" s="105">
        <v>3</v>
      </c>
      <c r="Z87" s="105">
        <v>4</v>
      </c>
      <c r="AA87" s="105">
        <v>1</v>
      </c>
      <c r="AB87" s="105">
        <v>2</v>
      </c>
      <c r="AC87" s="105">
        <v>3</v>
      </c>
      <c r="AD87" s="105">
        <v>4</v>
      </c>
      <c r="AE87" s="105">
        <v>1</v>
      </c>
      <c r="AF87" s="105">
        <v>2</v>
      </c>
      <c r="AG87" s="105">
        <v>3</v>
      </c>
      <c r="AH87" s="105">
        <v>4</v>
      </c>
      <c r="AI87" s="105">
        <v>1</v>
      </c>
      <c r="AJ87" s="105">
        <v>2</v>
      </c>
      <c r="AK87" s="105">
        <v>3</v>
      </c>
      <c r="AL87" s="105">
        <v>4</v>
      </c>
      <c r="AM87" s="105">
        <v>1</v>
      </c>
      <c r="AN87" s="105">
        <v>2</v>
      </c>
      <c r="AO87" s="105">
        <v>3</v>
      </c>
      <c r="AP87" s="105">
        <v>4</v>
      </c>
      <c r="AQ87" s="105">
        <v>1</v>
      </c>
      <c r="AR87" s="105">
        <v>2</v>
      </c>
      <c r="AS87" s="105">
        <v>3</v>
      </c>
      <c r="AT87" s="105">
        <v>4</v>
      </c>
      <c r="AU87" s="105">
        <v>1</v>
      </c>
      <c r="AV87" s="105">
        <v>2</v>
      </c>
      <c r="AW87" s="105">
        <v>3</v>
      </c>
      <c r="AX87" s="105">
        <v>4</v>
      </c>
    </row>
    <row r="88" spans="2:50" x14ac:dyDescent="0.2">
      <c r="B88" s="105" t="s">
        <v>104</v>
      </c>
      <c r="C88" s="106">
        <f>C48+$C$67/4</f>
        <v>18000</v>
      </c>
      <c r="D88" s="106">
        <f>D48+$C$67/4</f>
        <v>18000</v>
      </c>
      <c r="E88" s="106">
        <f>E48+$C$67/4</f>
        <v>18000</v>
      </c>
      <c r="F88" s="106">
        <f>F48+$C$67/4</f>
        <v>18000</v>
      </c>
      <c r="G88" s="106">
        <f>G48+$D$67/4</f>
        <v>16000</v>
      </c>
      <c r="H88" s="106">
        <f>H48+$D$67/4</f>
        <v>16000</v>
      </c>
      <c r="I88" s="106">
        <f>I48+$D$67/4</f>
        <v>16000</v>
      </c>
      <c r="J88" s="106">
        <f>J48+$D$67/4</f>
        <v>16000</v>
      </c>
      <c r="K88" s="106">
        <f>K48+$E$67/4</f>
        <v>16000</v>
      </c>
      <c r="L88" s="106">
        <f>L48+$E$67/4</f>
        <v>16000</v>
      </c>
      <c r="M88" s="106">
        <f>M48+$E$67/4</f>
        <v>16000</v>
      </c>
      <c r="N88" s="106">
        <f>N48+$E$67/4</f>
        <v>16000</v>
      </c>
      <c r="O88" s="106">
        <f>O48+$F$67/4</f>
        <v>18000</v>
      </c>
      <c r="P88" s="106">
        <f>P48+$F$67/4</f>
        <v>18000</v>
      </c>
      <c r="Q88" s="106">
        <f>Q48+$F$67/4</f>
        <v>18000</v>
      </c>
      <c r="R88" s="106">
        <f>R48+$F$67/4</f>
        <v>18000</v>
      </c>
      <c r="S88" s="106">
        <f>S48+$G$67/4</f>
        <v>16000</v>
      </c>
      <c r="T88" s="106">
        <f>T48+$G$67/4</f>
        <v>16000</v>
      </c>
      <c r="U88" s="106">
        <f>U48+$G$67/4</f>
        <v>16000</v>
      </c>
      <c r="V88" s="106">
        <f>V48+$G$67/4</f>
        <v>16000</v>
      </c>
      <c r="W88" s="106">
        <f>W48+$H$67/4</f>
        <v>16000</v>
      </c>
      <c r="X88" s="106">
        <f>X48+$H$67/4</f>
        <v>16000</v>
      </c>
      <c r="Y88" s="106">
        <f>Y48+$H$67/4</f>
        <v>16000</v>
      </c>
      <c r="Z88" s="106">
        <f>Z48+$H$67/4</f>
        <v>16000</v>
      </c>
      <c r="AA88" s="106">
        <f>AA48+$I$67/4</f>
        <v>18000</v>
      </c>
      <c r="AB88" s="106">
        <f>AB48+$I$67/4</f>
        <v>18000</v>
      </c>
      <c r="AC88" s="106">
        <f>AC48+$I$67/4</f>
        <v>18000</v>
      </c>
      <c r="AD88" s="106">
        <f>AD48+$I$67/4</f>
        <v>18000</v>
      </c>
      <c r="AE88" s="106">
        <f>AE48+$J$67/4</f>
        <v>16000</v>
      </c>
      <c r="AF88" s="106">
        <f>AF48+$J$67/4</f>
        <v>16000</v>
      </c>
      <c r="AG88" s="106">
        <f>AG48+$J$67/4</f>
        <v>16000</v>
      </c>
      <c r="AH88" s="106">
        <f>AH48+$J$67/4</f>
        <v>16000</v>
      </c>
      <c r="AI88" s="106">
        <f>AI48+$K$67/4</f>
        <v>16000</v>
      </c>
      <c r="AJ88" s="106">
        <f>AJ48+$K$67/4</f>
        <v>16000</v>
      </c>
      <c r="AK88" s="106">
        <f>AK48+$K$67/4</f>
        <v>16000</v>
      </c>
      <c r="AL88" s="106">
        <f>AL48+$K$67/4</f>
        <v>16000</v>
      </c>
      <c r="AM88" s="106">
        <f>AM48+$L$67/4</f>
        <v>18000</v>
      </c>
      <c r="AN88" s="106">
        <f>AN48+$L$67/4</f>
        <v>18000</v>
      </c>
      <c r="AO88" s="106">
        <f>AO48+$L$67/4</f>
        <v>18000</v>
      </c>
      <c r="AP88" s="106">
        <f>AP48+$L$67/4</f>
        <v>18000</v>
      </c>
      <c r="AQ88" s="106">
        <f>AQ48+$M$67/4</f>
        <v>16000</v>
      </c>
      <c r="AR88" s="106">
        <f>AR48+$M$67/4</f>
        <v>16000</v>
      </c>
      <c r="AS88" s="106">
        <f>AS48+$M$67/4</f>
        <v>16000</v>
      </c>
      <c r="AT88" s="106">
        <f>AT48+$M$67/4</f>
        <v>16000</v>
      </c>
      <c r="AU88" s="106">
        <f>AU48+$N$67/4</f>
        <v>16000</v>
      </c>
      <c r="AV88" s="106">
        <f>AV48+$N$67/4</f>
        <v>16000</v>
      </c>
      <c r="AW88" s="106">
        <f>AW48+$N$67/4</f>
        <v>16000</v>
      </c>
      <c r="AX88" s="106">
        <f>AX48+$N$67/4</f>
        <v>16000</v>
      </c>
    </row>
    <row r="89" spans="2:50" x14ac:dyDescent="0.2">
      <c r="B89" s="105" t="s">
        <v>105</v>
      </c>
      <c r="C89" s="106">
        <f>C49</f>
        <v>3203.3999387586405</v>
      </c>
      <c r="D89" s="106">
        <f t="shared" ref="D89:AX93" si="3">D49</f>
        <v>3203.3999387586405</v>
      </c>
      <c r="E89" s="106">
        <f t="shared" si="3"/>
        <v>3203.3999387586405</v>
      </c>
      <c r="F89" s="106">
        <f t="shared" si="3"/>
        <v>3203.3999387586405</v>
      </c>
      <c r="G89" s="106">
        <f t="shared" si="3"/>
        <v>3203.3999387586405</v>
      </c>
      <c r="H89" s="106">
        <f t="shared" si="3"/>
        <v>3203.3999387586405</v>
      </c>
      <c r="I89" s="106">
        <f t="shared" si="3"/>
        <v>3203.3999387586405</v>
      </c>
      <c r="J89" s="106">
        <f t="shared" si="3"/>
        <v>3203.3999387586405</v>
      </c>
      <c r="K89" s="106">
        <f t="shared" si="3"/>
        <v>3203.3999387586405</v>
      </c>
      <c r="L89" s="106">
        <f t="shared" si="3"/>
        <v>3203.3999387586405</v>
      </c>
      <c r="M89" s="106">
        <f t="shared" si="3"/>
        <v>3203.3999387586405</v>
      </c>
      <c r="N89" s="106">
        <f t="shared" si="3"/>
        <v>3203.3999387586405</v>
      </c>
      <c r="O89" s="106">
        <f t="shared" si="3"/>
        <v>3203.3999387586405</v>
      </c>
      <c r="P89" s="106">
        <f t="shared" si="3"/>
        <v>3203.3999387586405</v>
      </c>
      <c r="Q89" s="106">
        <f t="shared" si="3"/>
        <v>3203.3999387586405</v>
      </c>
      <c r="R89" s="106">
        <f t="shared" si="3"/>
        <v>3203.3999387586405</v>
      </c>
      <c r="S89" s="106">
        <f t="shared" si="3"/>
        <v>3203.3999387586405</v>
      </c>
      <c r="T89" s="106">
        <f t="shared" si="3"/>
        <v>3203.3999387586405</v>
      </c>
      <c r="U89" s="106">
        <f t="shared" si="3"/>
        <v>3203.3999387586405</v>
      </c>
      <c r="V89" s="106">
        <f t="shared" si="3"/>
        <v>3203.3999387586405</v>
      </c>
      <c r="W89" s="106">
        <f t="shared" si="3"/>
        <v>3203.3999387586405</v>
      </c>
      <c r="X89" s="106">
        <f t="shared" si="3"/>
        <v>3203.3999387586405</v>
      </c>
      <c r="Y89" s="106">
        <f t="shared" si="3"/>
        <v>3203.3999387586405</v>
      </c>
      <c r="Z89" s="106">
        <f t="shared" si="3"/>
        <v>3203.3999387586405</v>
      </c>
      <c r="AA89" s="106">
        <f t="shared" si="3"/>
        <v>3203.3999387586405</v>
      </c>
      <c r="AB89" s="106">
        <f t="shared" si="3"/>
        <v>3203.3999387586405</v>
      </c>
      <c r="AC89" s="106">
        <f t="shared" si="3"/>
        <v>3203.3999387586405</v>
      </c>
      <c r="AD89" s="106">
        <f t="shared" si="3"/>
        <v>3203.3999387586405</v>
      </c>
      <c r="AE89" s="106">
        <f t="shared" si="3"/>
        <v>3203.3999387586405</v>
      </c>
      <c r="AF89" s="106">
        <f t="shared" si="3"/>
        <v>3203.3999387586405</v>
      </c>
      <c r="AG89" s="106">
        <f t="shared" si="3"/>
        <v>3203.3999387586405</v>
      </c>
      <c r="AH89" s="106">
        <f t="shared" si="3"/>
        <v>3203.3999387586405</v>
      </c>
      <c r="AI89" s="106">
        <f t="shared" si="3"/>
        <v>3203.3999387586405</v>
      </c>
      <c r="AJ89" s="106">
        <f t="shared" si="3"/>
        <v>3203.3999387586405</v>
      </c>
      <c r="AK89" s="106">
        <f t="shared" si="3"/>
        <v>3203.3999387586405</v>
      </c>
      <c r="AL89" s="106">
        <f t="shared" si="3"/>
        <v>3203.3999387586405</v>
      </c>
      <c r="AM89" s="106">
        <f t="shared" si="3"/>
        <v>3203.3999387586405</v>
      </c>
      <c r="AN89" s="106">
        <f t="shared" si="3"/>
        <v>3203.3999387586405</v>
      </c>
      <c r="AO89" s="106">
        <f t="shared" si="3"/>
        <v>3203.3999387586405</v>
      </c>
      <c r="AP89" s="106">
        <f t="shared" si="3"/>
        <v>3203.3999387586405</v>
      </c>
      <c r="AQ89" s="106">
        <f t="shared" si="3"/>
        <v>3203.3999387586405</v>
      </c>
      <c r="AR89" s="106">
        <f t="shared" si="3"/>
        <v>3203.3999387586405</v>
      </c>
      <c r="AS89" s="106">
        <f t="shared" si="3"/>
        <v>3203.3999387586405</v>
      </c>
      <c r="AT89" s="106">
        <f t="shared" si="3"/>
        <v>3203.3999387586405</v>
      </c>
      <c r="AU89" s="106">
        <f t="shared" si="3"/>
        <v>3203.3999387586405</v>
      </c>
      <c r="AV89" s="106">
        <f t="shared" si="3"/>
        <v>3203.3999387586405</v>
      </c>
      <c r="AW89" s="106">
        <f t="shared" si="3"/>
        <v>3203.3999387586405</v>
      </c>
      <c r="AX89" s="106">
        <f t="shared" si="3"/>
        <v>3203.3999387586405</v>
      </c>
    </row>
    <row r="90" spans="2:50" x14ac:dyDescent="0.2">
      <c r="B90" s="105" t="s">
        <v>106</v>
      </c>
      <c r="C90" s="106">
        <f t="shared" ref="C90:R93" si="4">C50</f>
        <v>2958.1665880602222</v>
      </c>
      <c r="D90" s="106">
        <f t="shared" si="4"/>
        <v>2958.1665880602222</v>
      </c>
      <c r="E90" s="106">
        <f t="shared" si="4"/>
        <v>2958.1665880602222</v>
      </c>
      <c r="F90" s="106">
        <f t="shared" si="4"/>
        <v>2958.1665880602222</v>
      </c>
      <c r="G90" s="106">
        <f t="shared" si="4"/>
        <v>2021.9633411880502</v>
      </c>
      <c r="H90" s="106">
        <f t="shared" si="4"/>
        <v>2958.1665880602222</v>
      </c>
      <c r="I90" s="106">
        <f t="shared" si="4"/>
        <v>2958.1665880602222</v>
      </c>
      <c r="J90" s="106">
        <f t="shared" si="4"/>
        <v>2958.1665880602222</v>
      </c>
      <c r="K90" s="106">
        <f t="shared" si="4"/>
        <v>2958.1665880602222</v>
      </c>
      <c r="L90" s="106">
        <f t="shared" si="4"/>
        <v>2958.1665880602222</v>
      </c>
      <c r="M90" s="106">
        <f t="shared" si="4"/>
        <v>2958.1665880602222</v>
      </c>
      <c r="N90" s="106">
        <f t="shared" si="4"/>
        <v>2958.1665880602222</v>
      </c>
      <c r="O90" s="106">
        <f t="shared" si="4"/>
        <v>2958.1665880602222</v>
      </c>
      <c r="P90" s="106">
        <f t="shared" si="4"/>
        <v>2958.1665880602222</v>
      </c>
      <c r="Q90" s="106">
        <f t="shared" si="4"/>
        <v>2958.1665880602222</v>
      </c>
      <c r="R90" s="106">
        <f t="shared" si="4"/>
        <v>2958.1665880602222</v>
      </c>
      <c r="S90" s="106">
        <f t="shared" si="3"/>
        <v>2958.1665880602222</v>
      </c>
      <c r="T90" s="106">
        <f t="shared" si="3"/>
        <v>2958.1665880602222</v>
      </c>
      <c r="U90" s="106">
        <f t="shared" si="3"/>
        <v>2958.1665880602222</v>
      </c>
      <c r="V90" s="106">
        <f t="shared" si="3"/>
        <v>2958.1665880602222</v>
      </c>
      <c r="W90" s="106">
        <f t="shared" si="3"/>
        <v>2958.1665880602222</v>
      </c>
      <c r="X90" s="106">
        <f t="shared" si="3"/>
        <v>2958.1665880602222</v>
      </c>
      <c r="Y90" s="106">
        <f t="shared" si="3"/>
        <v>2958.1665880602222</v>
      </c>
      <c r="Z90" s="106">
        <f t="shared" si="3"/>
        <v>2958.1665880602222</v>
      </c>
      <c r="AA90" s="106">
        <f t="shared" si="3"/>
        <v>2958.1665880602222</v>
      </c>
      <c r="AB90" s="106">
        <f t="shared" si="3"/>
        <v>528.16845020750054</v>
      </c>
      <c r="AC90" s="106">
        <f t="shared" si="3"/>
        <v>529.21560616810632</v>
      </c>
      <c r="AD90" s="106">
        <f t="shared" si="3"/>
        <v>530.25847018636262</v>
      </c>
      <c r="AE90" s="106">
        <f t="shared" si="3"/>
        <v>2958.1665880602222</v>
      </c>
      <c r="AF90" s="106">
        <f t="shared" si="3"/>
        <v>2958.1665880602222</v>
      </c>
      <c r="AG90" s="106">
        <f t="shared" si="3"/>
        <v>2958.1665880602222</v>
      </c>
      <c r="AH90" s="106">
        <f t="shared" si="3"/>
        <v>2958.1665880602222</v>
      </c>
      <c r="AI90" s="106">
        <f t="shared" si="3"/>
        <v>2958.1665880602222</v>
      </c>
      <c r="AJ90" s="106">
        <f t="shared" si="3"/>
        <v>2958.1665880602222</v>
      </c>
      <c r="AK90" s="106">
        <f t="shared" si="3"/>
        <v>2958.1665880602222</v>
      </c>
      <c r="AL90" s="106">
        <f t="shared" si="3"/>
        <v>2958.1665880602222</v>
      </c>
      <c r="AM90" s="106">
        <f t="shared" si="3"/>
        <v>2958.1665880602222</v>
      </c>
      <c r="AN90" s="106">
        <f t="shared" si="3"/>
        <v>2958.1665880602222</v>
      </c>
      <c r="AO90" s="106">
        <f t="shared" si="3"/>
        <v>2958.1665880602222</v>
      </c>
      <c r="AP90" s="106">
        <f t="shared" si="3"/>
        <v>2958.1665880602222</v>
      </c>
      <c r="AQ90" s="106">
        <f t="shared" si="3"/>
        <v>2958.1665880602222</v>
      </c>
      <c r="AR90" s="106">
        <f t="shared" si="3"/>
        <v>2958.1665880602222</v>
      </c>
      <c r="AS90" s="106">
        <f t="shared" si="3"/>
        <v>2958.1665880602222</v>
      </c>
      <c r="AT90" s="106">
        <f t="shared" si="3"/>
        <v>2958.1665880602222</v>
      </c>
      <c r="AU90" s="106">
        <f t="shared" si="3"/>
        <v>2958.1665880602222</v>
      </c>
      <c r="AV90" s="106">
        <f t="shared" si="3"/>
        <v>2958.1665880602222</v>
      </c>
      <c r="AW90" s="106">
        <f t="shared" si="3"/>
        <v>2958.1665880602222</v>
      </c>
      <c r="AX90" s="106">
        <f t="shared" si="3"/>
        <v>2958.1665880602222</v>
      </c>
    </row>
    <row r="91" spans="2:50" x14ac:dyDescent="0.2">
      <c r="B91" s="105" t="s">
        <v>107</v>
      </c>
      <c r="C91" s="106">
        <f t="shared" si="4"/>
        <v>0</v>
      </c>
      <c r="D91" s="106">
        <f t="shared" si="3"/>
        <v>0</v>
      </c>
      <c r="E91" s="106">
        <f t="shared" si="3"/>
        <v>0</v>
      </c>
      <c r="F91" s="106">
        <f t="shared" si="3"/>
        <v>0</v>
      </c>
      <c r="G91" s="106">
        <f t="shared" si="3"/>
        <v>0</v>
      </c>
      <c r="H91" s="106">
        <f t="shared" si="3"/>
        <v>0</v>
      </c>
      <c r="I91" s="106">
        <f t="shared" si="3"/>
        <v>0</v>
      </c>
      <c r="J91" s="106">
        <f t="shared" si="3"/>
        <v>0</v>
      </c>
      <c r="K91" s="106">
        <f t="shared" si="3"/>
        <v>0</v>
      </c>
      <c r="L91" s="106">
        <f t="shared" si="3"/>
        <v>0</v>
      </c>
      <c r="M91" s="106">
        <f t="shared" si="3"/>
        <v>0</v>
      </c>
      <c r="N91" s="106">
        <f t="shared" si="3"/>
        <v>0</v>
      </c>
      <c r="O91" s="106">
        <f t="shared" si="3"/>
        <v>0</v>
      </c>
      <c r="P91" s="106">
        <f t="shared" si="3"/>
        <v>0</v>
      </c>
      <c r="Q91" s="106">
        <f t="shared" si="3"/>
        <v>0</v>
      </c>
      <c r="R91" s="106">
        <f t="shared" si="3"/>
        <v>0</v>
      </c>
      <c r="S91" s="106">
        <f t="shared" si="3"/>
        <v>0</v>
      </c>
      <c r="T91" s="106">
        <f t="shared" si="3"/>
        <v>0</v>
      </c>
      <c r="U91" s="106">
        <f t="shared" si="3"/>
        <v>0</v>
      </c>
      <c r="V91" s="106">
        <f t="shared" si="3"/>
        <v>0</v>
      </c>
      <c r="W91" s="106">
        <f t="shared" si="3"/>
        <v>0</v>
      </c>
      <c r="X91" s="106">
        <f t="shared" si="3"/>
        <v>0</v>
      </c>
      <c r="Y91" s="106">
        <f t="shared" si="3"/>
        <v>0</v>
      </c>
      <c r="Z91" s="106">
        <f t="shared" si="3"/>
        <v>0</v>
      </c>
      <c r="AA91" s="106">
        <f t="shared" si="3"/>
        <v>0</v>
      </c>
      <c r="AB91" s="106">
        <f t="shared" si="3"/>
        <v>0</v>
      </c>
      <c r="AC91" s="106">
        <f t="shared" si="3"/>
        <v>0</v>
      </c>
      <c r="AD91" s="106">
        <f t="shared" si="3"/>
        <v>0</v>
      </c>
      <c r="AE91" s="106">
        <f t="shared" si="3"/>
        <v>0</v>
      </c>
      <c r="AF91" s="106">
        <f t="shared" si="3"/>
        <v>0</v>
      </c>
      <c r="AG91" s="106">
        <f t="shared" si="3"/>
        <v>0</v>
      </c>
      <c r="AH91" s="106">
        <f t="shared" si="3"/>
        <v>0</v>
      </c>
      <c r="AI91" s="106">
        <f t="shared" si="3"/>
        <v>0</v>
      </c>
      <c r="AJ91" s="106">
        <f t="shared" si="3"/>
        <v>0</v>
      </c>
      <c r="AK91" s="106">
        <f t="shared" si="3"/>
        <v>0</v>
      </c>
      <c r="AL91" s="106">
        <f t="shared" si="3"/>
        <v>0</v>
      </c>
      <c r="AM91" s="106">
        <f t="shared" si="3"/>
        <v>0</v>
      </c>
      <c r="AN91" s="106">
        <f t="shared" si="3"/>
        <v>0</v>
      </c>
      <c r="AO91" s="106">
        <f t="shared" si="3"/>
        <v>0</v>
      </c>
      <c r="AP91" s="106">
        <f t="shared" si="3"/>
        <v>0</v>
      </c>
      <c r="AQ91" s="106">
        <f t="shared" si="3"/>
        <v>0</v>
      </c>
      <c r="AR91" s="106">
        <f t="shared" si="3"/>
        <v>0</v>
      </c>
      <c r="AS91" s="106">
        <f t="shared" si="3"/>
        <v>0</v>
      </c>
      <c r="AT91" s="106">
        <f t="shared" si="3"/>
        <v>0</v>
      </c>
      <c r="AU91" s="106">
        <f t="shared" si="3"/>
        <v>0</v>
      </c>
      <c r="AV91" s="106">
        <f t="shared" si="3"/>
        <v>0</v>
      </c>
      <c r="AW91" s="106">
        <f t="shared" si="3"/>
        <v>0</v>
      </c>
      <c r="AX91" s="106">
        <f t="shared" si="3"/>
        <v>0</v>
      </c>
    </row>
    <row r="92" spans="2:50" x14ac:dyDescent="0.2">
      <c r="B92" s="105" t="s">
        <v>108</v>
      </c>
      <c r="C92" s="106">
        <f t="shared" si="4"/>
        <v>0</v>
      </c>
      <c r="D92" s="106">
        <f t="shared" si="4"/>
        <v>0</v>
      </c>
      <c r="E92" s="106">
        <f t="shared" si="4"/>
        <v>0</v>
      </c>
      <c r="F92" s="106">
        <f t="shared" si="4"/>
        <v>0</v>
      </c>
      <c r="G92" s="106">
        <f t="shared" si="4"/>
        <v>0</v>
      </c>
      <c r="H92" s="106">
        <f t="shared" si="4"/>
        <v>0</v>
      </c>
      <c r="I92" s="106">
        <f t="shared" si="4"/>
        <v>0</v>
      </c>
      <c r="J92" s="106">
        <f t="shared" si="4"/>
        <v>0</v>
      </c>
      <c r="K92" s="106">
        <f t="shared" si="4"/>
        <v>0</v>
      </c>
      <c r="L92" s="106">
        <f t="shared" si="4"/>
        <v>0</v>
      </c>
      <c r="M92" s="106">
        <f t="shared" si="4"/>
        <v>0</v>
      </c>
      <c r="N92" s="106">
        <f t="shared" si="4"/>
        <v>0</v>
      </c>
      <c r="O92" s="106">
        <f t="shared" si="4"/>
        <v>0</v>
      </c>
      <c r="P92" s="106">
        <f t="shared" si="4"/>
        <v>0</v>
      </c>
      <c r="Q92" s="106">
        <f t="shared" si="4"/>
        <v>0</v>
      </c>
      <c r="R92" s="106">
        <f t="shared" si="4"/>
        <v>0</v>
      </c>
      <c r="S92" s="106">
        <f t="shared" si="3"/>
        <v>0</v>
      </c>
      <c r="T92" s="106">
        <f t="shared" si="3"/>
        <v>0</v>
      </c>
      <c r="U92" s="106">
        <f t="shared" si="3"/>
        <v>0</v>
      </c>
      <c r="V92" s="106">
        <f t="shared" si="3"/>
        <v>0</v>
      </c>
      <c r="W92" s="106">
        <f t="shared" si="3"/>
        <v>0</v>
      </c>
      <c r="X92" s="106">
        <f t="shared" si="3"/>
        <v>0</v>
      </c>
      <c r="Y92" s="106">
        <f t="shared" si="3"/>
        <v>0</v>
      </c>
      <c r="Z92" s="106">
        <f t="shared" si="3"/>
        <v>0</v>
      </c>
      <c r="AA92" s="106">
        <f t="shared" si="3"/>
        <v>0</v>
      </c>
      <c r="AB92" s="106">
        <f t="shared" si="3"/>
        <v>0</v>
      </c>
      <c r="AC92" s="106">
        <f t="shared" si="3"/>
        <v>0</v>
      </c>
      <c r="AD92" s="106">
        <f t="shared" si="3"/>
        <v>0</v>
      </c>
      <c r="AE92" s="106">
        <f t="shared" si="3"/>
        <v>0</v>
      </c>
      <c r="AF92" s="106">
        <f t="shared" si="3"/>
        <v>0</v>
      </c>
      <c r="AG92" s="106">
        <f t="shared" si="3"/>
        <v>0</v>
      </c>
      <c r="AH92" s="106">
        <f t="shared" si="3"/>
        <v>0</v>
      </c>
      <c r="AI92" s="106">
        <f t="shared" si="3"/>
        <v>0</v>
      </c>
      <c r="AJ92" s="106">
        <f t="shared" si="3"/>
        <v>0</v>
      </c>
      <c r="AK92" s="106">
        <f t="shared" si="3"/>
        <v>0</v>
      </c>
      <c r="AL92" s="106">
        <f t="shared" si="3"/>
        <v>0</v>
      </c>
      <c r="AM92" s="106">
        <f t="shared" si="3"/>
        <v>0</v>
      </c>
      <c r="AN92" s="106">
        <f t="shared" si="3"/>
        <v>0</v>
      </c>
      <c r="AO92" s="106">
        <f t="shared" si="3"/>
        <v>0</v>
      </c>
      <c r="AP92" s="106">
        <f t="shared" si="3"/>
        <v>0</v>
      </c>
      <c r="AQ92" s="106">
        <f t="shared" si="3"/>
        <v>0</v>
      </c>
      <c r="AR92" s="106">
        <f t="shared" si="3"/>
        <v>0</v>
      </c>
      <c r="AS92" s="106">
        <f t="shared" si="3"/>
        <v>0</v>
      </c>
      <c r="AT92" s="106">
        <f t="shared" si="3"/>
        <v>0</v>
      </c>
      <c r="AU92" s="106">
        <f t="shared" si="3"/>
        <v>0</v>
      </c>
      <c r="AV92" s="106">
        <f t="shared" si="3"/>
        <v>0</v>
      </c>
      <c r="AW92" s="106">
        <f t="shared" si="3"/>
        <v>0</v>
      </c>
      <c r="AX92" s="106">
        <f t="shared" si="3"/>
        <v>0</v>
      </c>
    </row>
    <row r="93" spans="2:50" x14ac:dyDescent="0.2">
      <c r="B93" s="105" t="s">
        <v>109</v>
      </c>
      <c r="C93" s="106">
        <f t="shared" si="4"/>
        <v>0</v>
      </c>
      <c r="D93" s="106">
        <f t="shared" si="4"/>
        <v>0</v>
      </c>
      <c r="E93" s="106">
        <f t="shared" si="4"/>
        <v>0</v>
      </c>
      <c r="F93" s="106">
        <f t="shared" si="4"/>
        <v>0</v>
      </c>
      <c r="G93" s="106">
        <f t="shared" si="4"/>
        <v>0</v>
      </c>
      <c r="H93" s="106">
        <f t="shared" si="4"/>
        <v>0</v>
      </c>
      <c r="I93" s="106">
        <f t="shared" si="4"/>
        <v>0</v>
      </c>
      <c r="J93" s="106">
        <f t="shared" si="4"/>
        <v>0</v>
      </c>
      <c r="K93" s="106">
        <f t="shared" si="4"/>
        <v>0</v>
      </c>
      <c r="L93" s="106">
        <f t="shared" si="4"/>
        <v>0</v>
      </c>
      <c r="M93" s="106">
        <f t="shared" si="4"/>
        <v>0</v>
      </c>
      <c r="N93" s="106">
        <f t="shared" si="4"/>
        <v>0</v>
      </c>
      <c r="O93" s="106">
        <f t="shared" si="4"/>
        <v>0</v>
      </c>
      <c r="P93" s="106">
        <f t="shared" si="4"/>
        <v>0</v>
      </c>
      <c r="Q93" s="106">
        <f t="shared" si="4"/>
        <v>0</v>
      </c>
      <c r="R93" s="106">
        <f t="shared" si="4"/>
        <v>0</v>
      </c>
      <c r="S93" s="106">
        <f t="shared" si="3"/>
        <v>0</v>
      </c>
      <c r="T93" s="106">
        <f t="shared" si="3"/>
        <v>0</v>
      </c>
      <c r="U93" s="106">
        <f t="shared" si="3"/>
        <v>0</v>
      </c>
      <c r="V93" s="106">
        <f t="shared" si="3"/>
        <v>0</v>
      </c>
      <c r="W93" s="106">
        <f t="shared" si="3"/>
        <v>0</v>
      </c>
      <c r="X93" s="106">
        <f t="shared" si="3"/>
        <v>0</v>
      </c>
      <c r="Y93" s="106">
        <f t="shared" si="3"/>
        <v>0</v>
      </c>
      <c r="Z93" s="106">
        <f t="shared" si="3"/>
        <v>0</v>
      </c>
      <c r="AA93" s="106">
        <f t="shared" si="3"/>
        <v>0</v>
      </c>
      <c r="AB93" s="106">
        <f t="shared" si="3"/>
        <v>0</v>
      </c>
      <c r="AC93" s="106">
        <f t="shared" si="3"/>
        <v>0</v>
      </c>
      <c r="AD93" s="106">
        <f t="shared" si="3"/>
        <v>0</v>
      </c>
      <c r="AE93" s="106">
        <f t="shared" si="3"/>
        <v>0</v>
      </c>
      <c r="AF93" s="106">
        <f t="shared" si="3"/>
        <v>0</v>
      </c>
      <c r="AG93" s="106">
        <f t="shared" si="3"/>
        <v>0</v>
      </c>
      <c r="AH93" s="106">
        <f t="shared" si="3"/>
        <v>0</v>
      </c>
      <c r="AI93" s="106">
        <f t="shared" si="3"/>
        <v>0</v>
      </c>
      <c r="AJ93" s="106">
        <f t="shared" si="3"/>
        <v>0</v>
      </c>
      <c r="AK93" s="106">
        <f t="shared" si="3"/>
        <v>0</v>
      </c>
      <c r="AL93" s="106">
        <f t="shared" si="3"/>
        <v>0</v>
      </c>
      <c r="AM93" s="106">
        <f t="shared" si="3"/>
        <v>0</v>
      </c>
      <c r="AN93" s="106">
        <f t="shared" si="3"/>
        <v>0</v>
      </c>
      <c r="AO93" s="106">
        <f t="shared" si="3"/>
        <v>0</v>
      </c>
      <c r="AP93" s="106">
        <f t="shared" si="3"/>
        <v>0</v>
      </c>
      <c r="AQ93" s="106">
        <f t="shared" si="3"/>
        <v>0</v>
      </c>
      <c r="AR93" s="106">
        <f t="shared" si="3"/>
        <v>0</v>
      </c>
      <c r="AS93" s="106">
        <f t="shared" si="3"/>
        <v>0</v>
      </c>
      <c r="AT93" s="106">
        <f t="shared" si="3"/>
        <v>0</v>
      </c>
      <c r="AU93" s="106">
        <f t="shared" si="3"/>
        <v>0</v>
      </c>
      <c r="AV93" s="106">
        <f t="shared" si="3"/>
        <v>0</v>
      </c>
      <c r="AW93" s="106">
        <f t="shared" si="3"/>
        <v>0</v>
      </c>
      <c r="AX93" s="106">
        <f t="shared" si="3"/>
        <v>0</v>
      </c>
    </row>
    <row r="94" spans="2:50" x14ac:dyDescent="0.2">
      <c r="B94" s="107"/>
    </row>
    <row r="95" spans="2:50" x14ac:dyDescent="0.2">
      <c r="B95" s="180" t="s">
        <v>335</v>
      </c>
    </row>
    <row r="96" spans="2:50" x14ac:dyDescent="0.2">
      <c r="B96" s="181"/>
      <c r="C96" s="111" t="s">
        <v>92</v>
      </c>
      <c r="D96" s="107"/>
      <c r="E96" s="107"/>
      <c r="F96" s="107"/>
      <c r="G96" s="111" t="s">
        <v>93</v>
      </c>
      <c r="H96" s="107"/>
      <c r="I96" s="107"/>
      <c r="J96" s="107"/>
      <c r="K96" s="111" t="s">
        <v>94</v>
      </c>
      <c r="L96" s="107"/>
      <c r="M96" s="107"/>
      <c r="N96" s="107"/>
      <c r="O96" s="111" t="s">
        <v>95</v>
      </c>
      <c r="P96" s="107"/>
      <c r="Q96" s="107"/>
      <c r="R96" s="107"/>
      <c r="S96" s="111" t="s">
        <v>96</v>
      </c>
      <c r="T96" s="107"/>
      <c r="U96" s="107"/>
      <c r="V96" s="107"/>
      <c r="W96" s="111" t="s">
        <v>97</v>
      </c>
      <c r="X96" s="107"/>
      <c r="Y96" s="107"/>
      <c r="Z96" s="107"/>
      <c r="AA96" s="111" t="s">
        <v>98</v>
      </c>
      <c r="AB96" s="107"/>
      <c r="AC96" s="107"/>
      <c r="AD96" s="107"/>
      <c r="AE96" s="111" t="s">
        <v>99</v>
      </c>
      <c r="AF96" s="107"/>
      <c r="AG96" s="107"/>
      <c r="AH96" s="107"/>
      <c r="AI96" s="111" t="s">
        <v>100</v>
      </c>
      <c r="AJ96" s="107"/>
      <c r="AK96" s="107"/>
      <c r="AL96" s="107"/>
      <c r="AM96" s="111" t="s">
        <v>101</v>
      </c>
      <c r="AN96" s="107"/>
      <c r="AO96" s="107"/>
      <c r="AP96" s="107"/>
      <c r="AQ96" s="111" t="s">
        <v>102</v>
      </c>
      <c r="AR96" s="107"/>
      <c r="AS96" s="107"/>
      <c r="AT96" s="107"/>
      <c r="AU96" s="111" t="s">
        <v>103</v>
      </c>
      <c r="AV96" s="107"/>
      <c r="AW96" s="107"/>
    </row>
    <row r="97" spans="1:50" x14ac:dyDescent="0.2">
      <c r="A97" s="182" t="s">
        <v>121</v>
      </c>
      <c r="B97" s="182" t="s">
        <v>336</v>
      </c>
      <c r="C97" s="111">
        <v>1</v>
      </c>
      <c r="D97" s="111">
        <v>2</v>
      </c>
      <c r="E97" s="111">
        <v>3</v>
      </c>
      <c r="F97" s="111">
        <v>4</v>
      </c>
      <c r="G97" s="111">
        <v>1</v>
      </c>
      <c r="H97" s="111">
        <v>2</v>
      </c>
      <c r="I97" s="111">
        <v>3</v>
      </c>
      <c r="J97" s="111">
        <v>4</v>
      </c>
      <c r="K97" s="111">
        <v>1</v>
      </c>
      <c r="L97" s="111">
        <v>2</v>
      </c>
      <c r="M97" s="111">
        <v>3</v>
      </c>
      <c r="N97" s="111">
        <v>4</v>
      </c>
      <c r="O97" s="111">
        <v>1</v>
      </c>
      <c r="P97" s="111">
        <v>2</v>
      </c>
      <c r="Q97" s="111">
        <v>3</v>
      </c>
      <c r="R97" s="111">
        <v>4</v>
      </c>
      <c r="S97" s="111">
        <v>1</v>
      </c>
      <c r="T97" s="111">
        <v>2</v>
      </c>
      <c r="U97" s="111">
        <v>3</v>
      </c>
      <c r="V97" s="111">
        <v>4</v>
      </c>
      <c r="W97" s="111">
        <v>1</v>
      </c>
      <c r="X97" s="111">
        <v>2</v>
      </c>
      <c r="Y97" s="111">
        <v>3</v>
      </c>
      <c r="Z97" s="111">
        <v>4</v>
      </c>
      <c r="AA97" s="111">
        <v>1</v>
      </c>
      <c r="AB97" s="111">
        <v>2</v>
      </c>
      <c r="AC97" s="111">
        <v>3</v>
      </c>
      <c r="AD97" s="111">
        <v>4</v>
      </c>
      <c r="AE97" s="111">
        <v>1</v>
      </c>
      <c r="AF97" s="111">
        <v>2</v>
      </c>
      <c r="AG97" s="111">
        <v>3</v>
      </c>
      <c r="AH97" s="111">
        <v>4</v>
      </c>
      <c r="AI97" s="111">
        <v>1</v>
      </c>
      <c r="AJ97" s="111">
        <v>2</v>
      </c>
      <c r="AK97" s="111">
        <v>3</v>
      </c>
      <c r="AL97" s="111">
        <v>4</v>
      </c>
      <c r="AM97" s="111">
        <v>1</v>
      </c>
      <c r="AN97" s="111">
        <v>2</v>
      </c>
      <c r="AO97" s="111">
        <v>3</v>
      </c>
      <c r="AP97" s="111">
        <v>4</v>
      </c>
      <c r="AQ97" s="111">
        <v>1</v>
      </c>
      <c r="AR97" s="111">
        <v>2</v>
      </c>
      <c r="AS97" s="111">
        <v>3</v>
      </c>
      <c r="AT97" s="111">
        <v>4</v>
      </c>
      <c r="AU97" s="111">
        <v>1</v>
      </c>
      <c r="AV97" s="111">
        <v>2</v>
      </c>
      <c r="AW97" s="111">
        <v>3</v>
      </c>
      <c r="AX97" s="111">
        <v>4</v>
      </c>
    </row>
    <row r="98" spans="1:50" x14ac:dyDescent="0.2">
      <c r="A98" s="111" t="s">
        <v>104</v>
      </c>
      <c r="B98" s="111" t="s">
        <v>5</v>
      </c>
      <c r="C98" s="106">
        <v>109367.66217670853</v>
      </c>
      <c r="D98" s="106">
        <v>109367.66217670853</v>
      </c>
      <c r="E98" s="106">
        <v>109367.66217670853</v>
      </c>
      <c r="F98" s="106">
        <v>109367.66217670853</v>
      </c>
      <c r="G98" s="106">
        <v>97215.699712629794</v>
      </c>
      <c r="H98" s="106">
        <v>97215.699712629794</v>
      </c>
      <c r="I98" s="106">
        <v>97215.699712629794</v>
      </c>
      <c r="J98" s="106">
        <v>97215.699712629794</v>
      </c>
      <c r="K98" s="106">
        <v>97215.699712629794</v>
      </c>
      <c r="L98" s="106">
        <v>97215.699712629794</v>
      </c>
      <c r="M98" s="106">
        <v>97215.699712629794</v>
      </c>
      <c r="N98" s="106">
        <v>97215.699712629794</v>
      </c>
      <c r="O98" s="106">
        <v>109367.66217670853</v>
      </c>
      <c r="P98" s="106">
        <v>109367.66217670853</v>
      </c>
      <c r="Q98" s="106">
        <v>109367.66217670853</v>
      </c>
      <c r="R98" s="106">
        <v>109367.66217670853</v>
      </c>
      <c r="S98" s="106">
        <v>97215.699712629794</v>
      </c>
      <c r="T98" s="106">
        <v>97215.699712629794</v>
      </c>
      <c r="U98" s="106">
        <v>97215.699712629794</v>
      </c>
      <c r="V98" s="106">
        <v>97215.699712629794</v>
      </c>
      <c r="W98" s="106">
        <v>97215.699712629794</v>
      </c>
      <c r="X98" s="106">
        <v>97215.699712629794</v>
      </c>
      <c r="Y98" s="106">
        <v>97215.699712629794</v>
      </c>
      <c r="Z98" s="106">
        <v>97215.699712629794</v>
      </c>
      <c r="AA98" s="106">
        <v>109367.66217670853</v>
      </c>
      <c r="AB98" s="106">
        <v>109367.66217670853</v>
      </c>
      <c r="AC98" s="106">
        <v>109367.66217670853</v>
      </c>
      <c r="AD98" s="106">
        <v>109367.66217670853</v>
      </c>
      <c r="AE98" s="106">
        <v>97215.699712629794</v>
      </c>
      <c r="AF98" s="106">
        <v>97215.699712629794</v>
      </c>
      <c r="AG98" s="106">
        <v>97215.699712629794</v>
      </c>
      <c r="AH98" s="106">
        <v>97215.699712629794</v>
      </c>
      <c r="AI98" s="106">
        <v>97215.699712629794</v>
      </c>
      <c r="AJ98" s="106">
        <v>97215.699712629794</v>
      </c>
      <c r="AK98" s="106">
        <v>97215.699712629794</v>
      </c>
      <c r="AL98" s="106">
        <v>97215.699712629794</v>
      </c>
      <c r="AM98" s="106">
        <v>109367.66217670853</v>
      </c>
      <c r="AN98" s="106">
        <v>109367.66217670853</v>
      </c>
      <c r="AO98" s="106">
        <v>109367.66217670853</v>
      </c>
      <c r="AP98" s="106">
        <v>109367.66217670853</v>
      </c>
      <c r="AQ98" s="106">
        <v>97215.699712629794</v>
      </c>
      <c r="AR98" s="106">
        <v>97215.699712629794</v>
      </c>
      <c r="AS98" s="106">
        <v>97215.699712629794</v>
      </c>
      <c r="AT98" s="106">
        <v>97215.699712629794</v>
      </c>
      <c r="AU98" s="106">
        <v>97215.699712629794</v>
      </c>
      <c r="AV98" s="106">
        <v>97215.699712629794</v>
      </c>
      <c r="AW98" s="106">
        <v>97215.699712629794</v>
      </c>
      <c r="AX98" s="106">
        <v>97215.699712629794</v>
      </c>
    </row>
    <row r="99" spans="1:50" x14ac:dyDescent="0.2">
      <c r="B99" s="111" t="s">
        <v>10</v>
      </c>
      <c r="C99" s="106">
        <v>0</v>
      </c>
      <c r="D99" s="106">
        <v>0</v>
      </c>
      <c r="E99" s="106">
        <v>0</v>
      </c>
      <c r="F99" s="106">
        <v>0</v>
      </c>
      <c r="G99" s="106">
        <v>0</v>
      </c>
      <c r="H99" s="106">
        <v>0</v>
      </c>
      <c r="I99" s="106">
        <v>0</v>
      </c>
      <c r="J99" s="106">
        <v>0</v>
      </c>
      <c r="K99" s="106">
        <v>0</v>
      </c>
      <c r="L99" s="106">
        <v>0</v>
      </c>
      <c r="M99" s="106">
        <v>0</v>
      </c>
      <c r="N99" s="106">
        <v>0</v>
      </c>
      <c r="O99" s="106">
        <v>0</v>
      </c>
      <c r="P99" s="106">
        <v>0</v>
      </c>
      <c r="Q99" s="106">
        <v>0</v>
      </c>
      <c r="R99" s="106">
        <v>0</v>
      </c>
      <c r="S99" s="106">
        <v>0</v>
      </c>
      <c r="T99" s="106">
        <v>0</v>
      </c>
      <c r="U99" s="106">
        <v>0</v>
      </c>
      <c r="V99" s="106">
        <v>0</v>
      </c>
      <c r="W99" s="106">
        <v>0</v>
      </c>
      <c r="X99" s="106">
        <v>0</v>
      </c>
      <c r="Y99" s="106">
        <v>0</v>
      </c>
      <c r="Z99" s="106">
        <v>0</v>
      </c>
      <c r="AA99" s="106">
        <v>0</v>
      </c>
      <c r="AB99" s="106">
        <v>0</v>
      </c>
      <c r="AC99" s="106">
        <v>0</v>
      </c>
      <c r="AD99" s="106">
        <v>0</v>
      </c>
      <c r="AE99" s="106">
        <v>0</v>
      </c>
      <c r="AF99" s="106">
        <v>0</v>
      </c>
      <c r="AG99" s="106">
        <v>0</v>
      </c>
      <c r="AH99" s="106">
        <v>0</v>
      </c>
      <c r="AI99" s="106">
        <v>0</v>
      </c>
      <c r="AJ99" s="106">
        <v>0</v>
      </c>
      <c r="AK99" s="106">
        <v>0</v>
      </c>
      <c r="AL99" s="106">
        <v>0</v>
      </c>
      <c r="AM99" s="106">
        <v>0</v>
      </c>
      <c r="AN99" s="106">
        <v>0</v>
      </c>
      <c r="AO99" s="106">
        <v>0</v>
      </c>
      <c r="AP99" s="106">
        <v>0</v>
      </c>
      <c r="AQ99" s="106">
        <v>0</v>
      </c>
      <c r="AR99" s="106">
        <v>0</v>
      </c>
      <c r="AS99" s="106">
        <v>0</v>
      </c>
      <c r="AT99" s="106">
        <v>0</v>
      </c>
      <c r="AU99" s="106">
        <v>0</v>
      </c>
      <c r="AV99" s="106">
        <v>0</v>
      </c>
      <c r="AW99" s="106">
        <v>0</v>
      </c>
      <c r="AX99" s="106">
        <v>0</v>
      </c>
    </row>
    <row r="100" spans="1:50" x14ac:dyDescent="0.2">
      <c r="B100" s="111" t="s">
        <v>12</v>
      </c>
      <c r="C100" s="106">
        <v>980317.42775137722</v>
      </c>
      <c r="D100" s="106">
        <v>980317.42775137722</v>
      </c>
      <c r="E100" s="106">
        <v>980317.42775137722</v>
      </c>
      <c r="F100" s="106">
        <v>980317.42775137722</v>
      </c>
      <c r="G100" s="106">
        <v>871393.26911233517</v>
      </c>
      <c r="H100" s="106">
        <v>871393.26911233517</v>
      </c>
      <c r="I100" s="106">
        <v>871393.26911233517</v>
      </c>
      <c r="J100" s="106">
        <v>871393.26911233517</v>
      </c>
      <c r="K100" s="106">
        <v>871393.26911233517</v>
      </c>
      <c r="L100" s="106">
        <v>871393.26911233517</v>
      </c>
      <c r="M100" s="106">
        <v>871393.26911233517</v>
      </c>
      <c r="N100" s="106">
        <v>871393.26911233517</v>
      </c>
      <c r="O100" s="106">
        <v>980317.42775137722</v>
      </c>
      <c r="P100" s="106">
        <v>980317.42775137722</v>
      </c>
      <c r="Q100" s="106">
        <v>980317.42775137722</v>
      </c>
      <c r="R100" s="106">
        <v>980317.42775137722</v>
      </c>
      <c r="S100" s="106">
        <v>871393.26911233517</v>
      </c>
      <c r="T100" s="106">
        <v>871393.26911233517</v>
      </c>
      <c r="U100" s="106">
        <v>871393.26911233517</v>
      </c>
      <c r="V100" s="106">
        <v>871393.26911233517</v>
      </c>
      <c r="W100" s="106">
        <v>871393.26911233517</v>
      </c>
      <c r="X100" s="106">
        <v>871393.26911233517</v>
      </c>
      <c r="Y100" s="106">
        <v>871393.26911233517</v>
      </c>
      <c r="Z100" s="106">
        <v>871393.26911233517</v>
      </c>
      <c r="AA100" s="106">
        <v>980317.42775137722</v>
      </c>
      <c r="AB100" s="106">
        <v>980317.42775137722</v>
      </c>
      <c r="AC100" s="106">
        <v>980317.42775137722</v>
      </c>
      <c r="AD100" s="106">
        <v>980317.42775137722</v>
      </c>
      <c r="AE100" s="106">
        <v>871393.26911233517</v>
      </c>
      <c r="AF100" s="106">
        <v>871393.26911233517</v>
      </c>
      <c r="AG100" s="106">
        <v>871393.26911233517</v>
      </c>
      <c r="AH100" s="106">
        <v>871393.26911233517</v>
      </c>
      <c r="AI100" s="106">
        <v>871393.26911233517</v>
      </c>
      <c r="AJ100" s="106">
        <v>871393.26911233517</v>
      </c>
      <c r="AK100" s="106">
        <v>871393.26911233517</v>
      </c>
      <c r="AL100" s="106">
        <v>871393.26911233517</v>
      </c>
      <c r="AM100" s="106">
        <v>980317.42775137722</v>
      </c>
      <c r="AN100" s="106">
        <v>980317.42775137722</v>
      </c>
      <c r="AO100" s="106">
        <v>980317.42775137722</v>
      </c>
      <c r="AP100" s="106">
        <v>980317.42775137722</v>
      </c>
      <c r="AQ100" s="106">
        <v>871393.26911233517</v>
      </c>
      <c r="AR100" s="106">
        <v>871393.26911233517</v>
      </c>
      <c r="AS100" s="106">
        <v>871393.26911233517</v>
      </c>
      <c r="AT100" s="106">
        <v>871393.26911233517</v>
      </c>
      <c r="AU100" s="106">
        <v>871393.26911233517</v>
      </c>
      <c r="AV100" s="106">
        <v>871393.26911233517</v>
      </c>
      <c r="AW100" s="106">
        <v>871393.26911233517</v>
      </c>
      <c r="AX100" s="106">
        <v>871393.26911233517</v>
      </c>
    </row>
    <row r="101" spans="1:50" x14ac:dyDescent="0.2">
      <c r="B101" s="111" t="s">
        <v>22</v>
      </c>
      <c r="C101" s="106">
        <v>2534920.5024000001</v>
      </c>
      <c r="D101" s="106">
        <v>2534920.5024000001</v>
      </c>
      <c r="E101" s="106">
        <v>2534920.5024000001</v>
      </c>
      <c r="F101" s="106">
        <v>2534920.5024000001</v>
      </c>
      <c r="G101" s="106">
        <v>2253262.6687999996</v>
      </c>
      <c r="H101" s="106">
        <v>2253262.6687999996</v>
      </c>
      <c r="I101" s="106">
        <v>2253262.6687999996</v>
      </c>
      <c r="J101" s="106">
        <v>2253262.6687999996</v>
      </c>
      <c r="K101" s="106">
        <v>2253262.6687999996</v>
      </c>
      <c r="L101" s="106">
        <v>2253262.6687999996</v>
      </c>
      <c r="M101" s="106">
        <v>2253262.6687999996</v>
      </c>
      <c r="N101" s="106">
        <v>2253262.6687999996</v>
      </c>
      <c r="O101" s="106">
        <v>2534920.5024000001</v>
      </c>
      <c r="P101" s="106">
        <v>2534920.5024000001</v>
      </c>
      <c r="Q101" s="106">
        <v>2534920.5024000001</v>
      </c>
      <c r="R101" s="106">
        <v>2534920.5024000001</v>
      </c>
      <c r="S101" s="106">
        <v>2253262.6687999996</v>
      </c>
      <c r="T101" s="106">
        <v>2253262.6687999996</v>
      </c>
      <c r="U101" s="106">
        <v>2253262.6687999996</v>
      </c>
      <c r="V101" s="106">
        <v>2253262.6687999996</v>
      </c>
      <c r="W101" s="106">
        <v>2253262.6687999996</v>
      </c>
      <c r="X101" s="106">
        <v>2253262.6687999996</v>
      </c>
      <c r="Y101" s="106">
        <v>2253262.6687999996</v>
      </c>
      <c r="Z101" s="106">
        <v>2253262.6687999996</v>
      </c>
      <c r="AA101" s="106">
        <v>2534920.5024000001</v>
      </c>
      <c r="AB101" s="106">
        <v>2534920.5024000001</v>
      </c>
      <c r="AC101" s="106">
        <v>2534920.5024000001</v>
      </c>
      <c r="AD101" s="106">
        <v>2534920.5024000001</v>
      </c>
      <c r="AE101" s="106">
        <v>2253262.6687999996</v>
      </c>
      <c r="AF101" s="106">
        <v>2253262.6687999996</v>
      </c>
      <c r="AG101" s="106">
        <v>2253262.6687999996</v>
      </c>
      <c r="AH101" s="106">
        <v>2253262.6687999996</v>
      </c>
      <c r="AI101" s="106">
        <v>2253262.6687999996</v>
      </c>
      <c r="AJ101" s="106">
        <v>2253262.6687999996</v>
      </c>
      <c r="AK101" s="106">
        <v>2253262.6687999996</v>
      </c>
      <c r="AL101" s="106">
        <v>2253262.6687999996</v>
      </c>
      <c r="AM101" s="106">
        <v>2534920.5024000001</v>
      </c>
      <c r="AN101" s="106">
        <v>2534920.5024000001</v>
      </c>
      <c r="AO101" s="106">
        <v>2534920.5024000001</v>
      </c>
      <c r="AP101" s="106">
        <v>2534920.5024000001</v>
      </c>
      <c r="AQ101" s="106">
        <v>2253262.6687999996</v>
      </c>
      <c r="AR101" s="106">
        <v>2253262.6687999996</v>
      </c>
      <c r="AS101" s="106">
        <v>2253262.6687999996</v>
      </c>
      <c r="AT101" s="106">
        <v>2253262.6687999996</v>
      </c>
      <c r="AU101" s="106">
        <v>2253262.6687999996</v>
      </c>
      <c r="AV101" s="106">
        <v>2253262.6687999996</v>
      </c>
      <c r="AW101" s="106">
        <v>2253262.6687999996</v>
      </c>
      <c r="AX101" s="106">
        <v>2253262.6687999996</v>
      </c>
    </row>
    <row r="102" spans="1:50" x14ac:dyDescent="0.2">
      <c r="B102" s="111" t="s">
        <v>59</v>
      </c>
      <c r="C102" s="106">
        <v>1313443.180342471</v>
      </c>
      <c r="D102" s="106">
        <v>1313443.180342471</v>
      </c>
      <c r="E102" s="106">
        <v>1313443.180342471</v>
      </c>
      <c r="F102" s="106">
        <v>1313443.180342471</v>
      </c>
      <c r="G102" s="106">
        <v>1167505.0491933075</v>
      </c>
      <c r="H102" s="106">
        <v>1167505.0491933075</v>
      </c>
      <c r="I102" s="106">
        <v>1167505.0491933075</v>
      </c>
      <c r="J102" s="106">
        <v>1167505.0491933075</v>
      </c>
      <c r="K102" s="106">
        <v>1167505.0491933075</v>
      </c>
      <c r="L102" s="106">
        <v>1167505.0491933075</v>
      </c>
      <c r="M102" s="106">
        <v>1167505.0491933075</v>
      </c>
      <c r="N102" s="106">
        <v>1167505.0491933075</v>
      </c>
      <c r="O102" s="106">
        <v>1313443.180342471</v>
      </c>
      <c r="P102" s="106">
        <v>1313443.180342471</v>
      </c>
      <c r="Q102" s="106">
        <v>1313443.180342471</v>
      </c>
      <c r="R102" s="106">
        <v>1313443.180342471</v>
      </c>
      <c r="S102" s="106">
        <v>1167505.0491933075</v>
      </c>
      <c r="T102" s="106">
        <v>1167505.0491933075</v>
      </c>
      <c r="U102" s="106">
        <v>1167505.0491933075</v>
      </c>
      <c r="V102" s="106">
        <v>1167505.0491933075</v>
      </c>
      <c r="W102" s="106">
        <v>1167505.0491933075</v>
      </c>
      <c r="X102" s="106">
        <v>1167505.0491933075</v>
      </c>
      <c r="Y102" s="106">
        <v>1167505.0491933075</v>
      </c>
      <c r="Z102" s="106">
        <v>1167505.0491933075</v>
      </c>
      <c r="AA102" s="106">
        <v>1313443.180342471</v>
      </c>
      <c r="AB102" s="106">
        <v>1313443.180342471</v>
      </c>
      <c r="AC102" s="106">
        <v>1313443.180342471</v>
      </c>
      <c r="AD102" s="106">
        <v>1313443.180342471</v>
      </c>
      <c r="AE102" s="106">
        <v>1167505.0491933075</v>
      </c>
      <c r="AF102" s="106">
        <v>1167505.0491933075</v>
      </c>
      <c r="AG102" s="106">
        <v>1167505.0491933075</v>
      </c>
      <c r="AH102" s="106">
        <v>1167505.0491933075</v>
      </c>
      <c r="AI102" s="106">
        <v>1167505.0491933075</v>
      </c>
      <c r="AJ102" s="106">
        <v>1167505.0491933075</v>
      </c>
      <c r="AK102" s="106">
        <v>1167505.0491933075</v>
      </c>
      <c r="AL102" s="106">
        <v>1167505.0491933075</v>
      </c>
      <c r="AM102" s="106">
        <v>1313443.180342471</v>
      </c>
      <c r="AN102" s="106">
        <v>1313443.180342471</v>
      </c>
      <c r="AO102" s="106">
        <v>1313443.180342471</v>
      </c>
      <c r="AP102" s="106">
        <v>1313443.180342471</v>
      </c>
      <c r="AQ102" s="106">
        <v>1167505.0491933075</v>
      </c>
      <c r="AR102" s="106">
        <v>1167505.0491933075</v>
      </c>
      <c r="AS102" s="106">
        <v>1167505.0491933075</v>
      </c>
      <c r="AT102" s="106">
        <v>1167505.0491933075</v>
      </c>
      <c r="AU102" s="106">
        <v>1167505.0491933075</v>
      </c>
      <c r="AV102" s="106">
        <v>1167505.0491933075</v>
      </c>
      <c r="AW102" s="106">
        <v>1167505.0491933075</v>
      </c>
      <c r="AX102" s="106">
        <v>1167505.0491933075</v>
      </c>
    </row>
    <row r="103" spans="1:50" x14ac:dyDescent="0.2">
      <c r="B103" s="106" t="s">
        <v>278</v>
      </c>
      <c r="C103" s="111">
        <f>SUM(C$98:C$102)</f>
        <v>4938048.7726705568</v>
      </c>
      <c r="D103" s="111">
        <f t="shared" ref="D103:AX103" si="5">SUM(D$98:D$102)</f>
        <v>4938048.7726705568</v>
      </c>
      <c r="E103" s="111">
        <f t="shared" si="5"/>
        <v>4938048.7726705568</v>
      </c>
      <c r="F103" s="111">
        <f t="shared" si="5"/>
        <v>4938048.7726705568</v>
      </c>
      <c r="G103" s="111">
        <f t="shared" si="5"/>
        <v>4389376.6868182719</v>
      </c>
      <c r="H103" s="111">
        <f t="shared" si="5"/>
        <v>4389376.6868182719</v>
      </c>
      <c r="I103" s="111">
        <f t="shared" si="5"/>
        <v>4389376.6868182719</v>
      </c>
      <c r="J103" s="111">
        <f t="shared" si="5"/>
        <v>4389376.6868182719</v>
      </c>
      <c r="K103" s="111">
        <f t="shared" si="5"/>
        <v>4389376.6868182719</v>
      </c>
      <c r="L103" s="111">
        <f t="shared" si="5"/>
        <v>4389376.6868182719</v>
      </c>
      <c r="M103" s="111">
        <f t="shared" si="5"/>
        <v>4389376.6868182719</v>
      </c>
      <c r="N103" s="111">
        <f t="shared" si="5"/>
        <v>4389376.6868182719</v>
      </c>
      <c r="O103" s="111">
        <f t="shared" si="5"/>
        <v>4938048.7726705568</v>
      </c>
      <c r="P103" s="111">
        <f t="shared" si="5"/>
        <v>4938048.7726705568</v>
      </c>
      <c r="Q103" s="111">
        <f t="shared" si="5"/>
        <v>4938048.7726705568</v>
      </c>
      <c r="R103" s="111">
        <f t="shared" si="5"/>
        <v>4938048.7726705568</v>
      </c>
      <c r="S103" s="111">
        <f t="shared" si="5"/>
        <v>4389376.6868182719</v>
      </c>
      <c r="T103" s="111">
        <f t="shared" si="5"/>
        <v>4389376.6868182719</v>
      </c>
      <c r="U103" s="111">
        <f t="shared" si="5"/>
        <v>4389376.6868182719</v>
      </c>
      <c r="V103" s="111">
        <f t="shared" si="5"/>
        <v>4389376.6868182719</v>
      </c>
      <c r="W103" s="111">
        <f t="shared" si="5"/>
        <v>4389376.6868182719</v>
      </c>
      <c r="X103" s="111">
        <f t="shared" si="5"/>
        <v>4389376.6868182719</v>
      </c>
      <c r="Y103" s="111">
        <f t="shared" si="5"/>
        <v>4389376.6868182719</v>
      </c>
      <c r="Z103" s="111">
        <f t="shared" si="5"/>
        <v>4389376.6868182719</v>
      </c>
      <c r="AA103" s="111">
        <f t="shared" si="5"/>
        <v>4938048.7726705568</v>
      </c>
      <c r="AB103" s="111">
        <f t="shared" si="5"/>
        <v>4938048.7726705568</v>
      </c>
      <c r="AC103" s="111">
        <f t="shared" si="5"/>
        <v>4938048.7726705568</v>
      </c>
      <c r="AD103" s="111">
        <f t="shared" si="5"/>
        <v>4938048.7726705568</v>
      </c>
      <c r="AE103" s="111">
        <f t="shared" si="5"/>
        <v>4389376.6868182719</v>
      </c>
      <c r="AF103" s="111">
        <f t="shared" si="5"/>
        <v>4389376.6868182719</v>
      </c>
      <c r="AG103" s="111">
        <f t="shared" si="5"/>
        <v>4389376.6868182719</v>
      </c>
      <c r="AH103" s="111">
        <f t="shared" si="5"/>
        <v>4389376.6868182719</v>
      </c>
      <c r="AI103" s="111">
        <f t="shared" si="5"/>
        <v>4389376.6868182719</v>
      </c>
      <c r="AJ103" s="111">
        <f t="shared" si="5"/>
        <v>4389376.6868182719</v>
      </c>
      <c r="AK103" s="111">
        <f t="shared" si="5"/>
        <v>4389376.6868182719</v>
      </c>
      <c r="AL103" s="111">
        <f t="shared" si="5"/>
        <v>4389376.6868182719</v>
      </c>
      <c r="AM103" s="111">
        <f t="shared" si="5"/>
        <v>4938048.7726705568</v>
      </c>
      <c r="AN103" s="111">
        <f t="shared" si="5"/>
        <v>4938048.7726705568</v>
      </c>
      <c r="AO103" s="111">
        <f t="shared" si="5"/>
        <v>4938048.7726705568</v>
      </c>
      <c r="AP103" s="111">
        <f t="shared" si="5"/>
        <v>4938048.7726705568</v>
      </c>
      <c r="AQ103" s="111">
        <f t="shared" si="5"/>
        <v>4389376.6868182719</v>
      </c>
      <c r="AR103" s="111">
        <f t="shared" si="5"/>
        <v>4389376.6868182719</v>
      </c>
      <c r="AS103" s="111">
        <f t="shared" si="5"/>
        <v>4389376.6868182719</v>
      </c>
      <c r="AT103" s="111">
        <f t="shared" si="5"/>
        <v>4389376.6868182719</v>
      </c>
      <c r="AU103" s="111">
        <f t="shared" si="5"/>
        <v>4389376.6868182719</v>
      </c>
      <c r="AV103" s="111">
        <f t="shared" si="5"/>
        <v>4389376.6868182719</v>
      </c>
      <c r="AW103" s="111">
        <f t="shared" si="5"/>
        <v>4389376.6868182719</v>
      </c>
      <c r="AX103" s="111">
        <f t="shared" si="5"/>
        <v>4389376.6868182719</v>
      </c>
    </row>
    <row r="104" spans="1:50" x14ac:dyDescent="0.2">
      <c r="A104" s="111" t="s">
        <v>105</v>
      </c>
      <c r="B104" s="111" t="s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</row>
    <row r="105" spans="1:50" x14ac:dyDescent="0.2">
      <c r="B105" s="111" t="s">
        <v>10</v>
      </c>
      <c r="C105" s="106">
        <v>72412.357484990862</v>
      </c>
      <c r="D105" s="106">
        <v>72412.357484990862</v>
      </c>
      <c r="E105" s="106">
        <v>72412.357484990862</v>
      </c>
      <c r="F105" s="106">
        <v>72412.357484990862</v>
      </c>
      <c r="G105" s="106">
        <v>72412.357484990862</v>
      </c>
      <c r="H105" s="106">
        <v>72412.357484990862</v>
      </c>
      <c r="I105" s="106">
        <v>72412.357484990862</v>
      </c>
      <c r="J105" s="106">
        <v>72412.357484990862</v>
      </c>
      <c r="K105" s="106">
        <v>72412.357484990862</v>
      </c>
      <c r="L105" s="106">
        <v>72412.357484990862</v>
      </c>
      <c r="M105" s="106">
        <v>72412.357484990862</v>
      </c>
      <c r="N105" s="106">
        <v>72412.357484990862</v>
      </c>
      <c r="O105" s="106">
        <v>72412.357484990862</v>
      </c>
      <c r="P105" s="106">
        <v>72412.357484990862</v>
      </c>
      <c r="Q105" s="106">
        <v>72412.357484990862</v>
      </c>
      <c r="R105" s="106">
        <v>72412.357484990862</v>
      </c>
      <c r="S105" s="106">
        <v>72412.357484990862</v>
      </c>
      <c r="T105" s="106">
        <v>72412.357484990862</v>
      </c>
      <c r="U105" s="106">
        <v>72412.357484990862</v>
      </c>
      <c r="V105" s="106">
        <v>72412.357484990862</v>
      </c>
      <c r="W105" s="106">
        <v>72412.357484990862</v>
      </c>
      <c r="X105" s="106">
        <v>72412.357484990862</v>
      </c>
      <c r="Y105" s="106">
        <v>72412.357484990862</v>
      </c>
      <c r="Z105" s="106">
        <v>72412.357484990862</v>
      </c>
      <c r="AA105" s="106">
        <v>72412.357484990862</v>
      </c>
      <c r="AB105" s="106">
        <v>72412.357484990862</v>
      </c>
      <c r="AC105" s="106">
        <v>72412.357484990862</v>
      </c>
      <c r="AD105" s="106">
        <v>72412.357484990862</v>
      </c>
      <c r="AE105" s="106">
        <v>72412.357484990862</v>
      </c>
      <c r="AF105" s="106">
        <v>72412.357484990862</v>
      </c>
      <c r="AG105" s="106">
        <v>72412.357484990862</v>
      </c>
      <c r="AH105" s="106">
        <v>72412.357484990862</v>
      </c>
      <c r="AI105" s="106">
        <v>72412.357484990862</v>
      </c>
      <c r="AJ105" s="106">
        <v>72412.357484990862</v>
      </c>
      <c r="AK105" s="106">
        <v>72412.357484990862</v>
      </c>
      <c r="AL105" s="106">
        <v>72412.357484990862</v>
      </c>
      <c r="AM105" s="106">
        <v>72412.357484990862</v>
      </c>
      <c r="AN105" s="106">
        <v>72412.357484990862</v>
      </c>
      <c r="AO105" s="106">
        <v>72412.357484990862</v>
      </c>
      <c r="AP105" s="106">
        <v>72412.357484990862</v>
      </c>
      <c r="AQ105" s="106">
        <v>72412.357484990862</v>
      </c>
      <c r="AR105" s="106">
        <v>72412.357484990862</v>
      </c>
      <c r="AS105" s="106">
        <v>72412.357484990862</v>
      </c>
      <c r="AT105" s="106">
        <v>72412.357484990862</v>
      </c>
      <c r="AU105" s="106">
        <v>72412.357484990862</v>
      </c>
      <c r="AV105" s="106">
        <v>72412.357484990862</v>
      </c>
      <c r="AW105" s="106">
        <v>72412.357484990862</v>
      </c>
      <c r="AX105" s="106">
        <v>72412.357484990862</v>
      </c>
    </row>
    <row r="106" spans="1:50" x14ac:dyDescent="0.2">
      <c r="B106" s="111" t="s">
        <v>12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</row>
    <row r="107" spans="1:50" x14ac:dyDescent="0.2">
      <c r="B107" s="111" t="s">
        <v>22</v>
      </c>
      <c r="C107" s="106">
        <v>57426.278346636958</v>
      </c>
      <c r="D107" s="106">
        <v>57426.278346636958</v>
      </c>
      <c r="E107" s="106">
        <v>57426.278346636958</v>
      </c>
      <c r="F107" s="106">
        <v>57426.278346636958</v>
      </c>
      <c r="G107" s="106">
        <v>57426.278346636958</v>
      </c>
      <c r="H107" s="106">
        <v>57426.278346636958</v>
      </c>
      <c r="I107" s="106">
        <v>57426.278346636958</v>
      </c>
      <c r="J107" s="106">
        <v>57426.278346636958</v>
      </c>
      <c r="K107" s="106">
        <v>57426.278346636958</v>
      </c>
      <c r="L107" s="106">
        <v>57426.278346636958</v>
      </c>
      <c r="M107" s="106">
        <v>57426.278346636958</v>
      </c>
      <c r="N107" s="106">
        <v>57426.278346636958</v>
      </c>
      <c r="O107" s="106">
        <v>57426.278346636958</v>
      </c>
      <c r="P107" s="106">
        <v>57426.278346636958</v>
      </c>
      <c r="Q107" s="106">
        <v>57426.278346636958</v>
      </c>
      <c r="R107" s="106">
        <v>57426.278346636958</v>
      </c>
      <c r="S107" s="106">
        <v>57426.278346636958</v>
      </c>
      <c r="T107" s="106">
        <v>57426.278346636958</v>
      </c>
      <c r="U107" s="106">
        <v>57426.278346636958</v>
      </c>
      <c r="V107" s="106">
        <v>57426.278346636958</v>
      </c>
      <c r="W107" s="106">
        <v>57426.278346636958</v>
      </c>
      <c r="X107" s="106">
        <v>57426.278346636958</v>
      </c>
      <c r="Y107" s="106">
        <v>57426.278346636958</v>
      </c>
      <c r="Z107" s="106">
        <v>57426.278346636958</v>
      </c>
      <c r="AA107" s="106">
        <v>57426.278346636958</v>
      </c>
      <c r="AB107" s="106">
        <v>57426.278346636958</v>
      </c>
      <c r="AC107" s="106">
        <v>57426.278346636958</v>
      </c>
      <c r="AD107" s="106">
        <v>57426.278346636958</v>
      </c>
      <c r="AE107" s="106">
        <v>57426.278346636958</v>
      </c>
      <c r="AF107" s="106">
        <v>57426.278346636958</v>
      </c>
      <c r="AG107" s="106">
        <v>57426.278346636958</v>
      </c>
      <c r="AH107" s="106">
        <v>57426.278346636958</v>
      </c>
      <c r="AI107" s="106">
        <v>57426.278346636958</v>
      </c>
      <c r="AJ107" s="106">
        <v>57426.278346636958</v>
      </c>
      <c r="AK107" s="106">
        <v>57426.278346636958</v>
      </c>
      <c r="AL107" s="106">
        <v>57426.278346636958</v>
      </c>
      <c r="AM107" s="106">
        <v>57426.278346636958</v>
      </c>
      <c r="AN107" s="106">
        <v>57426.278346636958</v>
      </c>
      <c r="AO107" s="106">
        <v>57426.278346636958</v>
      </c>
      <c r="AP107" s="106">
        <v>57426.278346636958</v>
      </c>
      <c r="AQ107" s="106">
        <v>57426.278346636958</v>
      </c>
      <c r="AR107" s="106">
        <v>57426.278346636958</v>
      </c>
      <c r="AS107" s="106">
        <v>57426.278346636958</v>
      </c>
      <c r="AT107" s="106">
        <v>57426.278346636958</v>
      </c>
      <c r="AU107" s="106">
        <v>57426.278346636958</v>
      </c>
      <c r="AV107" s="106">
        <v>57426.278346636958</v>
      </c>
      <c r="AW107" s="106">
        <v>57426.278346636958</v>
      </c>
      <c r="AX107" s="106">
        <v>57426.278346636958</v>
      </c>
    </row>
    <row r="108" spans="1:50" x14ac:dyDescent="0.2">
      <c r="B108" s="111" t="s">
        <v>59</v>
      </c>
      <c r="C108" s="106">
        <v>1231990.4634140832</v>
      </c>
      <c r="D108" s="106">
        <v>1231990.4634140832</v>
      </c>
      <c r="E108" s="106">
        <v>1231990.4634140832</v>
      </c>
      <c r="F108" s="106">
        <v>1231990.4634140832</v>
      </c>
      <c r="G108" s="106">
        <v>1231990.4634140832</v>
      </c>
      <c r="H108" s="106">
        <v>1231990.4634140832</v>
      </c>
      <c r="I108" s="106">
        <v>1231990.4634140832</v>
      </c>
      <c r="J108" s="106">
        <v>1231990.4634140832</v>
      </c>
      <c r="K108" s="106">
        <v>1231990.4634140832</v>
      </c>
      <c r="L108" s="106">
        <v>1231990.4634140832</v>
      </c>
      <c r="M108" s="106">
        <v>1231990.4634140832</v>
      </c>
      <c r="N108" s="106">
        <v>1231990.4634140832</v>
      </c>
      <c r="O108" s="106">
        <v>1231990.4634140832</v>
      </c>
      <c r="P108" s="106">
        <v>1231990.4634140832</v>
      </c>
      <c r="Q108" s="106">
        <v>1231990.4634140832</v>
      </c>
      <c r="R108" s="106">
        <v>1231990.4634140832</v>
      </c>
      <c r="S108" s="106">
        <v>1231990.4634140832</v>
      </c>
      <c r="T108" s="106">
        <v>1231990.4634140832</v>
      </c>
      <c r="U108" s="106">
        <v>1231990.4634140832</v>
      </c>
      <c r="V108" s="106">
        <v>1231990.4634140832</v>
      </c>
      <c r="W108" s="106">
        <v>1231990.4634140832</v>
      </c>
      <c r="X108" s="106">
        <v>1231990.4634140832</v>
      </c>
      <c r="Y108" s="106">
        <v>1231990.4634140832</v>
      </c>
      <c r="Z108" s="106">
        <v>1231990.4634140832</v>
      </c>
      <c r="AA108" s="106">
        <v>1231990.4634140832</v>
      </c>
      <c r="AB108" s="106">
        <v>1231990.4634140832</v>
      </c>
      <c r="AC108" s="106">
        <v>1231990.4634140832</v>
      </c>
      <c r="AD108" s="106">
        <v>1231990.4634140832</v>
      </c>
      <c r="AE108" s="106">
        <v>1231990.4634140832</v>
      </c>
      <c r="AF108" s="106">
        <v>1231990.4634140832</v>
      </c>
      <c r="AG108" s="106">
        <v>1231990.4634140832</v>
      </c>
      <c r="AH108" s="106">
        <v>1231990.4634140832</v>
      </c>
      <c r="AI108" s="106">
        <v>1231990.4634140832</v>
      </c>
      <c r="AJ108" s="106">
        <v>1231990.4634140832</v>
      </c>
      <c r="AK108" s="106">
        <v>1231990.4634140832</v>
      </c>
      <c r="AL108" s="106">
        <v>1231990.4634140832</v>
      </c>
      <c r="AM108" s="106">
        <v>1231990.4634140832</v>
      </c>
      <c r="AN108" s="106">
        <v>1231990.4634140832</v>
      </c>
      <c r="AO108" s="106">
        <v>1231990.4634140832</v>
      </c>
      <c r="AP108" s="106">
        <v>1231990.4634140832</v>
      </c>
      <c r="AQ108" s="106">
        <v>1231990.4634140832</v>
      </c>
      <c r="AR108" s="106">
        <v>1231990.4634140832</v>
      </c>
      <c r="AS108" s="106">
        <v>1231990.4634140832</v>
      </c>
      <c r="AT108" s="106">
        <v>1231990.4634140832</v>
      </c>
      <c r="AU108" s="106">
        <v>1231990.4634140832</v>
      </c>
      <c r="AV108" s="106">
        <v>1231990.4634140832</v>
      </c>
      <c r="AW108" s="106">
        <v>1231990.4634140832</v>
      </c>
      <c r="AX108" s="106">
        <v>1231990.4634140832</v>
      </c>
    </row>
    <row r="109" spans="1:50" x14ac:dyDescent="0.2">
      <c r="B109" s="107" t="s">
        <v>278</v>
      </c>
      <c r="C109" s="111">
        <f>SUM(C$104:C$108)</f>
        <v>1361829.099245711</v>
      </c>
      <c r="D109" s="111">
        <f t="shared" ref="D109:AX109" si="6">SUM(D$104:D$108)</f>
        <v>1361829.099245711</v>
      </c>
      <c r="E109" s="111">
        <f t="shared" si="6"/>
        <v>1361829.099245711</v>
      </c>
      <c r="F109" s="111">
        <f t="shared" si="6"/>
        <v>1361829.099245711</v>
      </c>
      <c r="G109" s="111">
        <f t="shared" si="6"/>
        <v>1361829.099245711</v>
      </c>
      <c r="H109" s="111">
        <f t="shared" si="6"/>
        <v>1361829.099245711</v>
      </c>
      <c r="I109" s="111">
        <f t="shared" si="6"/>
        <v>1361829.099245711</v>
      </c>
      <c r="J109" s="111">
        <f t="shared" si="6"/>
        <v>1361829.099245711</v>
      </c>
      <c r="K109" s="111">
        <f t="shared" si="6"/>
        <v>1361829.099245711</v>
      </c>
      <c r="L109" s="111">
        <f t="shared" si="6"/>
        <v>1361829.099245711</v>
      </c>
      <c r="M109" s="111">
        <f t="shared" si="6"/>
        <v>1361829.099245711</v>
      </c>
      <c r="N109" s="111">
        <f t="shared" si="6"/>
        <v>1361829.099245711</v>
      </c>
      <c r="O109" s="111">
        <f t="shared" si="6"/>
        <v>1361829.099245711</v>
      </c>
      <c r="P109" s="111">
        <f t="shared" si="6"/>
        <v>1361829.099245711</v>
      </c>
      <c r="Q109" s="111">
        <f t="shared" si="6"/>
        <v>1361829.099245711</v>
      </c>
      <c r="R109" s="111">
        <f t="shared" si="6"/>
        <v>1361829.099245711</v>
      </c>
      <c r="S109" s="111">
        <f t="shared" si="6"/>
        <v>1361829.099245711</v>
      </c>
      <c r="T109" s="111">
        <f t="shared" si="6"/>
        <v>1361829.099245711</v>
      </c>
      <c r="U109" s="111">
        <f t="shared" si="6"/>
        <v>1361829.099245711</v>
      </c>
      <c r="V109" s="111">
        <f t="shared" si="6"/>
        <v>1361829.099245711</v>
      </c>
      <c r="W109" s="111">
        <f t="shared" si="6"/>
        <v>1361829.099245711</v>
      </c>
      <c r="X109" s="111">
        <f t="shared" si="6"/>
        <v>1361829.099245711</v>
      </c>
      <c r="Y109" s="111">
        <f t="shared" si="6"/>
        <v>1361829.099245711</v>
      </c>
      <c r="Z109" s="111">
        <f t="shared" si="6"/>
        <v>1361829.099245711</v>
      </c>
      <c r="AA109" s="111">
        <f t="shared" si="6"/>
        <v>1361829.099245711</v>
      </c>
      <c r="AB109" s="111">
        <f t="shared" si="6"/>
        <v>1361829.099245711</v>
      </c>
      <c r="AC109" s="111">
        <f t="shared" si="6"/>
        <v>1361829.099245711</v>
      </c>
      <c r="AD109" s="111">
        <f t="shared" si="6"/>
        <v>1361829.099245711</v>
      </c>
      <c r="AE109" s="111">
        <f t="shared" si="6"/>
        <v>1361829.099245711</v>
      </c>
      <c r="AF109" s="111">
        <f t="shared" si="6"/>
        <v>1361829.099245711</v>
      </c>
      <c r="AG109" s="111">
        <f t="shared" si="6"/>
        <v>1361829.099245711</v>
      </c>
      <c r="AH109" s="111">
        <f t="shared" si="6"/>
        <v>1361829.099245711</v>
      </c>
      <c r="AI109" s="111">
        <f t="shared" si="6"/>
        <v>1361829.099245711</v>
      </c>
      <c r="AJ109" s="111">
        <f t="shared" si="6"/>
        <v>1361829.099245711</v>
      </c>
      <c r="AK109" s="111">
        <f t="shared" si="6"/>
        <v>1361829.099245711</v>
      </c>
      <c r="AL109" s="111">
        <f t="shared" si="6"/>
        <v>1361829.099245711</v>
      </c>
      <c r="AM109" s="111">
        <f t="shared" si="6"/>
        <v>1361829.099245711</v>
      </c>
      <c r="AN109" s="111">
        <f t="shared" si="6"/>
        <v>1361829.099245711</v>
      </c>
      <c r="AO109" s="111">
        <f t="shared" si="6"/>
        <v>1361829.099245711</v>
      </c>
      <c r="AP109" s="111">
        <f t="shared" si="6"/>
        <v>1361829.099245711</v>
      </c>
      <c r="AQ109" s="111">
        <f t="shared" si="6"/>
        <v>1361829.099245711</v>
      </c>
      <c r="AR109" s="111">
        <f t="shared" si="6"/>
        <v>1361829.099245711</v>
      </c>
      <c r="AS109" s="111">
        <f t="shared" si="6"/>
        <v>1361829.099245711</v>
      </c>
      <c r="AT109" s="111">
        <f t="shared" si="6"/>
        <v>1361829.099245711</v>
      </c>
      <c r="AU109" s="111">
        <f t="shared" si="6"/>
        <v>1361829.099245711</v>
      </c>
      <c r="AV109" s="111">
        <f t="shared" si="6"/>
        <v>1361829.099245711</v>
      </c>
      <c r="AW109" s="111">
        <f t="shared" si="6"/>
        <v>1361829.099245711</v>
      </c>
      <c r="AX109" s="111">
        <f t="shared" si="6"/>
        <v>1361829.099245711</v>
      </c>
    </row>
    <row r="110" spans="1:50" x14ac:dyDescent="0.2">
      <c r="A110" s="111" t="s">
        <v>106</v>
      </c>
      <c r="B110" s="111" t="s">
        <v>5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0</v>
      </c>
      <c r="P110" s="106">
        <v>0</v>
      </c>
      <c r="Q110" s="106">
        <v>0</v>
      </c>
      <c r="R110" s="106">
        <v>0</v>
      </c>
      <c r="S110" s="106">
        <v>0</v>
      </c>
      <c r="T110" s="106">
        <v>0</v>
      </c>
      <c r="U110" s="106">
        <v>0</v>
      </c>
      <c r="V110" s="106">
        <v>0</v>
      </c>
      <c r="W110" s="106">
        <v>0</v>
      </c>
      <c r="X110" s="106">
        <v>0</v>
      </c>
      <c r="Y110" s="106">
        <v>0</v>
      </c>
      <c r="Z110" s="106">
        <v>0</v>
      </c>
      <c r="AA110" s="106">
        <v>0</v>
      </c>
      <c r="AB110" s="106">
        <v>0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0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0</v>
      </c>
      <c r="AU110" s="106">
        <v>0</v>
      </c>
      <c r="AV110" s="106">
        <v>0</v>
      </c>
      <c r="AW110" s="106">
        <v>0</v>
      </c>
      <c r="AX110" s="106">
        <v>0</v>
      </c>
    </row>
    <row r="111" spans="1:50" x14ac:dyDescent="0.2">
      <c r="B111" s="111" t="s">
        <v>10</v>
      </c>
      <c r="C111" s="106">
        <v>104911.02748708996</v>
      </c>
      <c r="D111" s="106">
        <v>104911.02748708996</v>
      </c>
      <c r="E111" s="106">
        <v>104911.02748708996</v>
      </c>
      <c r="F111" s="106">
        <v>104911.02748708996</v>
      </c>
      <c r="G111" s="106">
        <v>71708.69028182984</v>
      </c>
      <c r="H111" s="106">
        <v>104911.02748708996</v>
      </c>
      <c r="I111" s="106">
        <v>104911.02748708996</v>
      </c>
      <c r="J111" s="106">
        <v>104911.02748708996</v>
      </c>
      <c r="K111" s="106">
        <v>104911.02748708996</v>
      </c>
      <c r="L111" s="106">
        <v>104911.02748708996</v>
      </c>
      <c r="M111" s="106">
        <v>104911.02748708996</v>
      </c>
      <c r="N111" s="106">
        <v>104911.02748708996</v>
      </c>
      <c r="O111" s="106">
        <v>104911.02748708996</v>
      </c>
      <c r="P111" s="106">
        <v>104911.02748708996</v>
      </c>
      <c r="Q111" s="106">
        <v>104911.02748708996</v>
      </c>
      <c r="R111" s="106">
        <v>104911.02748708996</v>
      </c>
      <c r="S111" s="106">
        <v>104911.02748708996</v>
      </c>
      <c r="T111" s="106">
        <v>104911.02748708996</v>
      </c>
      <c r="U111" s="106">
        <v>104911.02748708996</v>
      </c>
      <c r="V111" s="106">
        <v>104911.02748708996</v>
      </c>
      <c r="W111" s="106">
        <v>104911.02748708996</v>
      </c>
      <c r="X111" s="106">
        <v>104911.02748708996</v>
      </c>
      <c r="Y111" s="106">
        <v>104911.02748708996</v>
      </c>
      <c r="Z111" s="106">
        <v>104911.02748708996</v>
      </c>
      <c r="AA111" s="106">
        <v>104911.02748708996</v>
      </c>
      <c r="AB111" s="106">
        <v>18731.431495839999</v>
      </c>
      <c r="AC111" s="106">
        <v>18768.568757889334</v>
      </c>
      <c r="AD111" s="106">
        <v>18805.553806711865</v>
      </c>
      <c r="AE111" s="106">
        <v>104911.02748708996</v>
      </c>
      <c r="AF111" s="106">
        <v>104911.02748708996</v>
      </c>
      <c r="AG111" s="106">
        <v>104911.02748708996</v>
      </c>
      <c r="AH111" s="106">
        <v>104911.02748708996</v>
      </c>
      <c r="AI111" s="106">
        <v>104911.02748708996</v>
      </c>
      <c r="AJ111" s="106">
        <v>104911.02748708996</v>
      </c>
      <c r="AK111" s="106">
        <v>104911.02748708996</v>
      </c>
      <c r="AL111" s="106">
        <v>104911.02748708996</v>
      </c>
      <c r="AM111" s="106">
        <v>104911.02748708996</v>
      </c>
      <c r="AN111" s="106">
        <v>104911.02748708996</v>
      </c>
      <c r="AO111" s="106">
        <v>104911.02748708996</v>
      </c>
      <c r="AP111" s="106">
        <v>104911.02748708996</v>
      </c>
      <c r="AQ111" s="106">
        <v>104911.02748708996</v>
      </c>
      <c r="AR111" s="106">
        <v>104911.02748708996</v>
      </c>
      <c r="AS111" s="106">
        <v>104911.02748708996</v>
      </c>
      <c r="AT111" s="106">
        <v>104911.02748708996</v>
      </c>
      <c r="AU111" s="106">
        <v>104911.02748708996</v>
      </c>
      <c r="AV111" s="106">
        <v>104911.02748708996</v>
      </c>
      <c r="AW111" s="106">
        <v>104911.02748708996</v>
      </c>
      <c r="AX111" s="106">
        <v>104911.02748708996</v>
      </c>
    </row>
    <row r="112" spans="1:50" x14ac:dyDescent="0.2">
      <c r="B112" s="111" t="s">
        <v>12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</row>
    <row r="113" spans="1:50" x14ac:dyDescent="0.2">
      <c r="B113" s="111" t="s">
        <v>22</v>
      </c>
      <c r="C113" s="106">
        <v>25629.323466382564</v>
      </c>
      <c r="D113" s="106">
        <v>25629.323466382564</v>
      </c>
      <c r="E113" s="106">
        <v>25629.323466382564</v>
      </c>
      <c r="F113" s="106">
        <v>25629.323466382564</v>
      </c>
      <c r="G113" s="106">
        <v>17518.131912394249</v>
      </c>
      <c r="H113" s="106">
        <v>25629.323466382564</v>
      </c>
      <c r="I113" s="106">
        <v>25629.323466382564</v>
      </c>
      <c r="J113" s="106">
        <v>25629.323466382564</v>
      </c>
      <c r="K113" s="106">
        <v>25629.323466382564</v>
      </c>
      <c r="L113" s="106">
        <v>25629.323466382564</v>
      </c>
      <c r="M113" s="106">
        <v>25629.323466382564</v>
      </c>
      <c r="N113" s="106">
        <v>25629.323466382564</v>
      </c>
      <c r="O113" s="106">
        <v>25629.323466382564</v>
      </c>
      <c r="P113" s="106">
        <v>25629.323466382564</v>
      </c>
      <c r="Q113" s="106">
        <v>25629.323466382564</v>
      </c>
      <c r="R113" s="106">
        <v>25629.323466382564</v>
      </c>
      <c r="S113" s="106">
        <v>25629.323466382564</v>
      </c>
      <c r="T113" s="106">
        <v>25629.323466382564</v>
      </c>
      <c r="U113" s="106">
        <v>25629.323466382564</v>
      </c>
      <c r="V113" s="106">
        <v>25629.323466382564</v>
      </c>
      <c r="W113" s="106">
        <v>25629.323466382564</v>
      </c>
      <c r="X113" s="106">
        <v>25629.323466382564</v>
      </c>
      <c r="Y113" s="106">
        <v>25629.323466382564</v>
      </c>
      <c r="Z113" s="106">
        <v>25629.323466382564</v>
      </c>
      <c r="AA113" s="106">
        <v>25629.323466382564</v>
      </c>
      <c r="AB113" s="106">
        <v>4576.0100562769348</v>
      </c>
      <c r="AC113" s="106">
        <v>4585.0825334465571</v>
      </c>
      <c r="AD113" s="106">
        <v>4594.1178255640534</v>
      </c>
      <c r="AE113" s="106">
        <v>25629.323466382564</v>
      </c>
      <c r="AF113" s="106">
        <v>25629.323466382564</v>
      </c>
      <c r="AG113" s="106">
        <v>25629.323466382564</v>
      </c>
      <c r="AH113" s="106">
        <v>25629.323466382564</v>
      </c>
      <c r="AI113" s="106">
        <v>25629.323466382564</v>
      </c>
      <c r="AJ113" s="106">
        <v>25629.323466382564</v>
      </c>
      <c r="AK113" s="106">
        <v>25629.323466382564</v>
      </c>
      <c r="AL113" s="106">
        <v>25629.323466382564</v>
      </c>
      <c r="AM113" s="106">
        <v>25629.323466382564</v>
      </c>
      <c r="AN113" s="106">
        <v>25629.323466382564</v>
      </c>
      <c r="AO113" s="106">
        <v>25629.323466382564</v>
      </c>
      <c r="AP113" s="106">
        <v>25629.323466382564</v>
      </c>
      <c r="AQ113" s="106">
        <v>25629.323466382564</v>
      </c>
      <c r="AR113" s="106">
        <v>25629.323466382564</v>
      </c>
      <c r="AS113" s="106">
        <v>25629.323466382564</v>
      </c>
      <c r="AT113" s="106">
        <v>25629.323466382564</v>
      </c>
      <c r="AU113" s="106">
        <v>25629.323466382564</v>
      </c>
      <c r="AV113" s="106">
        <v>25629.323466382564</v>
      </c>
      <c r="AW113" s="106">
        <v>25629.323466382564</v>
      </c>
      <c r="AX113" s="106">
        <v>25629.323466382564</v>
      </c>
    </row>
    <row r="114" spans="1:50" x14ac:dyDescent="0.2">
      <c r="B114" s="111" t="s">
        <v>59</v>
      </c>
      <c r="C114" s="106">
        <v>478777.59742139117</v>
      </c>
      <c r="D114" s="106">
        <v>478777.59742139117</v>
      </c>
      <c r="E114" s="106">
        <v>478777.59742139117</v>
      </c>
      <c r="F114" s="106">
        <v>478777.59742139117</v>
      </c>
      <c r="G114" s="106">
        <v>327253.62881031743</v>
      </c>
      <c r="H114" s="106">
        <v>478777.59742139117</v>
      </c>
      <c r="I114" s="106">
        <v>478777.59742139117</v>
      </c>
      <c r="J114" s="106">
        <v>478777.59742139117</v>
      </c>
      <c r="K114" s="106">
        <v>478777.59742139117</v>
      </c>
      <c r="L114" s="106">
        <v>478777.59742139117</v>
      </c>
      <c r="M114" s="106">
        <v>478777.59742139117</v>
      </c>
      <c r="N114" s="106">
        <v>478777.59742139117</v>
      </c>
      <c r="O114" s="106">
        <v>478777.59742139117</v>
      </c>
      <c r="P114" s="106">
        <v>478777.59742139117</v>
      </c>
      <c r="Q114" s="106">
        <v>478777.59742139117</v>
      </c>
      <c r="R114" s="106">
        <v>478777.59742139117</v>
      </c>
      <c r="S114" s="106">
        <v>478777.59742139117</v>
      </c>
      <c r="T114" s="106">
        <v>478777.59742139117</v>
      </c>
      <c r="U114" s="106">
        <v>478777.59742139117</v>
      </c>
      <c r="V114" s="106">
        <v>478777.59742139117</v>
      </c>
      <c r="W114" s="106">
        <v>478777.59742139117</v>
      </c>
      <c r="X114" s="106">
        <v>478777.59742139117</v>
      </c>
      <c r="Y114" s="106">
        <v>478777.59742139117</v>
      </c>
      <c r="Z114" s="106">
        <v>478777.59742139117</v>
      </c>
      <c r="AA114" s="106">
        <v>478777.59742139117</v>
      </c>
      <c r="AB114" s="106">
        <v>85483.76641288017</v>
      </c>
      <c r="AC114" s="106">
        <v>85653.248015764839</v>
      </c>
      <c r="AD114" s="106">
        <v>85822.03497019576</v>
      </c>
      <c r="AE114" s="106">
        <v>478777.59742139117</v>
      </c>
      <c r="AF114" s="106">
        <v>478777.59742139117</v>
      </c>
      <c r="AG114" s="106">
        <v>478777.59742139117</v>
      </c>
      <c r="AH114" s="106">
        <v>478777.59742139117</v>
      </c>
      <c r="AI114" s="106">
        <v>478777.59742139117</v>
      </c>
      <c r="AJ114" s="106">
        <v>478777.59742139117</v>
      </c>
      <c r="AK114" s="106">
        <v>478777.59742139117</v>
      </c>
      <c r="AL114" s="106">
        <v>478777.59742139117</v>
      </c>
      <c r="AM114" s="106">
        <v>478777.59742139117</v>
      </c>
      <c r="AN114" s="106">
        <v>478777.59742139117</v>
      </c>
      <c r="AO114" s="106">
        <v>478777.59742139117</v>
      </c>
      <c r="AP114" s="106">
        <v>478777.59742139117</v>
      </c>
      <c r="AQ114" s="106">
        <v>478777.59742139117</v>
      </c>
      <c r="AR114" s="106">
        <v>478777.59742139117</v>
      </c>
      <c r="AS114" s="106">
        <v>478777.59742139117</v>
      </c>
      <c r="AT114" s="106">
        <v>478777.59742139117</v>
      </c>
      <c r="AU114" s="106">
        <v>478777.59742139117</v>
      </c>
      <c r="AV114" s="106">
        <v>478777.59742139117</v>
      </c>
      <c r="AW114" s="106">
        <v>478777.59742139117</v>
      </c>
      <c r="AX114" s="106">
        <v>478777.59742139117</v>
      </c>
    </row>
    <row r="115" spans="1:50" x14ac:dyDescent="0.2">
      <c r="B115" s="106" t="s">
        <v>278</v>
      </c>
      <c r="C115" s="111">
        <f>SUM(C$110:C$114)</f>
        <v>609317.94837486371</v>
      </c>
      <c r="D115" s="111">
        <f t="shared" ref="D115:AX115" si="7">SUM(D$110:D$114)</f>
        <v>609317.94837486371</v>
      </c>
      <c r="E115" s="111">
        <f t="shared" si="7"/>
        <v>609317.94837486371</v>
      </c>
      <c r="F115" s="111">
        <f t="shared" si="7"/>
        <v>609317.94837486371</v>
      </c>
      <c r="G115" s="111">
        <f t="shared" si="7"/>
        <v>416480.45100454154</v>
      </c>
      <c r="H115" s="111">
        <f t="shared" si="7"/>
        <v>609317.94837486371</v>
      </c>
      <c r="I115" s="111">
        <f t="shared" si="7"/>
        <v>609317.94837486371</v>
      </c>
      <c r="J115" s="111">
        <f t="shared" si="7"/>
        <v>609317.94837486371</v>
      </c>
      <c r="K115" s="111">
        <f t="shared" si="7"/>
        <v>609317.94837486371</v>
      </c>
      <c r="L115" s="111">
        <f t="shared" si="7"/>
        <v>609317.94837486371</v>
      </c>
      <c r="M115" s="111">
        <f t="shared" si="7"/>
        <v>609317.94837486371</v>
      </c>
      <c r="N115" s="111">
        <f t="shared" si="7"/>
        <v>609317.94837486371</v>
      </c>
      <c r="O115" s="111">
        <f t="shared" si="7"/>
        <v>609317.94837486371</v>
      </c>
      <c r="P115" s="111">
        <f t="shared" si="7"/>
        <v>609317.94837486371</v>
      </c>
      <c r="Q115" s="111">
        <f t="shared" si="7"/>
        <v>609317.94837486371</v>
      </c>
      <c r="R115" s="111">
        <f t="shared" si="7"/>
        <v>609317.94837486371</v>
      </c>
      <c r="S115" s="111">
        <f t="shared" si="7"/>
        <v>609317.94837486371</v>
      </c>
      <c r="T115" s="111">
        <f t="shared" si="7"/>
        <v>609317.94837486371</v>
      </c>
      <c r="U115" s="111">
        <f t="shared" si="7"/>
        <v>609317.94837486371</v>
      </c>
      <c r="V115" s="111">
        <f t="shared" si="7"/>
        <v>609317.94837486371</v>
      </c>
      <c r="W115" s="111">
        <f t="shared" si="7"/>
        <v>609317.94837486371</v>
      </c>
      <c r="X115" s="111">
        <f t="shared" si="7"/>
        <v>609317.94837486371</v>
      </c>
      <c r="Y115" s="111">
        <f t="shared" si="7"/>
        <v>609317.94837486371</v>
      </c>
      <c r="Z115" s="111">
        <f t="shared" si="7"/>
        <v>609317.94837486371</v>
      </c>
      <c r="AA115" s="111">
        <f t="shared" si="7"/>
        <v>609317.94837486371</v>
      </c>
      <c r="AB115" s="111">
        <f t="shared" si="7"/>
        <v>108791.2079649971</v>
      </c>
      <c r="AC115" s="111">
        <f t="shared" si="7"/>
        <v>109006.89930710073</v>
      </c>
      <c r="AD115" s="111">
        <f t="shared" si="7"/>
        <v>109221.70660247168</v>
      </c>
      <c r="AE115" s="111">
        <f t="shared" si="7"/>
        <v>609317.94837486371</v>
      </c>
      <c r="AF115" s="111">
        <f t="shared" si="7"/>
        <v>609317.94837486371</v>
      </c>
      <c r="AG115" s="111">
        <f t="shared" si="7"/>
        <v>609317.94837486371</v>
      </c>
      <c r="AH115" s="111">
        <f t="shared" si="7"/>
        <v>609317.94837486371</v>
      </c>
      <c r="AI115" s="111">
        <f t="shared" si="7"/>
        <v>609317.94837486371</v>
      </c>
      <c r="AJ115" s="111">
        <f t="shared" si="7"/>
        <v>609317.94837486371</v>
      </c>
      <c r="AK115" s="111">
        <f t="shared" si="7"/>
        <v>609317.94837486371</v>
      </c>
      <c r="AL115" s="111">
        <f t="shared" si="7"/>
        <v>609317.94837486371</v>
      </c>
      <c r="AM115" s="111">
        <f t="shared" si="7"/>
        <v>609317.94837486371</v>
      </c>
      <c r="AN115" s="111">
        <f t="shared" si="7"/>
        <v>609317.94837486371</v>
      </c>
      <c r="AO115" s="111">
        <f t="shared" si="7"/>
        <v>609317.94837486371</v>
      </c>
      <c r="AP115" s="111">
        <f t="shared" si="7"/>
        <v>609317.94837486371</v>
      </c>
      <c r="AQ115" s="111">
        <f t="shared" si="7"/>
        <v>609317.94837486371</v>
      </c>
      <c r="AR115" s="111">
        <f t="shared" si="7"/>
        <v>609317.94837486371</v>
      </c>
      <c r="AS115" s="111">
        <f t="shared" si="7"/>
        <v>609317.94837486371</v>
      </c>
      <c r="AT115" s="111">
        <f t="shared" si="7"/>
        <v>609317.94837486371</v>
      </c>
      <c r="AU115" s="111">
        <f t="shared" si="7"/>
        <v>609317.94837486371</v>
      </c>
      <c r="AV115" s="111">
        <f t="shared" si="7"/>
        <v>609317.94837486371</v>
      </c>
      <c r="AW115" s="111">
        <f t="shared" si="7"/>
        <v>609317.94837486371</v>
      </c>
      <c r="AX115" s="111">
        <f t="shared" si="7"/>
        <v>609317.94837486371</v>
      </c>
    </row>
    <row r="116" spans="1:50" x14ac:dyDescent="0.2">
      <c r="A116" s="111" t="s">
        <v>107</v>
      </c>
      <c r="B116" s="111" t="s">
        <v>5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</row>
    <row r="117" spans="1:50" x14ac:dyDescent="0.2">
      <c r="B117" s="111" t="s">
        <v>10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</row>
    <row r="118" spans="1:50" x14ac:dyDescent="0.2">
      <c r="B118" s="111" t="s">
        <v>12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</row>
    <row r="119" spans="1:50" x14ac:dyDescent="0.2">
      <c r="B119" s="111" t="s">
        <v>22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</row>
    <row r="120" spans="1:50" x14ac:dyDescent="0.2">
      <c r="B120" s="111" t="s">
        <v>59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</row>
    <row r="121" spans="1:50" x14ac:dyDescent="0.2">
      <c r="B121" s="106" t="s">
        <v>278</v>
      </c>
      <c r="C121" s="111">
        <f>SUM(C$116:C$120)</f>
        <v>0</v>
      </c>
      <c r="D121" s="111">
        <f t="shared" ref="D121:AX121" si="8">SUM(D$116:D$120)</f>
        <v>0</v>
      </c>
      <c r="E121" s="111">
        <f t="shared" si="8"/>
        <v>0</v>
      </c>
      <c r="F121" s="111">
        <f t="shared" si="8"/>
        <v>0</v>
      </c>
      <c r="G121" s="111">
        <f t="shared" si="8"/>
        <v>0</v>
      </c>
      <c r="H121" s="111">
        <f t="shared" si="8"/>
        <v>0</v>
      </c>
      <c r="I121" s="111">
        <f t="shared" si="8"/>
        <v>0</v>
      </c>
      <c r="J121" s="111">
        <f t="shared" si="8"/>
        <v>0</v>
      </c>
      <c r="K121" s="111">
        <f t="shared" si="8"/>
        <v>0</v>
      </c>
      <c r="L121" s="111">
        <f t="shared" si="8"/>
        <v>0</v>
      </c>
      <c r="M121" s="111">
        <f t="shared" si="8"/>
        <v>0</v>
      </c>
      <c r="N121" s="111">
        <f t="shared" si="8"/>
        <v>0</v>
      </c>
      <c r="O121" s="111">
        <f t="shared" si="8"/>
        <v>0</v>
      </c>
      <c r="P121" s="111">
        <f t="shared" si="8"/>
        <v>0</v>
      </c>
      <c r="Q121" s="111">
        <f t="shared" si="8"/>
        <v>0</v>
      </c>
      <c r="R121" s="111">
        <f t="shared" si="8"/>
        <v>0</v>
      </c>
      <c r="S121" s="111">
        <f t="shared" si="8"/>
        <v>0</v>
      </c>
      <c r="T121" s="111">
        <f t="shared" si="8"/>
        <v>0</v>
      </c>
      <c r="U121" s="111">
        <f t="shared" si="8"/>
        <v>0</v>
      </c>
      <c r="V121" s="111">
        <f t="shared" si="8"/>
        <v>0</v>
      </c>
      <c r="W121" s="111">
        <f t="shared" si="8"/>
        <v>0</v>
      </c>
      <c r="X121" s="111">
        <f t="shared" si="8"/>
        <v>0</v>
      </c>
      <c r="Y121" s="111">
        <f t="shared" si="8"/>
        <v>0</v>
      </c>
      <c r="Z121" s="111">
        <f t="shared" si="8"/>
        <v>0</v>
      </c>
      <c r="AA121" s="111">
        <f t="shared" si="8"/>
        <v>0</v>
      </c>
      <c r="AB121" s="111">
        <f t="shared" si="8"/>
        <v>0</v>
      </c>
      <c r="AC121" s="111">
        <f t="shared" si="8"/>
        <v>0</v>
      </c>
      <c r="AD121" s="111">
        <f t="shared" si="8"/>
        <v>0</v>
      </c>
      <c r="AE121" s="111">
        <f t="shared" si="8"/>
        <v>0</v>
      </c>
      <c r="AF121" s="111">
        <f t="shared" si="8"/>
        <v>0</v>
      </c>
      <c r="AG121" s="111">
        <f t="shared" si="8"/>
        <v>0</v>
      </c>
      <c r="AH121" s="111">
        <f t="shared" si="8"/>
        <v>0</v>
      </c>
      <c r="AI121" s="111">
        <f t="shared" si="8"/>
        <v>0</v>
      </c>
      <c r="AJ121" s="111">
        <f t="shared" si="8"/>
        <v>0</v>
      </c>
      <c r="AK121" s="111">
        <f t="shared" si="8"/>
        <v>0</v>
      </c>
      <c r="AL121" s="111">
        <f t="shared" si="8"/>
        <v>0</v>
      </c>
      <c r="AM121" s="111">
        <f t="shared" si="8"/>
        <v>0</v>
      </c>
      <c r="AN121" s="111">
        <f t="shared" si="8"/>
        <v>0</v>
      </c>
      <c r="AO121" s="111">
        <f t="shared" si="8"/>
        <v>0</v>
      </c>
      <c r="AP121" s="111">
        <f t="shared" si="8"/>
        <v>0</v>
      </c>
      <c r="AQ121" s="111">
        <f t="shared" si="8"/>
        <v>0</v>
      </c>
      <c r="AR121" s="111">
        <f t="shared" si="8"/>
        <v>0</v>
      </c>
      <c r="AS121" s="111">
        <f t="shared" si="8"/>
        <v>0</v>
      </c>
      <c r="AT121" s="111">
        <f t="shared" si="8"/>
        <v>0</v>
      </c>
      <c r="AU121" s="111">
        <f t="shared" si="8"/>
        <v>0</v>
      </c>
      <c r="AV121" s="111">
        <f t="shared" si="8"/>
        <v>0</v>
      </c>
      <c r="AW121" s="111">
        <f t="shared" si="8"/>
        <v>0</v>
      </c>
      <c r="AX121" s="111">
        <f t="shared" si="8"/>
        <v>0</v>
      </c>
    </row>
    <row r="122" spans="1:50" x14ac:dyDescent="0.2">
      <c r="A122" s="111" t="s">
        <v>108</v>
      </c>
      <c r="B122" s="111" t="s">
        <v>5</v>
      </c>
      <c r="C122" s="106">
        <v>0</v>
      </c>
      <c r="D122" s="106">
        <v>0</v>
      </c>
      <c r="E122" s="106">
        <v>0</v>
      </c>
      <c r="F122" s="106">
        <v>0</v>
      </c>
      <c r="G122" s="106">
        <v>0</v>
      </c>
      <c r="H122" s="106">
        <v>0</v>
      </c>
      <c r="I122" s="106">
        <v>0</v>
      </c>
      <c r="J122" s="106">
        <v>0</v>
      </c>
      <c r="K122" s="106">
        <v>0</v>
      </c>
      <c r="L122" s="106">
        <v>0</v>
      </c>
      <c r="M122" s="106">
        <v>0</v>
      </c>
      <c r="N122" s="106">
        <v>0</v>
      </c>
      <c r="O122" s="106">
        <v>0</v>
      </c>
      <c r="P122" s="106">
        <v>0</v>
      </c>
      <c r="Q122" s="106">
        <v>0</v>
      </c>
      <c r="R122" s="106">
        <v>0</v>
      </c>
      <c r="S122" s="106">
        <v>0</v>
      </c>
      <c r="T122" s="106">
        <v>0</v>
      </c>
      <c r="U122" s="106">
        <v>0</v>
      </c>
      <c r="V122" s="106">
        <v>0</v>
      </c>
      <c r="W122" s="106">
        <v>0</v>
      </c>
      <c r="X122" s="106">
        <v>0</v>
      </c>
      <c r="Y122" s="106">
        <v>0</v>
      </c>
      <c r="Z122" s="106">
        <v>0</v>
      </c>
      <c r="AA122" s="106">
        <v>0</v>
      </c>
      <c r="AB122" s="106">
        <v>0</v>
      </c>
      <c r="AC122" s="106">
        <v>0</v>
      </c>
      <c r="AD122" s="106">
        <v>0</v>
      </c>
      <c r="AE122" s="106">
        <v>0</v>
      </c>
      <c r="AF122" s="106">
        <v>0</v>
      </c>
      <c r="AG122" s="106">
        <v>0</v>
      </c>
      <c r="AH122" s="106">
        <v>0</v>
      </c>
      <c r="AI122" s="106">
        <v>0</v>
      </c>
      <c r="AJ122" s="106">
        <v>0</v>
      </c>
      <c r="AK122" s="106">
        <v>0</v>
      </c>
      <c r="AL122" s="106">
        <v>0</v>
      </c>
      <c r="AM122" s="106">
        <v>0</v>
      </c>
      <c r="AN122" s="106">
        <v>0</v>
      </c>
      <c r="AO122" s="106">
        <v>0</v>
      </c>
      <c r="AP122" s="106">
        <v>0</v>
      </c>
      <c r="AQ122" s="106">
        <v>0</v>
      </c>
      <c r="AR122" s="106">
        <v>0</v>
      </c>
      <c r="AS122" s="106">
        <v>0</v>
      </c>
      <c r="AT122" s="106">
        <v>0</v>
      </c>
      <c r="AU122" s="106">
        <v>0</v>
      </c>
      <c r="AV122" s="106">
        <v>0</v>
      </c>
      <c r="AW122" s="106">
        <v>0</v>
      </c>
      <c r="AX122" s="106">
        <v>0</v>
      </c>
    </row>
    <row r="123" spans="1:50" x14ac:dyDescent="0.2">
      <c r="B123" s="111" t="s">
        <v>10</v>
      </c>
      <c r="C123" s="106">
        <v>0</v>
      </c>
      <c r="D123" s="106">
        <v>0</v>
      </c>
      <c r="E123" s="106">
        <v>0</v>
      </c>
      <c r="F123" s="106">
        <v>0</v>
      </c>
      <c r="G123" s="106">
        <v>0</v>
      </c>
      <c r="H123" s="106">
        <v>0</v>
      </c>
      <c r="I123" s="106">
        <v>0</v>
      </c>
      <c r="J123" s="106">
        <v>0</v>
      </c>
      <c r="K123" s="106">
        <v>0</v>
      </c>
      <c r="L123" s="106">
        <v>0</v>
      </c>
      <c r="M123" s="106">
        <v>0</v>
      </c>
      <c r="N123" s="106">
        <v>0</v>
      </c>
      <c r="O123" s="106">
        <v>0</v>
      </c>
      <c r="P123" s="106">
        <v>0</v>
      </c>
      <c r="Q123" s="106">
        <v>0</v>
      </c>
      <c r="R123" s="106">
        <v>0</v>
      </c>
      <c r="S123" s="106">
        <v>0</v>
      </c>
      <c r="T123" s="106">
        <v>0</v>
      </c>
      <c r="U123" s="106">
        <v>0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0</v>
      </c>
      <c r="AB123" s="106">
        <v>0</v>
      </c>
      <c r="AC123" s="106">
        <v>0</v>
      </c>
      <c r="AD123" s="106">
        <v>0</v>
      </c>
      <c r="AE123" s="106">
        <v>0</v>
      </c>
      <c r="AF123" s="106">
        <v>0</v>
      </c>
      <c r="AG123" s="106">
        <v>0</v>
      </c>
      <c r="AH123" s="106">
        <v>0</v>
      </c>
      <c r="AI123" s="106">
        <v>0</v>
      </c>
      <c r="AJ123" s="106">
        <v>0</v>
      </c>
      <c r="AK123" s="106">
        <v>0</v>
      </c>
      <c r="AL123" s="106">
        <v>0</v>
      </c>
      <c r="AM123" s="106">
        <v>0</v>
      </c>
      <c r="AN123" s="106">
        <v>0</v>
      </c>
      <c r="AO123" s="106">
        <v>0</v>
      </c>
      <c r="AP123" s="106">
        <v>0</v>
      </c>
      <c r="AQ123" s="106">
        <v>0</v>
      </c>
      <c r="AR123" s="106">
        <v>0</v>
      </c>
      <c r="AS123" s="106">
        <v>0</v>
      </c>
      <c r="AT123" s="106">
        <v>0</v>
      </c>
      <c r="AU123" s="106">
        <v>0</v>
      </c>
      <c r="AV123" s="106">
        <v>0</v>
      </c>
      <c r="AW123" s="106">
        <v>0</v>
      </c>
      <c r="AX123" s="106">
        <v>0</v>
      </c>
    </row>
    <row r="124" spans="1:50" x14ac:dyDescent="0.2">
      <c r="B124" s="111" t="s">
        <v>12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</row>
    <row r="125" spans="1:50" x14ac:dyDescent="0.2">
      <c r="B125" s="111" t="s">
        <v>22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</row>
    <row r="126" spans="1:50" x14ac:dyDescent="0.2">
      <c r="B126" s="111" t="s">
        <v>59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</row>
    <row r="127" spans="1:50" x14ac:dyDescent="0.2">
      <c r="B127" s="106" t="s">
        <v>278</v>
      </c>
      <c r="C127" s="111">
        <f>SUM(C$122:C$126)</f>
        <v>0</v>
      </c>
      <c r="D127" s="111">
        <f t="shared" ref="D127:AX127" si="9">SUM(D$122:D$126)</f>
        <v>0</v>
      </c>
      <c r="E127" s="111">
        <f t="shared" si="9"/>
        <v>0</v>
      </c>
      <c r="F127" s="111">
        <f t="shared" si="9"/>
        <v>0</v>
      </c>
      <c r="G127" s="111">
        <f t="shared" si="9"/>
        <v>0</v>
      </c>
      <c r="H127" s="111">
        <f t="shared" si="9"/>
        <v>0</v>
      </c>
      <c r="I127" s="111">
        <f t="shared" si="9"/>
        <v>0</v>
      </c>
      <c r="J127" s="111">
        <f t="shared" si="9"/>
        <v>0</v>
      </c>
      <c r="K127" s="111">
        <f t="shared" si="9"/>
        <v>0</v>
      </c>
      <c r="L127" s="111">
        <f t="shared" si="9"/>
        <v>0</v>
      </c>
      <c r="M127" s="111">
        <f t="shared" si="9"/>
        <v>0</v>
      </c>
      <c r="N127" s="111">
        <f t="shared" si="9"/>
        <v>0</v>
      </c>
      <c r="O127" s="111">
        <f t="shared" si="9"/>
        <v>0</v>
      </c>
      <c r="P127" s="111">
        <f t="shared" si="9"/>
        <v>0</v>
      </c>
      <c r="Q127" s="111">
        <f t="shared" si="9"/>
        <v>0</v>
      </c>
      <c r="R127" s="111">
        <f t="shared" si="9"/>
        <v>0</v>
      </c>
      <c r="S127" s="111">
        <f t="shared" si="9"/>
        <v>0</v>
      </c>
      <c r="T127" s="111">
        <f t="shared" si="9"/>
        <v>0</v>
      </c>
      <c r="U127" s="111">
        <f t="shared" si="9"/>
        <v>0</v>
      </c>
      <c r="V127" s="111">
        <f t="shared" si="9"/>
        <v>0</v>
      </c>
      <c r="W127" s="111">
        <f t="shared" si="9"/>
        <v>0</v>
      </c>
      <c r="X127" s="111">
        <f t="shared" si="9"/>
        <v>0</v>
      </c>
      <c r="Y127" s="111">
        <f t="shared" si="9"/>
        <v>0</v>
      </c>
      <c r="Z127" s="111">
        <f t="shared" si="9"/>
        <v>0</v>
      </c>
      <c r="AA127" s="111">
        <f t="shared" si="9"/>
        <v>0</v>
      </c>
      <c r="AB127" s="111">
        <f t="shared" si="9"/>
        <v>0</v>
      </c>
      <c r="AC127" s="111">
        <f t="shared" si="9"/>
        <v>0</v>
      </c>
      <c r="AD127" s="111">
        <f t="shared" si="9"/>
        <v>0</v>
      </c>
      <c r="AE127" s="111">
        <f t="shared" si="9"/>
        <v>0</v>
      </c>
      <c r="AF127" s="111">
        <f t="shared" si="9"/>
        <v>0</v>
      </c>
      <c r="AG127" s="111">
        <f t="shared" si="9"/>
        <v>0</v>
      </c>
      <c r="AH127" s="111">
        <f t="shared" si="9"/>
        <v>0</v>
      </c>
      <c r="AI127" s="111">
        <f t="shared" si="9"/>
        <v>0</v>
      </c>
      <c r="AJ127" s="111">
        <f t="shared" si="9"/>
        <v>0</v>
      </c>
      <c r="AK127" s="111">
        <f t="shared" si="9"/>
        <v>0</v>
      </c>
      <c r="AL127" s="111">
        <f t="shared" si="9"/>
        <v>0</v>
      </c>
      <c r="AM127" s="111">
        <f t="shared" si="9"/>
        <v>0</v>
      </c>
      <c r="AN127" s="111">
        <f t="shared" si="9"/>
        <v>0</v>
      </c>
      <c r="AO127" s="111">
        <f t="shared" si="9"/>
        <v>0</v>
      </c>
      <c r="AP127" s="111">
        <f t="shared" si="9"/>
        <v>0</v>
      </c>
      <c r="AQ127" s="111">
        <f t="shared" si="9"/>
        <v>0</v>
      </c>
      <c r="AR127" s="111">
        <f t="shared" si="9"/>
        <v>0</v>
      </c>
      <c r="AS127" s="111">
        <f t="shared" si="9"/>
        <v>0</v>
      </c>
      <c r="AT127" s="111">
        <f t="shared" si="9"/>
        <v>0</v>
      </c>
      <c r="AU127" s="111">
        <f t="shared" si="9"/>
        <v>0</v>
      </c>
      <c r="AV127" s="111">
        <f t="shared" si="9"/>
        <v>0</v>
      </c>
      <c r="AW127" s="111">
        <f t="shared" si="9"/>
        <v>0</v>
      </c>
      <c r="AX127" s="111">
        <f t="shared" si="9"/>
        <v>0</v>
      </c>
    </row>
    <row r="128" spans="1:50" x14ac:dyDescent="0.2">
      <c r="A128" s="111" t="s">
        <v>109</v>
      </c>
      <c r="B128" s="111" t="s">
        <v>5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</row>
    <row r="129" spans="2:50" x14ac:dyDescent="0.2">
      <c r="B129" s="111" t="s">
        <v>10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</row>
    <row r="130" spans="2:50" x14ac:dyDescent="0.2">
      <c r="B130" s="111" t="s">
        <v>12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</row>
    <row r="131" spans="2:50" x14ac:dyDescent="0.2">
      <c r="B131" s="111" t="s">
        <v>22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</row>
    <row r="132" spans="2:50" x14ac:dyDescent="0.2">
      <c r="B132" s="111" t="s">
        <v>59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</row>
    <row r="133" spans="2:50" x14ac:dyDescent="0.2">
      <c r="B133" s="106" t="s">
        <v>278</v>
      </c>
      <c r="C133" s="111">
        <f>SUM(C$128:C$132)</f>
        <v>0</v>
      </c>
      <c r="D133" s="111">
        <f t="shared" ref="D133:AX133" si="10">SUM(D$128:D$132)</f>
        <v>0</v>
      </c>
      <c r="E133" s="111">
        <f t="shared" si="10"/>
        <v>0</v>
      </c>
      <c r="F133" s="111">
        <f t="shared" si="10"/>
        <v>0</v>
      </c>
      <c r="G133" s="111">
        <f t="shared" si="10"/>
        <v>0</v>
      </c>
      <c r="H133" s="111">
        <f t="shared" si="10"/>
        <v>0</v>
      </c>
      <c r="I133" s="111">
        <f t="shared" si="10"/>
        <v>0</v>
      </c>
      <c r="J133" s="111">
        <f t="shared" si="10"/>
        <v>0</v>
      </c>
      <c r="K133" s="111">
        <f t="shared" si="10"/>
        <v>0</v>
      </c>
      <c r="L133" s="111">
        <f t="shared" si="10"/>
        <v>0</v>
      </c>
      <c r="M133" s="111">
        <f t="shared" si="10"/>
        <v>0</v>
      </c>
      <c r="N133" s="111">
        <f t="shared" si="10"/>
        <v>0</v>
      </c>
      <c r="O133" s="111">
        <f t="shared" si="10"/>
        <v>0</v>
      </c>
      <c r="P133" s="111">
        <f t="shared" si="10"/>
        <v>0</v>
      </c>
      <c r="Q133" s="111">
        <f t="shared" si="10"/>
        <v>0</v>
      </c>
      <c r="R133" s="111">
        <f t="shared" si="10"/>
        <v>0</v>
      </c>
      <c r="S133" s="111">
        <f t="shared" si="10"/>
        <v>0</v>
      </c>
      <c r="T133" s="111">
        <f t="shared" si="10"/>
        <v>0</v>
      </c>
      <c r="U133" s="111">
        <f t="shared" si="10"/>
        <v>0</v>
      </c>
      <c r="V133" s="111">
        <f t="shared" si="10"/>
        <v>0</v>
      </c>
      <c r="W133" s="111">
        <f t="shared" si="10"/>
        <v>0</v>
      </c>
      <c r="X133" s="111">
        <f t="shared" si="10"/>
        <v>0</v>
      </c>
      <c r="Y133" s="111">
        <f t="shared" si="10"/>
        <v>0</v>
      </c>
      <c r="Z133" s="111">
        <f t="shared" si="10"/>
        <v>0</v>
      </c>
      <c r="AA133" s="111">
        <f t="shared" si="10"/>
        <v>0</v>
      </c>
      <c r="AB133" s="111">
        <f t="shared" si="10"/>
        <v>0</v>
      </c>
      <c r="AC133" s="111">
        <f t="shared" si="10"/>
        <v>0</v>
      </c>
      <c r="AD133" s="111">
        <f t="shared" si="10"/>
        <v>0</v>
      </c>
      <c r="AE133" s="111">
        <f t="shared" si="10"/>
        <v>0</v>
      </c>
      <c r="AF133" s="111">
        <f t="shared" si="10"/>
        <v>0</v>
      </c>
      <c r="AG133" s="111">
        <f t="shared" si="10"/>
        <v>0</v>
      </c>
      <c r="AH133" s="111">
        <f t="shared" si="10"/>
        <v>0</v>
      </c>
      <c r="AI133" s="111">
        <f t="shared" si="10"/>
        <v>0</v>
      </c>
      <c r="AJ133" s="111">
        <f t="shared" si="10"/>
        <v>0</v>
      </c>
      <c r="AK133" s="111">
        <f t="shared" si="10"/>
        <v>0</v>
      </c>
      <c r="AL133" s="111">
        <f t="shared" si="10"/>
        <v>0</v>
      </c>
      <c r="AM133" s="111">
        <f t="shared" si="10"/>
        <v>0</v>
      </c>
      <c r="AN133" s="111">
        <f t="shared" si="10"/>
        <v>0</v>
      </c>
      <c r="AO133" s="111">
        <f t="shared" si="10"/>
        <v>0</v>
      </c>
      <c r="AP133" s="111">
        <f t="shared" si="10"/>
        <v>0</v>
      </c>
      <c r="AQ133" s="111">
        <f t="shared" si="10"/>
        <v>0</v>
      </c>
      <c r="AR133" s="111">
        <f t="shared" si="10"/>
        <v>0</v>
      </c>
      <c r="AS133" s="111">
        <f t="shared" si="10"/>
        <v>0</v>
      </c>
      <c r="AT133" s="111">
        <f t="shared" si="10"/>
        <v>0</v>
      </c>
      <c r="AU133" s="111">
        <f t="shared" si="10"/>
        <v>0</v>
      </c>
      <c r="AV133" s="111">
        <f t="shared" si="10"/>
        <v>0</v>
      </c>
      <c r="AW133" s="111">
        <f t="shared" si="10"/>
        <v>0</v>
      </c>
      <c r="AX133" s="111">
        <f t="shared" si="10"/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5</v>
      </c>
      <c r="E2" s="116"/>
    </row>
    <row r="3" spans="1:52" x14ac:dyDescent="0.2">
      <c r="A3" s="106" t="s">
        <v>286</v>
      </c>
      <c r="B3" s="113">
        <v>11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1094.9906104996849</v>
      </c>
      <c r="E7" s="150">
        <v>1094.9906104996849</v>
      </c>
      <c r="F7" s="150">
        <v>1094.9906104996849</v>
      </c>
      <c r="G7" s="150">
        <v>1094.9906104996849</v>
      </c>
      <c r="H7" s="150">
        <v>973.32498711083099</v>
      </c>
      <c r="I7" s="150">
        <v>973.32498711083099</v>
      </c>
      <c r="J7" s="150">
        <v>973.32498711083099</v>
      </c>
      <c r="K7" s="150">
        <v>973.32498711083099</v>
      </c>
      <c r="L7" s="150">
        <v>973.32498711083099</v>
      </c>
      <c r="M7" s="150">
        <v>973.32498711083099</v>
      </c>
      <c r="N7" s="150">
        <v>973.32498711083099</v>
      </c>
      <c r="O7" s="150">
        <v>973.32498711083099</v>
      </c>
      <c r="P7" s="150">
        <v>1094.9906104996849</v>
      </c>
      <c r="Q7" s="150">
        <v>1094.9906104996849</v>
      </c>
      <c r="R7" s="150">
        <v>1094.9906104996849</v>
      </c>
      <c r="S7" s="150">
        <v>1094.9906104996849</v>
      </c>
      <c r="T7" s="150">
        <v>973.32498711083099</v>
      </c>
      <c r="U7" s="150">
        <v>973.32498711083099</v>
      </c>
      <c r="V7" s="150">
        <v>973.32498711083099</v>
      </c>
      <c r="W7" s="150">
        <v>973.32498711083099</v>
      </c>
      <c r="X7" s="150">
        <v>973.32498711083099</v>
      </c>
      <c r="Y7" s="150">
        <v>973.32498711083099</v>
      </c>
      <c r="Z7" s="150">
        <v>973.32498711083099</v>
      </c>
      <c r="AA7" s="150">
        <v>973.32498711083099</v>
      </c>
      <c r="AB7" s="150">
        <v>1094.9906104996849</v>
      </c>
      <c r="AC7" s="150">
        <v>1094.9906104996849</v>
      </c>
      <c r="AD7" s="150">
        <v>1094.9906104996849</v>
      </c>
      <c r="AE7" s="150">
        <v>1094.9906104996849</v>
      </c>
      <c r="AF7" s="150">
        <v>973.32498711083099</v>
      </c>
      <c r="AG7" s="150">
        <v>973.32498711083099</v>
      </c>
      <c r="AH7" s="150">
        <v>973.32498711083099</v>
      </c>
      <c r="AI7" s="150">
        <v>973.32498711083099</v>
      </c>
      <c r="AJ7" s="150">
        <v>973.32498711083099</v>
      </c>
      <c r="AK7" s="150">
        <v>973.32498711083099</v>
      </c>
      <c r="AL7" s="150">
        <v>973.32498711083099</v>
      </c>
      <c r="AM7" s="150">
        <v>973.32498711083099</v>
      </c>
      <c r="AN7" s="150">
        <v>1094.9906104996849</v>
      </c>
      <c r="AO7" s="150">
        <v>1094.9906104996849</v>
      </c>
      <c r="AP7" s="150">
        <v>1094.9906104996849</v>
      </c>
      <c r="AQ7" s="150">
        <v>1094.9906104996849</v>
      </c>
      <c r="AR7" s="150">
        <v>973.32498711083099</v>
      </c>
      <c r="AS7" s="150">
        <v>973.32498711083099</v>
      </c>
      <c r="AT7" s="150">
        <v>973.32498711083099</v>
      </c>
      <c r="AU7" s="150">
        <v>973.32498711083099</v>
      </c>
      <c r="AV7" s="150">
        <v>973.32498711083099</v>
      </c>
      <c r="AW7" s="150">
        <v>973.32498711083099</v>
      </c>
      <c r="AX7" s="150">
        <v>973.32498711083099</v>
      </c>
      <c r="AY7" s="150">
        <v>973.32498711083099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1083.9906104996849</v>
      </c>
      <c r="E10" s="150">
        <f t="shared" si="0"/>
        <v>1083.9906104996849</v>
      </c>
      <c r="F10" s="150">
        <f t="shared" si="0"/>
        <v>1083.9906104996849</v>
      </c>
      <c r="G10" s="150">
        <f t="shared" si="0"/>
        <v>1083.9906104996849</v>
      </c>
      <c r="H10" s="150">
        <f t="shared" si="0"/>
        <v>962.32498711083099</v>
      </c>
      <c r="I10" s="150">
        <f t="shared" si="0"/>
        <v>962.32498711083099</v>
      </c>
      <c r="J10" s="150">
        <f t="shared" si="0"/>
        <v>962.32498711083099</v>
      </c>
      <c r="K10" s="150">
        <f t="shared" si="0"/>
        <v>962.32498711083099</v>
      </c>
      <c r="L10" s="150">
        <f t="shared" si="0"/>
        <v>962.32498711083099</v>
      </c>
      <c r="M10" s="150">
        <f t="shared" si="0"/>
        <v>962.32498711083099</v>
      </c>
      <c r="N10" s="150">
        <f t="shared" si="0"/>
        <v>962.32498711083099</v>
      </c>
      <c r="O10" s="150">
        <f t="shared" si="0"/>
        <v>962.32498711083099</v>
      </c>
      <c r="P10" s="150">
        <f t="shared" si="0"/>
        <v>1083.9906104996849</v>
      </c>
      <c r="Q10" s="150">
        <f t="shared" si="0"/>
        <v>1083.9906104996849</v>
      </c>
      <c r="R10" s="150">
        <f t="shared" si="0"/>
        <v>1083.9906104996849</v>
      </c>
      <c r="S10" s="150">
        <f t="shared" si="0"/>
        <v>1083.9906104996849</v>
      </c>
      <c r="T10" s="150">
        <f t="shared" si="0"/>
        <v>962.32498711083099</v>
      </c>
      <c r="U10" s="150">
        <f t="shared" si="0"/>
        <v>962.32498711083099</v>
      </c>
      <c r="V10" s="150">
        <f t="shared" si="0"/>
        <v>962.32498711083099</v>
      </c>
      <c r="W10" s="150">
        <f t="shared" si="0"/>
        <v>962.32498711083099</v>
      </c>
      <c r="X10" s="150">
        <f t="shared" si="0"/>
        <v>962.32498711083099</v>
      </c>
      <c r="Y10" s="150">
        <f t="shared" si="0"/>
        <v>962.32498711083099</v>
      </c>
      <c r="Z10" s="150">
        <f t="shared" si="0"/>
        <v>962.32498711083099</v>
      </c>
      <c r="AA10" s="150">
        <f t="shared" si="0"/>
        <v>962.32498711083099</v>
      </c>
      <c r="AB10" s="150">
        <f t="shared" si="0"/>
        <v>1083.9906104996849</v>
      </c>
      <c r="AC10" s="150">
        <f t="shared" si="0"/>
        <v>1083.9906104996849</v>
      </c>
      <c r="AD10" s="150">
        <f t="shared" si="0"/>
        <v>1083.9906104996849</v>
      </c>
      <c r="AE10" s="150">
        <f t="shared" si="0"/>
        <v>1083.9906104996849</v>
      </c>
      <c r="AF10" s="150">
        <f t="shared" si="0"/>
        <v>962.32498711083099</v>
      </c>
      <c r="AG10" s="150">
        <f t="shared" si="0"/>
        <v>962.32498711083099</v>
      </c>
      <c r="AH10" s="150">
        <f t="shared" si="0"/>
        <v>962.32498711083099</v>
      </c>
      <c r="AI10" s="150">
        <f t="shared" si="0"/>
        <v>962.32498711083099</v>
      </c>
      <c r="AJ10" s="150">
        <f t="shared" si="0"/>
        <v>962.32498711083099</v>
      </c>
      <c r="AK10" s="150">
        <f t="shared" si="0"/>
        <v>962.32498711083099</v>
      </c>
      <c r="AL10" s="150">
        <f t="shared" si="0"/>
        <v>973.32498711083099</v>
      </c>
      <c r="AM10" s="150">
        <f t="shared" si="0"/>
        <v>962.32498711083099</v>
      </c>
      <c r="AN10" s="150">
        <f t="shared" si="0"/>
        <v>1083.9906104996849</v>
      </c>
      <c r="AO10" s="150">
        <f t="shared" si="0"/>
        <v>1083.9906104996849</v>
      </c>
      <c r="AP10" s="150">
        <f t="shared" si="0"/>
        <v>1083.9906104996849</v>
      </c>
      <c r="AQ10" s="150">
        <f t="shared" si="0"/>
        <v>1083.9906104996849</v>
      </c>
      <c r="AR10" s="150">
        <f t="shared" si="0"/>
        <v>962.32498711083099</v>
      </c>
      <c r="AS10" s="150">
        <f t="shared" si="0"/>
        <v>962.32498711083099</v>
      </c>
      <c r="AT10" s="150">
        <f t="shared" si="0"/>
        <v>962.32498711083099</v>
      </c>
      <c r="AU10" s="150">
        <f t="shared" si="0"/>
        <v>962.32498711083099</v>
      </c>
      <c r="AV10" s="150">
        <f t="shared" si="0"/>
        <v>962.32498711083099</v>
      </c>
      <c r="AW10" s="150">
        <f t="shared" si="0"/>
        <v>962.32498711083099</v>
      </c>
      <c r="AX10" s="150">
        <f t="shared" si="0"/>
        <v>962.32498711083099</v>
      </c>
      <c r="AY10" s="150">
        <f t="shared" si="0"/>
        <v>962.32498711083099</v>
      </c>
      <c r="AZ10" s="157">
        <f>SUM($D10:$AY10)</f>
        <v>48149.249355541513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21</v>
      </c>
      <c r="D13" s="144">
        <f t="shared" ref="D13:AY13" si="1">D$7-D$10</f>
        <v>11</v>
      </c>
      <c r="E13" s="144">
        <f t="shared" si="1"/>
        <v>11</v>
      </c>
      <c r="F13" s="144">
        <f t="shared" si="1"/>
        <v>11</v>
      </c>
      <c r="G13" s="144">
        <f t="shared" si="1"/>
        <v>11</v>
      </c>
      <c r="H13" s="144">
        <f t="shared" si="1"/>
        <v>11</v>
      </c>
      <c r="I13" s="144">
        <f t="shared" si="1"/>
        <v>11</v>
      </c>
      <c r="J13" s="144">
        <f t="shared" si="1"/>
        <v>11</v>
      </c>
      <c r="K13" s="144">
        <f t="shared" si="1"/>
        <v>11</v>
      </c>
      <c r="L13" s="144">
        <f t="shared" si="1"/>
        <v>11</v>
      </c>
      <c r="M13" s="144">
        <f t="shared" si="1"/>
        <v>11</v>
      </c>
      <c r="N13" s="144">
        <f t="shared" si="1"/>
        <v>11</v>
      </c>
      <c r="O13" s="144">
        <f t="shared" si="1"/>
        <v>11</v>
      </c>
      <c r="P13" s="144">
        <f t="shared" si="1"/>
        <v>11</v>
      </c>
      <c r="Q13" s="144">
        <f t="shared" si="1"/>
        <v>11</v>
      </c>
      <c r="R13" s="144">
        <f t="shared" si="1"/>
        <v>11</v>
      </c>
      <c r="S13" s="144">
        <f t="shared" si="1"/>
        <v>11</v>
      </c>
      <c r="T13" s="144">
        <f t="shared" si="1"/>
        <v>11</v>
      </c>
      <c r="U13" s="144">
        <f t="shared" si="1"/>
        <v>11</v>
      </c>
      <c r="V13" s="144">
        <f t="shared" si="1"/>
        <v>11</v>
      </c>
      <c r="W13" s="144">
        <f t="shared" si="1"/>
        <v>11</v>
      </c>
      <c r="X13" s="144">
        <f t="shared" si="1"/>
        <v>11</v>
      </c>
      <c r="Y13" s="144">
        <f t="shared" si="1"/>
        <v>11</v>
      </c>
      <c r="Z13" s="144">
        <f t="shared" si="1"/>
        <v>11</v>
      </c>
      <c r="AA13" s="144">
        <f t="shared" si="1"/>
        <v>11</v>
      </c>
      <c r="AB13" s="144">
        <f t="shared" si="1"/>
        <v>11</v>
      </c>
      <c r="AC13" s="144">
        <f t="shared" si="1"/>
        <v>11</v>
      </c>
      <c r="AD13" s="144">
        <f t="shared" si="1"/>
        <v>11</v>
      </c>
      <c r="AE13" s="144">
        <f t="shared" si="1"/>
        <v>11</v>
      </c>
      <c r="AF13" s="144">
        <f t="shared" si="1"/>
        <v>11</v>
      </c>
      <c r="AG13" s="144">
        <f t="shared" si="1"/>
        <v>11</v>
      </c>
      <c r="AH13" s="144">
        <f t="shared" si="1"/>
        <v>11</v>
      </c>
      <c r="AI13" s="144">
        <f t="shared" si="1"/>
        <v>11</v>
      </c>
      <c r="AJ13" s="144">
        <f t="shared" si="1"/>
        <v>11</v>
      </c>
      <c r="AK13" s="144">
        <f t="shared" si="1"/>
        <v>11</v>
      </c>
      <c r="AL13" s="144">
        <f t="shared" si="1"/>
        <v>0</v>
      </c>
      <c r="AM13" s="144">
        <f t="shared" si="1"/>
        <v>11</v>
      </c>
      <c r="AN13" s="144">
        <f t="shared" si="1"/>
        <v>11</v>
      </c>
      <c r="AO13" s="144">
        <f t="shared" si="1"/>
        <v>11</v>
      </c>
      <c r="AP13" s="144">
        <f t="shared" si="1"/>
        <v>11</v>
      </c>
      <c r="AQ13" s="144">
        <f t="shared" si="1"/>
        <v>11</v>
      </c>
      <c r="AR13" s="144">
        <f t="shared" si="1"/>
        <v>11</v>
      </c>
      <c r="AS13" s="144">
        <f t="shared" si="1"/>
        <v>11</v>
      </c>
      <c r="AT13" s="144">
        <f t="shared" si="1"/>
        <v>11</v>
      </c>
      <c r="AU13" s="144">
        <f t="shared" si="1"/>
        <v>11</v>
      </c>
      <c r="AV13" s="144">
        <f t="shared" si="1"/>
        <v>11</v>
      </c>
      <c r="AW13" s="144">
        <f t="shared" si="1"/>
        <v>11</v>
      </c>
      <c r="AX13" s="144">
        <f t="shared" si="1"/>
        <v>11</v>
      </c>
      <c r="AY13" s="144">
        <f t="shared" si="1"/>
        <v>11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11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 t="s">
        <v>339</v>
      </c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shipping_manufacturing!$C$19/100</f>
        <v>1</v>
      </c>
      <c r="C21" s="162" t="s">
        <v>293</v>
      </c>
      <c r="D21" s="112">
        <f>IF(C$20="Yes",0,SUM(C$13:C$16)*$B$21)</f>
        <v>21</v>
      </c>
      <c r="E21" s="112">
        <f t="shared" ref="E21:AY21" si="3">IF(D$20="Yes",0,SUM(D$13:D$16)*$B$21)</f>
        <v>11</v>
      </c>
      <c r="F21" s="112">
        <f t="shared" si="3"/>
        <v>11</v>
      </c>
      <c r="G21" s="112">
        <f t="shared" si="3"/>
        <v>11</v>
      </c>
      <c r="H21" s="112">
        <f t="shared" si="3"/>
        <v>11</v>
      </c>
      <c r="I21" s="112">
        <f t="shared" si="3"/>
        <v>11</v>
      </c>
      <c r="J21" s="112">
        <f t="shared" si="3"/>
        <v>11</v>
      </c>
      <c r="K21" s="112">
        <f t="shared" si="3"/>
        <v>11</v>
      </c>
      <c r="L21" s="112">
        <f t="shared" si="3"/>
        <v>11</v>
      </c>
      <c r="M21" s="112">
        <f t="shared" si="3"/>
        <v>11</v>
      </c>
      <c r="N21" s="112">
        <f t="shared" si="3"/>
        <v>11</v>
      </c>
      <c r="O21" s="112">
        <f t="shared" si="3"/>
        <v>11</v>
      </c>
      <c r="P21" s="112">
        <f t="shared" si="3"/>
        <v>11</v>
      </c>
      <c r="Q21" s="112">
        <f t="shared" si="3"/>
        <v>11</v>
      </c>
      <c r="R21" s="112">
        <f t="shared" si="3"/>
        <v>11</v>
      </c>
      <c r="S21" s="112">
        <f t="shared" si="3"/>
        <v>11</v>
      </c>
      <c r="T21" s="112">
        <f t="shared" si="3"/>
        <v>11</v>
      </c>
      <c r="U21" s="112">
        <f t="shared" si="3"/>
        <v>11</v>
      </c>
      <c r="V21" s="112">
        <f t="shared" si="3"/>
        <v>11</v>
      </c>
      <c r="W21" s="112">
        <f t="shared" si="3"/>
        <v>11</v>
      </c>
      <c r="X21" s="112">
        <f t="shared" si="3"/>
        <v>11</v>
      </c>
      <c r="Y21" s="112">
        <f t="shared" si="3"/>
        <v>11</v>
      </c>
      <c r="Z21" s="112">
        <f t="shared" si="3"/>
        <v>11</v>
      </c>
      <c r="AA21" s="112">
        <f t="shared" si="3"/>
        <v>11</v>
      </c>
      <c r="AB21" s="112">
        <f t="shared" si="3"/>
        <v>11</v>
      </c>
      <c r="AC21" s="112">
        <f t="shared" si="3"/>
        <v>11</v>
      </c>
      <c r="AD21" s="112">
        <f t="shared" si="3"/>
        <v>11</v>
      </c>
      <c r="AE21" s="112">
        <f t="shared" si="3"/>
        <v>11</v>
      </c>
      <c r="AF21" s="112">
        <f t="shared" si="3"/>
        <v>11</v>
      </c>
      <c r="AG21" s="112">
        <f t="shared" si="3"/>
        <v>11</v>
      </c>
      <c r="AH21" s="112">
        <f t="shared" si="3"/>
        <v>11</v>
      </c>
      <c r="AI21" s="112">
        <f t="shared" si="3"/>
        <v>11</v>
      </c>
      <c r="AJ21" s="112">
        <f t="shared" si="3"/>
        <v>11</v>
      </c>
      <c r="AK21" s="112">
        <f t="shared" si="3"/>
        <v>11</v>
      </c>
      <c r="AL21" s="112">
        <f t="shared" si="3"/>
        <v>0</v>
      </c>
      <c r="AM21" s="112">
        <f t="shared" si="3"/>
        <v>11</v>
      </c>
      <c r="AN21" s="112">
        <f t="shared" si="3"/>
        <v>11</v>
      </c>
      <c r="AO21" s="112">
        <f t="shared" si="3"/>
        <v>11</v>
      </c>
      <c r="AP21" s="112">
        <f t="shared" si="3"/>
        <v>11</v>
      </c>
      <c r="AQ21" s="112">
        <f t="shared" si="3"/>
        <v>11</v>
      </c>
      <c r="AR21" s="112">
        <f t="shared" si="3"/>
        <v>11</v>
      </c>
      <c r="AS21" s="112">
        <f t="shared" si="3"/>
        <v>11</v>
      </c>
      <c r="AT21" s="112">
        <f t="shared" si="3"/>
        <v>11</v>
      </c>
      <c r="AU21" s="112">
        <f t="shared" si="3"/>
        <v>11</v>
      </c>
      <c r="AV21" s="112">
        <f t="shared" si="3"/>
        <v>11</v>
      </c>
      <c r="AW21" s="112">
        <f t="shared" si="3"/>
        <v>11</v>
      </c>
      <c r="AX21" s="112">
        <f t="shared" si="3"/>
        <v>11</v>
      </c>
      <c r="AY21" s="112">
        <f t="shared" si="3"/>
        <v>11</v>
      </c>
      <c r="AZ21" s="163">
        <f>SUM($D21:$AY21)</f>
        <v>527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293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42000</v>
      </c>
      <c r="E23" s="106">
        <f t="shared" ref="E23:AY23" si="6">E$21*$B$23</f>
        <v>22000</v>
      </c>
      <c r="F23" s="106">
        <f t="shared" si="6"/>
        <v>22000</v>
      </c>
      <c r="G23" s="106">
        <f t="shared" si="6"/>
        <v>22000</v>
      </c>
      <c r="H23" s="106">
        <f t="shared" si="6"/>
        <v>22000</v>
      </c>
      <c r="I23" s="106">
        <f t="shared" si="6"/>
        <v>22000</v>
      </c>
      <c r="J23" s="106">
        <f t="shared" si="6"/>
        <v>22000</v>
      </c>
      <c r="K23" s="106">
        <f t="shared" si="6"/>
        <v>22000</v>
      </c>
      <c r="L23" s="106">
        <f t="shared" si="6"/>
        <v>22000</v>
      </c>
      <c r="M23" s="106">
        <f t="shared" si="6"/>
        <v>22000</v>
      </c>
      <c r="N23" s="106">
        <f t="shared" si="6"/>
        <v>22000</v>
      </c>
      <c r="O23" s="106">
        <f t="shared" si="6"/>
        <v>22000</v>
      </c>
      <c r="P23" s="106">
        <f t="shared" si="6"/>
        <v>22000</v>
      </c>
      <c r="Q23" s="106">
        <f t="shared" si="6"/>
        <v>22000</v>
      </c>
      <c r="R23" s="106">
        <f t="shared" si="6"/>
        <v>22000</v>
      </c>
      <c r="S23" s="106">
        <f t="shared" si="6"/>
        <v>22000</v>
      </c>
      <c r="T23" s="106">
        <f t="shared" si="6"/>
        <v>22000</v>
      </c>
      <c r="U23" s="106">
        <f t="shared" si="6"/>
        <v>22000</v>
      </c>
      <c r="V23" s="106">
        <f t="shared" si="6"/>
        <v>22000</v>
      </c>
      <c r="W23" s="106">
        <f t="shared" si="6"/>
        <v>22000</v>
      </c>
      <c r="X23" s="106">
        <f t="shared" si="6"/>
        <v>22000</v>
      </c>
      <c r="Y23" s="106">
        <f t="shared" si="6"/>
        <v>22000</v>
      </c>
      <c r="Z23" s="106">
        <f t="shared" si="6"/>
        <v>22000</v>
      </c>
      <c r="AA23" s="106">
        <f t="shared" si="6"/>
        <v>22000</v>
      </c>
      <c r="AB23" s="106">
        <f t="shared" si="6"/>
        <v>22000</v>
      </c>
      <c r="AC23" s="106">
        <f t="shared" si="6"/>
        <v>22000</v>
      </c>
      <c r="AD23" s="106">
        <f t="shared" si="6"/>
        <v>22000</v>
      </c>
      <c r="AE23" s="106">
        <f t="shared" si="6"/>
        <v>22000</v>
      </c>
      <c r="AF23" s="106">
        <f t="shared" si="6"/>
        <v>22000</v>
      </c>
      <c r="AG23" s="106">
        <f t="shared" si="6"/>
        <v>22000</v>
      </c>
      <c r="AH23" s="106">
        <f t="shared" si="6"/>
        <v>22000</v>
      </c>
      <c r="AI23" s="106">
        <f t="shared" si="6"/>
        <v>22000</v>
      </c>
      <c r="AJ23" s="106">
        <f t="shared" si="6"/>
        <v>22000</v>
      </c>
      <c r="AK23" s="106">
        <f t="shared" si="6"/>
        <v>22000</v>
      </c>
      <c r="AL23" s="106">
        <f t="shared" si="6"/>
        <v>0</v>
      </c>
      <c r="AM23" s="106">
        <f t="shared" si="6"/>
        <v>22000</v>
      </c>
      <c r="AN23" s="106">
        <f t="shared" si="6"/>
        <v>22000</v>
      </c>
      <c r="AO23" s="106">
        <f t="shared" si="6"/>
        <v>22000</v>
      </c>
      <c r="AP23" s="106">
        <f t="shared" si="6"/>
        <v>22000</v>
      </c>
      <c r="AQ23" s="106">
        <f t="shared" si="6"/>
        <v>22000</v>
      </c>
      <c r="AR23" s="106">
        <f t="shared" si="6"/>
        <v>22000</v>
      </c>
      <c r="AS23" s="106">
        <f t="shared" si="6"/>
        <v>22000</v>
      </c>
      <c r="AT23" s="106">
        <f t="shared" si="6"/>
        <v>22000</v>
      </c>
      <c r="AU23" s="106">
        <f t="shared" si="6"/>
        <v>22000</v>
      </c>
      <c r="AV23" s="106">
        <f t="shared" si="6"/>
        <v>22000</v>
      </c>
      <c r="AW23" s="106">
        <f t="shared" si="6"/>
        <v>22000</v>
      </c>
      <c r="AX23" s="106">
        <f t="shared" si="6"/>
        <v>22000</v>
      </c>
      <c r="AY23" s="106">
        <f t="shared" si="6"/>
        <v>22000</v>
      </c>
      <c r="AZ23" s="145">
        <f t="shared" si="5"/>
        <v>1054000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0</v>
      </c>
      <c r="D27" s="130">
        <f>C$27-C$28+C$29</f>
        <v>0</v>
      </c>
      <c r="E27" s="130">
        <f t="shared" ref="E27:AY27" si="8">D27-D28+D29</f>
        <v>0</v>
      </c>
      <c r="F27" s="130">
        <f t="shared" si="8"/>
        <v>0</v>
      </c>
      <c r="G27" s="130">
        <f t="shared" si="8"/>
        <v>0</v>
      </c>
      <c r="H27" s="130">
        <f t="shared" si="8"/>
        <v>0</v>
      </c>
      <c r="I27" s="130">
        <f t="shared" si="8"/>
        <v>0</v>
      </c>
      <c r="J27" s="130">
        <f t="shared" si="8"/>
        <v>0</v>
      </c>
      <c r="K27" s="130">
        <f t="shared" si="8"/>
        <v>0</v>
      </c>
      <c r="L27" s="130">
        <f t="shared" si="8"/>
        <v>0</v>
      </c>
      <c r="M27" s="130">
        <f t="shared" si="8"/>
        <v>0</v>
      </c>
      <c r="N27" s="130">
        <f t="shared" si="8"/>
        <v>0</v>
      </c>
      <c r="O27" s="130">
        <f t="shared" si="8"/>
        <v>0</v>
      </c>
      <c r="P27" s="130">
        <f t="shared" si="8"/>
        <v>0</v>
      </c>
      <c r="Q27" s="130">
        <f t="shared" si="8"/>
        <v>0</v>
      </c>
      <c r="R27" s="130">
        <f t="shared" si="8"/>
        <v>0</v>
      </c>
      <c r="S27" s="130">
        <f t="shared" si="8"/>
        <v>0</v>
      </c>
      <c r="T27" s="130">
        <f t="shared" si="8"/>
        <v>0</v>
      </c>
      <c r="U27" s="130">
        <f t="shared" si="8"/>
        <v>0</v>
      </c>
      <c r="V27" s="130">
        <f t="shared" si="8"/>
        <v>0</v>
      </c>
      <c r="W27" s="130">
        <f t="shared" si="8"/>
        <v>0</v>
      </c>
      <c r="X27" s="130">
        <f t="shared" si="8"/>
        <v>0</v>
      </c>
      <c r="Y27" s="130">
        <f t="shared" si="8"/>
        <v>0</v>
      </c>
      <c r="Z27" s="130">
        <f t="shared" si="8"/>
        <v>0</v>
      </c>
      <c r="AA27" s="130">
        <f t="shared" si="8"/>
        <v>0</v>
      </c>
      <c r="AB27" s="130">
        <f t="shared" si="8"/>
        <v>0</v>
      </c>
      <c r="AC27" s="130">
        <f t="shared" si="8"/>
        <v>0</v>
      </c>
      <c r="AD27" s="130">
        <f t="shared" si="8"/>
        <v>0</v>
      </c>
      <c r="AE27" s="130">
        <f t="shared" si="8"/>
        <v>0</v>
      </c>
      <c r="AF27" s="130">
        <f t="shared" si="8"/>
        <v>0</v>
      </c>
      <c r="AG27" s="130">
        <f t="shared" si="8"/>
        <v>0</v>
      </c>
      <c r="AH27" s="130">
        <f t="shared" si="8"/>
        <v>0</v>
      </c>
      <c r="AI27" s="130">
        <f t="shared" si="8"/>
        <v>0</v>
      </c>
      <c r="AJ27" s="130">
        <f t="shared" si="8"/>
        <v>0</v>
      </c>
      <c r="AK27" s="130">
        <f t="shared" si="8"/>
        <v>0</v>
      </c>
      <c r="AL27" s="130">
        <f t="shared" si="8"/>
        <v>0</v>
      </c>
      <c r="AM27" s="130">
        <f t="shared" si="8"/>
        <v>0</v>
      </c>
      <c r="AN27" s="130">
        <f t="shared" si="8"/>
        <v>0</v>
      </c>
      <c r="AO27" s="130">
        <f t="shared" si="8"/>
        <v>0</v>
      </c>
      <c r="AP27" s="130">
        <f t="shared" si="8"/>
        <v>0</v>
      </c>
      <c r="AQ27" s="130">
        <f t="shared" si="8"/>
        <v>0</v>
      </c>
      <c r="AR27" s="130">
        <f t="shared" si="8"/>
        <v>0</v>
      </c>
      <c r="AS27" s="130">
        <f t="shared" si="8"/>
        <v>0</v>
      </c>
      <c r="AT27" s="130">
        <f t="shared" si="8"/>
        <v>0</v>
      </c>
      <c r="AU27" s="130">
        <f t="shared" si="8"/>
        <v>0</v>
      </c>
      <c r="AV27" s="130">
        <f t="shared" si="8"/>
        <v>0</v>
      </c>
      <c r="AW27" s="130">
        <f t="shared" si="8"/>
        <v>0</v>
      </c>
      <c r="AX27" s="130">
        <f t="shared" si="8"/>
        <v>0</v>
      </c>
      <c r="AY27" s="170">
        <f t="shared" si="8"/>
        <v>0</v>
      </c>
      <c r="AZ27" s="112"/>
    </row>
    <row r="28" spans="1:52" x14ac:dyDescent="0.2">
      <c r="B28" s="171" t="s">
        <v>310</v>
      </c>
      <c r="C28" s="116">
        <v>0</v>
      </c>
      <c r="D28" s="116">
        <v>0</v>
      </c>
      <c r="E28" s="116">
        <v>0</v>
      </c>
      <c r="F28" s="116">
        <v>0</v>
      </c>
      <c r="G28" s="116">
        <v>0</v>
      </c>
      <c r="H28" s="116">
        <v>0</v>
      </c>
      <c r="I28" s="116">
        <v>0</v>
      </c>
      <c r="J28" s="116">
        <v>0</v>
      </c>
      <c r="K28" s="116">
        <v>0</v>
      </c>
      <c r="L28" s="116">
        <v>0</v>
      </c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0</v>
      </c>
      <c r="S28" s="116">
        <v>0</v>
      </c>
      <c r="T28" s="116">
        <v>0</v>
      </c>
      <c r="U28" s="116">
        <v>0</v>
      </c>
      <c r="V28" s="116">
        <v>0</v>
      </c>
      <c r="W28" s="116">
        <v>0</v>
      </c>
      <c r="X28" s="116">
        <v>0</v>
      </c>
      <c r="Y28" s="116">
        <v>0</v>
      </c>
      <c r="Z28" s="116">
        <v>0</v>
      </c>
      <c r="AA28" s="116">
        <v>0</v>
      </c>
      <c r="AB28" s="116">
        <v>0</v>
      </c>
      <c r="AC28" s="116">
        <v>0</v>
      </c>
      <c r="AD28" s="116">
        <v>0</v>
      </c>
      <c r="AE28" s="116">
        <v>0</v>
      </c>
      <c r="AF28" s="116">
        <v>0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>
        <v>0</v>
      </c>
      <c r="AW28" s="116">
        <v>0</v>
      </c>
      <c r="AX28" s="116">
        <v>0</v>
      </c>
      <c r="AY28" s="172">
        <v>0</v>
      </c>
      <c r="AZ28" s="112"/>
    </row>
    <row r="29" spans="1:52" x14ac:dyDescent="0.2">
      <c r="B29" s="142" t="s">
        <v>311</v>
      </c>
      <c r="C29" s="131">
        <v>0</v>
      </c>
      <c r="D29" s="131">
        <f>C$28</f>
        <v>0</v>
      </c>
      <c r="E29" s="131">
        <f t="shared" ref="E29:AY29" si="9">D$28</f>
        <v>0</v>
      </c>
      <c r="F29" s="131">
        <f t="shared" si="9"/>
        <v>0</v>
      </c>
      <c r="G29" s="131">
        <f t="shared" si="9"/>
        <v>0</v>
      </c>
      <c r="H29" s="131">
        <f t="shared" si="9"/>
        <v>0</v>
      </c>
      <c r="I29" s="131">
        <f t="shared" si="9"/>
        <v>0</v>
      </c>
      <c r="J29" s="131">
        <f t="shared" si="9"/>
        <v>0</v>
      </c>
      <c r="K29" s="131">
        <f t="shared" si="9"/>
        <v>0</v>
      </c>
      <c r="L29" s="131">
        <f t="shared" si="9"/>
        <v>0</v>
      </c>
      <c r="M29" s="131">
        <f t="shared" si="9"/>
        <v>0</v>
      </c>
      <c r="N29" s="131">
        <f t="shared" si="9"/>
        <v>0</v>
      </c>
      <c r="O29" s="131">
        <f t="shared" si="9"/>
        <v>0</v>
      </c>
      <c r="P29" s="131">
        <f t="shared" si="9"/>
        <v>0</v>
      </c>
      <c r="Q29" s="131">
        <f t="shared" si="9"/>
        <v>0</v>
      </c>
      <c r="R29" s="131">
        <f t="shared" si="9"/>
        <v>0</v>
      </c>
      <c r="S29" s="131">
        <f t="shared" si="9"/>
        <v>0</v>
      </c>
      <c r="T29" s="131">
        <f t="shared" si="9"/>
        <v>0</v>
      </c>
      <c r="U29" s="131">
        <f t="shared" si="9"/>
        <v>0</v>
      </c>
      <c r="V29" s="131">
        <f t="shared" si="9"/>
        <v>0</v>
      </c>
      <c r="W29" s="131">
        <f t="shared" si="9"/>
        <v>0</v>
      </c>
      <c r="X29" s="131">
        <f t="shared" si="9"/>
        <v>0</v>
      </c>
      <c r="Y29" s="131">
        <f t="shared" si="9"/>
        <v>0</v>
      </c>
      <c r="Z29" s="131">
        <f t="shared" si="9"/>
        <v>0</v>
      </c>
      <c r="AA29" s="131">
        <f t="shared" si="9"/>
        <v>0</v>
      </c>
      <c r="AB29" s="131">
        <f t="shared" si="9"/>
        <v>0</v>
      </c>
      <c r="AC29" s="131">
        <f t="shared" si="9"/>
        <v>0</v>
      </c>
      <c r="AD29" s="131">
        <f t="shared" si="9"/>
        <v>0</v>
      </c>
      <c r="AE29" s="131">
        <f t="shared" si="9"/>
        <v>0</v>
      </c>
      <c r="AF29" s="131">
        <f t="shared" si="9"/>
        <v>0</v>
      </c>
      <c r="AG29" s="131">
        <f t="shared" si="9"/>
        <v>0</v>
      </c>
      <c r="AH29" s="131">
        <f t="shared" si="9"/>
        <v>0</v>
      </c>
      <c r="AI29" s="131">
        <f t="shared" si="9"/>
        <v>0</v>
      </c>
      <c r="AJ29" s="131">
        <f t="shared" si="9"/>
        <v>0</v>
      </c>
      <c r="AK29" s="131">
        <f t="shared" si="9"/>
        <v>0</v>
      </c>
      <c r="AL29" s="131">
        <f t="shared" si="9"/>
        <v>0</v>
      </c>
      <c r="AM29" s="131">
        <f t="shared" si="9"/>
        <v>0</v>
      </c>
      <c r="AN29" s="131">
        <f t="shared" si="9"/>
        <v>0</v>
      </c>
      <c r="AO29" s="131">
        <f t="shared" si="9"/>
        <v>0</v>
      </c>
      <c r="AP29" s="131">
        <f t="shared" si="9"/>
        <v>0</v>
      </c>
      <c r="AQ29" s="131">
        <f t="shared" si="9"/>
        <v>0</v>
      </c>
      <c r="AR29" s="131">
        <f t="shared" si="9"/>
        <v>0</v>
      </c>
      <c r="AS29" s="131">
        <f t="shared" si="9"/>
        <v>0</v>
      </c>
      <c r="AT29" s="131">
        <f t="shared" si="9"/>
        <v>0</v>
      </c>
      <c r="AU29" s="131">
        <f t="shared" si="9"/>
        <v>0</v>
      </c>
      <c r="AV29" s="131">
        <f t="shared" si="9"/>
        <v>0</v>
      </c>
      <c r="AW29" s="131">
        <f t="shared" si="9"/>
        <v>0</v>
      </c>
      <c r="AX29" s="131">
        <f t="shared" si="9"/>
        <v>0</v>
      </c>
      <c r="AY29" s="173">
        <f t="shared" si="9"/>
        <v>0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0</v>
      </c>
      <c r="E30" s="123">
        <f t="shared" ref="E30:AY30" si="10">E$27*$B$30</f>
        <v>0</v>
      </c>
      <c r="F30" s="123">
        <f t="shared" si="10"/>
        <v>0</v>
      </c>
      <c r="G30" s="123">
        <f t="shared" si="10"/>
        <v>0</v>
      </c>
      <c r="H30" s="123">
        <f t="shared" si="10"/>
        <v>0</v>
      </c>
      <c r="I30" s="123">
        <f t="shared" si="10"/>
        <v>0</v>
      </c>
      <c r="J30" s="123">
        <f t="shared" si="10"/>
        <v>0</v>
      </c>
      <c r="K30" s="123">
        <f t="shared" si="10"/>
        <v>0</v>
      </c>
      <c r="L30" s="123">
        <f t="shared" si="10"/>
        <v>0</v>
      </c>
      <c r="M30" s="123">
        <f t="shared" si="10"/>
        <v>0</v>
      </c>
      <c r="N30" s="123">
        <f t="shared" si="10"/>
        <v>0</v>
      </c>
      <c r="O30" s="123">
        <f t="shared" si="10"/>
        <v>0</v>
      </c>
      <c r="P30" s="123">
        <f t="shared" si="10"/>
        <v>0</v>
      </c>
      <c r="Q30" s="123">
        <f t="shared" si="10"/>
        <v>0</v>
      </c>
      <c r="R30" s="123">
        <f>R$27*$B$30</f>
        <v>0</v>
      </c>
      <c r="S30" s="123">
        <f t="shared" si="10"/>
        <v>0</v>
      </c>
      <c r="T30" s="123">
        <f t="shared" si="10"/>
        <v>0</v>
      </c>
      <c r="U30" s="123">
        <f t="shared" si="10"/>
        <v>0</v>
      </c>
      <c r="V30" s="123">
        <f t="shared" si="10"/>
        <v>0</v>
      </c>
      <c r="W30" s="123">
        <f t="shared" si="10"/>
        <v>0</v>
      </c>
      <c r="X30" s="123">
        <f t="shared" si="10"/>
        <v>0</v>
      </c>
      <c r="Y30" s="123">
        <f t="shared" si="10"/>
        <v>0</v>
      </c>
      <c r="Z30" s="123">
        <f t="shared" si="10"/>
        <v>0</v>
      </c>
      <c r="AA30" s="123">
        <f t="shared" si="10"/>
        <v>0</v>
      </c>
      <c r="AB30" s="123">
        <f t="shared" si="10"/>
        <v>0</v>
      </c>
      <c r="AC30" s="123">
        <f t="shared" si="10"/>
        <v>0</v>
      </c>
      <c r="AD30" s="123">
        <f t="shared" si="10"/>
        <v>0</v>
      </c>
      <c r="AE30" s="123">
        <f>AE$27*$B$30</f>
        <v>0</v>
      </c>
      <c r="AF30" s="123">
        <f t="shared" si="10"/>
        <v>0</v>
      </c>
      <c r="AG30" s="123">
        <f t="shared" si="10"/>
        <v>0</v>
      </c>
      <c r="AH30" s="123">
        <f t="shared" si="10"/>
        <v>0</v>
      </c>
      <c r="AI30" s="123">
        <f t="shared" si="10"/>
        <v>0</v>
      </c>
      <c r="AJ30" s="123">
        <f t="shared" si="10"/>
        <v>0</v>
      </c>
      <c r="AK30" s="123">
        <f t="shared" si="10"/>
        <v>0</v>
      </c>
      <c r="AL30" s="123">
        <f t="shared" si="10"/>
        <v>0</v>
      </c>
      <c r="AM30" s="123">
        <f t="shared" si="10"/>
        <v>0</v>
      </c>
      <c r="AN30" s="123">
        <f t="shared" si="10"/>
        <v>0</v>
      </c>
      <c r="AO30" s="123">
        <f t="shared" si="10"/>
        <v>0</v>
      </c>
      <c r="AP30" s="123">
        <f t="shared" si="10"/>
        <v>0</v>
      </c>
      <c r="AQ30" s="123">
        <f t="shared" si="10"/>
        <v>0</v>
      </c>
      <c r="AR30" s="123">
        <f t="shared" si="10"/>
        <v>0</v>
      </c>
      <c r="AS30" s="123">
        <f t="shared" si="10"/>
        <v>0</v>
      </c>
      <c r="AT30" s="123">
        <f t="shared" si="10"/>
        <v>0</v>
      </c>
      <c r="AU30" s="123">
        <f t="shared" si="10"/>
        <v>0</v>
      </c>
      <c r="AV30" s="123">
        <f t="shared" si="10"/>
        <v>0</v>
      </c>
      <c r="AW30" s="123">
        <f t="shared" si="10"/>
        <v>0</v>
      </c>
      <c r="AX30" s="123">
        <f t="shared" si="10"/>
        <v>0</v>
      </c>
      <c r="AY30" s="123">
        <f t="shared" si="10"/>
        <v>0</v>
      </c>
      <c r="AZ30" s="147">
        <f t="shared" si="5"/>
        <v>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D$21*shipping_manufacturing!$D$27/100</f>
        <v>21</v>
      </c>
      <c r="E33" s="130">
        <f>E$21*shipping_manufacturing!$D$27/100</f>
        <v>11</v>
      </c>
      <c r="F33" s="130">
        <f>F$21*shipping_manufacturing!$D$27/100</f>
        <v>11</v>
      </c>
      <c r="G33" s="130">
        <f>G$21*shipping_manufacturing!$D$27/100</f>
        <v>11</v>
      </c>
      <c r="H33" s="130">
        <f>H$21*shipping_manufacturing!$D$27/100</f>
        <v>11</v>
      </c>
      <c r="I33" s="130">
        <f>I$21*shipping_manufacturing!$D$27/100</f>
        <v>11</v>
      </c>
      <c r="J33" s="130">
        <f>J$21*shipping_manufacturing!$D$27/100</f>
        <v>11</v>
      </c>
      <c r="K33" s="130">
        <f>K$21*shipping_manufacturing!$D$27/100</f>
        <v>11</v>
      </c>
      <c r="L33" s="130">
        <f>L$21*shipping_manufacturing!$D$27/100</f>
        <v>11</v>
      </c>
      <c r="M33" s="130">
        <f>M$21*shipping_manufacturing!$D$27/100</f>
        <v>11</v>
      </c>
      <c r="N33" s="130">
        <f>N$21*shipping_manufacturing!$D$27/100</f>
        <v>11</v>
      </c>
      <c r="O33" s="130">
        <f>O$21*shipping_manufacturing!$D$27/100</f>
        <v>11</v>
      </c>
      <c r="P33" s="130">
        <f>P$21*shipping_manufacturing!$D$27/100</f>
        <v>11</v>
      </c>
      <c r="Q33" s="130">
        <f>Q$21*shipping_manufacturing!$D$27/100</f>
        <v>11</v>
      </c>
      <c r="R33" s="130">
        <f>R$21*shipping_manufacturing!$D$27/100</f>
        <v>11</v>
      </c>
      <c r="S33" s="130">
        <f>S$21*shipping_manufacturing!$D$27/100</f>
        <v>11</v>
      </c>
      <c r="T33" s="130">
        <f>T$21*shipping_manufacturing!$D$27/100</f>
        <v>11</v>
      </c>
      <c r="U33" s="130">
        <f>U$21*shipping_manufacturing!$D$27/100</f>
        <v>11</v>
      </c>
      <c r="V33" s="130">
        <f>V$21*shipping_manufacturing!$D$27/100</f>
        <v>11</v>
      </c>
      <c r="W33" s="130">
        <f>W$21*shipping_manufacturing!$D$27/100</f>
        <v>11</v>
      </c>
      <c r="X33" s="130">
        <f>X$21*shipping_manufacturing!$D$27/100</f>
        <v>11</v>
      </c>
      <c r="Y33" s="130">
        <f>Y$21*shipping_manufacturing!$D$27/100</f>
        <v>11</v>
      </c>
      <c r="Z33" s="130">
        <f>Z$21*shipping_manufacturing!$D$27/100</f>
        <v>11</v>
      </c>
      <c r="AA33" s="130">
        <f>AA$21*shipping_manufacturing!$D$27/100</f>
        <v>11</v>
      </c>
      <c r="AB33" s="130">
        <f>AB$21*shipping_manufacturing!$D$27/100</f>
        <v>11</v>
      </c>
      <c r="AC33" s="130">
        <f>AC$21*shipping_manufacturing!$D$27/100</f>
        <v>11</v>
      </c>
      <c r="AD33" s="130">
        <f>AD$21*shipping_manufacturing!$D$27/100</f>
        <v>11</v>
      </c>
      <c r="AE33" s="130">
        <f>AE$21*shipping_manufacturing!$D$27/100</f>
        <v>11</v>
      </c>
      <c r="AF33" s="130">
        <f>AF$21*shipping_manufacturing!$D$27/100</f>
        <v>11</v>
      </c>
      <c r="AG33" s="130">
        <f>AG$21*shipping_manufacturing!$D$27/100</f>
        <v>11</v>
      </c>
      <c r="AH33" s="130">
        <f>AH$21*shipping_manufacturing!$D$27/100</f>
        <v>11</v>
      </c>
      <c r="AI33" s="130">
        <f>AI$21*shipping_manufacturing!$D$27/100</f>
        <v>11</v>
      </c>
      <c r="AJ33" s="130">
        <f>AJ$21*shipping_manufacturing!$D$27/100</f>
        <v>11</v>
      </c>
      <c r="AK33" s="130">
        <f>AK$21*shipping_manufacturing!$D$27/100</f>
        <v>11</v>
      </c>
      <c r="AL33" s="130">
        <f>AL$21*shipping_manufacturing!$D$27/100</f>
        <v>0</v>
      </c>
      <c r="AM33" s="130">
        <f>AM$21*shipping_manufacturing!$D$27/100</f>
        <v>11</v>
      </c>
      <c r="AN33" s="130">
        <f>AN$21*shipping_manufacturing!$D$27/100</f>
        <v>11</v>
      </c>
      <c r="AO33" s="130">
        <f>AO$21*shipping_manufacturing!$D$27/100</f>
        <v>11</v>
      </c>
      <c r="AP33" s="130">
        <f>AP$21*shipping_manufacturing!$D$27/100</f>
        <v>11</v>
      </c>
      <c r="AQ33" s="130">
        <f>AQ$21*shipping_manufacturing!$D$27/100</f>
        <v>11</v>
      </c>
      <c r="AR33" s="130">
        <f>AR$21*shipping_manufacturing!$D$27/100</f>
        <v>11</v>
      </c>
      <c r="AS33" s="130">
        <f>AS$21*shipping_manufacturing!$D$27/100</f>
        <v>11</v>
      </c>
      <c r="AT33" s="130">
        <f>AT$21*shipping_manufacturing!$D$27/100</f>
        <v>11</v>
      </c>
      <c r="AU33" s="130">
        <f>AU$21*shipping_manufacturing!$D$27/100</f>
        <v>11</v>
      </c>
      <c r="AV33" s="130">
        <f>AV$21*shipping_manufacturing!$D$27/100</f>
        <v>11</v>
      </c>
      <c r="AW33" s="130">
        <f>AW$21*shipping_manufacturing!$D$27/100</f>
        <v>11</v>
      </c>
      <c r="AX33" s="130">
        <f>AX$21*shipping_manufacturing!$D$27/100</f>
        <v>11</v>
      </c>
      <c r="AY33" s="130">
        <f>AY$21*shipping_manufacturing!$D$27/100</f>
        <v>11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D$22*shipping_manufacturing!$E$27/100</f>
        <v>0</v>
      </c>
      <c r="E34" s="116">
        <f>E$22*shipping_manufacturing!$E$27/100</f>
        <v>0</v>
      </c>
      <c r="F34" s="116">
        <f>F$22*shipping_manufacturing!$E$27/100</f>
        <v>0</v>
      </c>
      <c r="G34" s="116">
        <f>G$22*shipping_manufacturing!$E$27/100</f>
        <v>0</v>
      </c>
      <c r="H34" s="116">
        <f>H$22*shipping_manufacturing!$E$27/100</f>
        <v>0</v>
      </c>
      <c r="I34" s="116">
        <f>I$22*shipping_manufacturing!$E$27/100</f>
        <v>0</v>
      </c>
      <c r="J34" s="116">
        <f>J$22*shipping_manufacturing!$E$27/100</f>
        <v>0</v>
      </c>
      <c r="K34" s="116">
        <f>K$22*shipping_manufacturing!$E$27/100</f>
        <v>0</v>
      </c>
      <c r="L34" s="116">
        <f>L$22*shipping_manufacturing!$E$27/100</f>
        <v>0</v>
      </c>
      <c r="M34" s="116">
        <f>M$22*shipping_manufacturing!$E$27/100</f>
        <v>0</v>
      </c>
      <c r="N34" s="116">
        <f>N$22*shipping_manufacturing!$E$27/100</f>
        <v>0</v>
      </c>
      <c r="O34" s="116">
        <f>O$22*shipping_manufacturing!$E$27/100</f>
        <v>0</v>
      </c>
      <c r="P34" s="116">
        <f>P$22*shipping_manufacturing!$E$27/100</f>
        <v>0</v>
      </c>
      <c r="Q34" s="116">
        <f>Q$22*shipping_manufacturing!$E$27/100</f>
        <v>0</v>
      </c>
      <c r="R34" s="116">
        <f>R$22*shipping_manufacturing!$E$27/100</f>
        <v>0</v>
      </c>
      <c r="S34" s="116">
        <f>S$22*shipping_manufacturing!$E$27/100</f>
        <v>0</v>
      </c>
      <c r="T34" s="116">
        <f>T$22*shipping_manufacturing!$E$27/100</f>
        <v>0</v>
      </c>
      <c r="U34" s="116">
        <f>U$22*shipping_manufacturing!$E$27/100</f>
        <v>0</v>
      </c>
      <c r="V34" s="116">
        <f>V$22*shipping_manufacturing!$E$27/100</f>
        <v>0</v>
      </c>
      <c r="W34" s="116">
        <f>W$22*shipping_manufacturing!$E$27/100</f>
        <v>0</v>
      </c>
      <c r="X34" s="116">
        <f>X$22*shipping_manufacturing!$E$27/100</f>
        <v>0</v>
      </c>
      <c r="Y34" s="116">
        <f>Y$22*shipping_manufacturing!$E$27/100</f>
        <v>0</v>
      </c>
      <c r="Z34" s="116">
        <f>Z$22*shipping_manufacturing!$E$27/100</f>
        <v>0</v>
      </c>
      <c r="AA34" s="116">
        <f>AA$22*shipping_manufacturing!$E$27/100</f>
        <v>0</v>
      </c>
      <c r="AB34" s="116">
        <f>AB$22*shipping_manufacturing!$E$27/100</f>
        <v>0</v>
      </c>
      <c r="AC34" s="116">
        <f>AC$22*shipping_manufacturing!$E$27/100</f>
        <v>0</v>
      </c>
      <c r="AD34" s="116">
        <f>AD$22*shipping_manufacturing!$E$27/100</f>
        <v>0</v>
      </c>
      <c r="AE34" s="116">
        <f>AE$22*shipping_manufacturing!$E$27/100</f>
        <v>0</v>
      </c>
      <c r="AF34" s="116">
        <f>AF$22*shipping_manufacturing!$E$27/100</f>
        <v>0</v>
      </c>
      <c r="AG34" s="116">
        <f>AG$22*shipping_manufacturing!$E$27/100</f>
        <v>0</v>
      </c>
      <c r="AH34" s="116">
        <f>AH$22*shipping_manufacturing!$E$27/100</f>
        <v>0</v>
      </c>
      <c r="AI34" s="116">
        <f>AI$22*shipping_manufacturing!$E$27/100</f>
        <v>0</v>
      </c>
      <c r="AJ34" s="116">
        <f>AJ$22*shipping_manufacturing!$E$27/100</f>
        <v>0</v>
      </c>
      <c r="AK34" s="116">
        <f>AK$22*shipping_manufacturing!$E$27/100</f>
        <v>0</v>
      </c>
      <c r="AL34" s="116">
        <f>AL$22*shipping_manufacturing!$E$27/100</f>
        <v>0</v>
      </c>
      <c r="AM34" s="116">
        <f>AM$22*shipping_manufacturing!$E$27/100</f>
        <v>0</v>
      </c>
      <c r="AN34" s="116">
        <f>AN$22*shipping_manufacturing!$E$27/100</f>
        <v>0</v>
      </c>
      <c r="AO34" s="116">
        <f>AO$22*shipping_manufacturing!$E$27/100</f>
        <v>0</v>
      </c>
      <c r="AP34" s="116">
        <f>AP$22*shipping_manufacturing!$E$27/100</f>
        <v>0</v>
      </c>
      <c r="AQ34" s="116">
        <f>AQ$22*shipping_manufacturing!$E$27/100</f>
        <v>0</v>
      </c>
      <c r="AR34" s="116">
        <f>AR$22*shipping_manufacturing!$E$27/100</f>
        <v>0</v>
      </c>
      <c r="AS34" s="116">
        <f>AS$22*shipping_manufacturing!$E$27/100</f>
        <v>0</v>
      </c>
      <c r="AT34" s="116">
        <f>AT$22*shipping_manufacturing!$E$27/100</f>
        <v>0</v>
      </c>
      <c r="AU34" s="116">
        <f>AU$22*shipping_manufacturing!$E$27/100</f>
        <v>0</v>
      </c>
      <c r="AV34" s="116">
        <f>AV$22*shipping_manufacturing!$E$27/100</f>
        <v>0</v>
      </c>
      <c r="AW34" s="116">
        <f>AW$22*shipping_manufacturing!$E$27/100</f>
        <v>0</v>
      </c>
      <c r="AX34" s="116">
        <f>AX$22*shipping_manufacturing!$E$27/100</f>
        <v>0</v>
      </c>
      <c r="AY34" s="116">
        <f>AY$22*shipping_manufacturing!$E$27/100</f>
        <v>0</v>
      </c>
    </row>
    <row r="35" spans="1:52" x14ac:dyDescent="0.2">
      <c r="A35" s="116">
        <v>1335</v>
      </c>
      <c r="B35" s="171" t="s">
        <v>343</v>
      </c>
      <c r="C35" s="116"/>
      <c r="D35" s="116">
        <f>SUM(D33:D34)</f>
        <v>21</v>
      </c>
      <c r="E35" s="116">
        <f t="shared" ref="E35:AY35" si="11">SUM(E33:E34)</f>
        <v>11</v>
      </c>
      <c r="F35" s="116">
        <f t="shared" si="11"/>
        <v>11</v>
      </c>
      <c r="G35" s="116">
        <f t="shared" si="11"/>
        <v>11</v>
      </c>
      <c r="H35" s="116">
        <f t="shared" si="11"/>
        <v>11</v>
      </c>
      <c r="I35" s="116">
        <f t="shared" si="11"/>
        <v>11</v>
      </c>
      <c r="J35" s="116">
        <f t="shared" si="11"/>
        <v>11</v>
      </c>
      <c r="K35" s="116">
        <f t="shared" si="11"/>
        <v>11</v>
      </c>
      <c r="L35" s="116">
        <f t="shared" si="11"/>
        <v>11</v>
      </c>
      <c r="M35" s="116">
        <f t="shared" si="11"/>
        <v>11</v>
      </c>
      <c r="N35" s="116">
        <f t="shared" si="11"/>
        <v>11</v>
      </c>
      <c r="O35" s="116">
        <f t="shared" si="11"/>
        <v>11</v>
      </c>
      <c r="P35" s="116">
        <f t="shared" si="11"/>
        <v>11</v>
      </c>
      <c r="Q35" s="116">
        <f t="shared" si="11"/>
        <v>11</v>
      </c>
      <c r="R35" s="116">
        <f t="shared" si="11"/>
        <v>11</v>
      </c>
      <c r="S35" s="116">
        <f t="shared" si="11"/>
        <v>11</v>
      </c>
      <c r="T35" s="116">
        <f t="shared" si="11"/>
        <v>11</v>
      </c>
      <c r="U35" s="116">
        <f t="shared" si="11"/>
        <v>11</v>
      </c>
      <c r="V35" s="116">
        <f t="shared" si="11"/>
        <v>11</v>
      </c>
      <c r="W35" s="116">
        <f t="shared" si="11"/>
        <v>11</v>
      </c>
      <c r="X35" s="116">
        <f t="shared" si="11"/>
        <v>11</v>
      </c>
      <c r="Y35" s="116">
        <f t="shared" si="11"/>
        <v>11</v>
      </c>
      <c r="Z35" s="116">
        <f t="shared" si="11"/>
        <v>11</v>
      </c>
      <c r="AA35" s="116">
        <f t="shared" si="11"/>
        <v>11</v>
      </c>
      <c r="AB35" s="116">
        <f t="shared" si="11"/>
        <v>11</v>
      </c>
      <c r="AC35" s="116">
        <f t="shared" si="11"/>
        <v>11</v>
      </c>
      <c r="AD35" s="116">
        <f t="shared" si="11"/>
        <v>11</v>
      </c>
      <c r="AE35" s="116">
        <f t="shared" si="11"/>
        <v>11</v>
      </c>
      <c r="AF35" s="116">
        <f t="shared" si="11"/>
        <v>11</v>
      </c>
      <c r="AG35" s="116">
        <f t="shared" si="11"/>
        <v>11</v>
      </c>
      <c r="AH35" s="116">
        <f t="shared" si="11"/>
        <v>11</v>
      </c>
      <c r="AI35" s="116">
        <f t="shared" si="11"/>
        <v>11</v>
      </c>
      <c r="AJ35" s="116">
        <f t="shared" si="11"/>
        <v>11</v>
      </c>
      <c r="AK35" s="116">
        <f t="shared" si="11"/>
        <v>11</v>
      </c>
      <c r="AL35" s="116">
        <f t="shared" si="11"/>
        <v>0</v>
      </c>
      <c r="AM35" s="116">
        <f t="shared" si="11"/>
        <v>11</v>
      </c>
      <c r="AN35" s="116">
        <f t="shared" si="11"/>
        <v>11</v>
      </c>
      <c r="AO35" s="116">
        <f t="shared" si="11"/>
        <v>11</v>
      </c>
      <c r="AP35" s="116">
        <f t="shared" si="11"/>
        <v>11</v>
      </c>
      <c r="AQ35" s="116">
        <f t="shared" si="11"/>
        <v>11</v>
      </c>
      <c r="AR35" s="116">
        <f t="shared" si="11"/>
        <v>11</v>
      </c>
      <c r="AS35" s="116">
        <f t="shared" si="11"/>
        <v>11</v>
      </c>
      <c r="AT35" s="116">
        <f t="shared" si="11"/>
        <v>11</v>
      </c>
      <c r="AU35" s="116">
        <f t="shared" si="11"/>
        <v>11</v>
      </c>
      <c r="AV35" s="116">
        <f t="shared" si="11"/>
        <v>11</v>
      </c>
      <c r="AW35" s="116">
        <f t="shared" si="11"/>
        <v>11</v>
      </c>
      <c r="AX35" s="116">
        <f t="shared" si="11"/>
        <v>11</v>
      </c>
      <c r="AY35" s="116">
        <f t="shared" si="11"/>
        <v>11</v>
      </c>
    </row>
    <row r="36" spans="1:52" x14ac:dyDescent="0.2">
      <c r="A36" s="116"/>
      <c r="B36" s="171" t="s">
        <v>344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345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346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347</v>
      </c>
      <c r="C39" s="116"/>
      <c r="D39" s="116">
        <f>D33-D36</f>
        <v>21</v>
      </c>
      <c r="E39" s="116">
        <f t="shared" ref="E39:AY39" si="12">E33-E36</f>
        <v>11</v>
      </c>
      <c r="F39" s="116">
        <f t="shared" si="12"/>
        <v>11</v>
      </c>
      <c r="G39" s="116">
        <f t="shared" si="12"/>
        <v>11</v>
      </c>
      <c r="H39" s="116">
        <f t="shared" si="12"/>
        <v>11</v>
      </c>
      <c r="I39" s="116">
        <f t="shared" si="12"/>
        <v>11</v>
      </c>
      <c r="J39" s="116">
        <f t="shared" si="12"/>
        <v>11</v>
      </c>
      <c r="K39" s="116">
        <f t="shared" si="12"/>
        <v>11</v>
      </c>
      <c r="L39" s="116">
        <f t="shared" si="12"/>
        <v>11</v>
      </c>
      <c r="M39" s="116">
        <f t="shared" si="12"/>
        <v>11</v>
      </c>
      <c r="N39" s="116">
        <f t="shared" si="12"/>
        <v>11</v>
      </c>
      <c r="O39" s="116">
        <f t="shared" si="12"/>
        <v>11</v>
      </c>
      <c r="P39" s="116">
        <f t="shared" si="12"/>
        <v>11</v>
      </c>
      <c r="Q39" s="116">
        <f t="shared" si="12"/>
        <v>11</v>
      </c>
      <c r="R39" s="116">
        <f t="shared" si="12"/>
        <v>11</v>
      </c>
      <c r="S39" s="116">
        <f t="shared" si="12"/>
        <v>11</v>
      </c>
      <c r="T39" s="116">
        <f t="shared" si="12"/>
        <v>11</v>
      </c>
      <c r="U39" s="116">
        <f t="shared" si="12"/>
        <v>11</v>
      </c>
      <c r="V39" s="116">
        <f t="shared" si="12"/>
        <v>11</v>
      </c>
      <c r="W39" s="116">
        <f t="shared" si="12"/>
        <v>11</v>
      </c>
      <c r="X39" s="116">
        <f t="shared" si="12"/>
        <v>11</v>
      </c>
      <c r="Y39" s="116">
        <f t="shared" si="12"/>
        <v>11</v>
      </c>
      <c r="Z39" s="116">
        <f t="shared" si="12"/>
        <v>11</v>
      </c>
      <c r="AA39" s="116">
        <f t="shared" si="12"/>
        <v>11</v>
      </c>
      <c r="AB39" s="116">
        <f t="shared" si="12"/>
        <v>11</v>
      </c>
      <c r="AC39" s="116">
        <f t="shared" si="12"/>
        <v>11</v>
      </c>
      <c r="AD39" s="116">
        <f t="shared" si="12"/>
        <v>11</v>
      </c>
      <c r="AE39" s="116">
        <f t="shared" si="12"/>
        <v>11</v>
      </c>
      <c r="AF39" s="116">
        <f t="shared" si="12"/>
        <v>11</v>
      </c>
      <c r="AG39" s="116">
        <f t="shared" si="12"/>
        <v>11</v>
      </c>
      <c r="AH39" s="116">
        <f t="shared" si="12"/>
        <v>11</v>
      </c>
      <c r="AI39" s="116">
        <f t="shared" si="12"/>
        <v>11</v>
      </c>
      <c r="AJ39" s="116">
        <f t="shared" si="12"/>
        <v>11</v>
      </c>
      <c r="AK39" s="116">
        <f t="shared" si="12"/>
        <v>11</v>
      </c>
      <c r="AL39" s="116">
        <f t="shared" si="12"/>
        <v>0</v>
      </c>
      <c r="AM39" s="116">
        <f t="shared" si="12"/>
        <v>11</v>
      </c>
      <c r="AN39" s="116">
        <f t="shared" si="12"/>
        <v>11</v>
      </c>
      <c r="AO39" s="116">
        <f t="shared" si="12"/>
        <v>11</v>
      </c>
      <c r="AP39" s="116">
        <f t="shared" si="12"/>
        <v>11</v>
      </c>
      <c r="AQ39" s="116">
        <f t="shared" si="12"/>
        <v>11</v>
      </c>
      <c r="AR39" s="116">
        <f t="shared" si="12"/>
        <v>11</v>
      </c>
      <c r="AS39" s="116">
        <f t="shared" si="12"/>
        <v>11</v>
      </c>
      <c r="AT39" s="116">
        <f t="shared" si="12"/>
        <v>11</v>
      </c>
      <c r="AU39" s="116">
        <f t="shared" si="12"/>
        <v>11</v>
      </c>
      <c r="AV39" s="116">
        <f t="shared" si="12"/>
        <v>11</v>
      </c>
      <c r="AW39" s="116">
        <f t="shared" si="12"/>
        <v>11</v>
      </c>
      <c r="AX39" s="116">
        <f t="shared" si="12"/>
        <v>11</v>
      </c>
      <c r="AY39" s="116">
        <f t="shared" si="12"/>
        <v>11</v>
      </c>
    </row>
    <row r="40" spans="1:52" x14ac:dyDescent="0.2">
      <c r="A40" s="116"/>
      <c r="B40" s="171" t="s">
        <v>348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349</v>
      </c>
      <c r="C41" s="116"/>
      <c r="D41" s="116">
        <v>2</v>
      </c>
      <c r="E41" s="116">
        <v>1</v>
      </c>
      <c r="F41" s="116">
        <v>1</v>
      </c>
      <c r="G41" s="116">
        <v>1</v>
      </c>
      <c r="H41" s="116">
        <v>1</v>
      </c>
      <c r="I41" s="116">
        <v>1</v>
      </c>
      <c r="J41" s="116">
        <v>1</v>
      </c>
      <c r="K41" s="116">
        <v>1</v>
      </c>
      <c r="L41" s="116">
        <v>1</v>
      </c>
      <c r="M41" s="116">
        <v>2</v>
      </c>
      <c r="N41" s="116">
        <v>1</v>
      </c>
      <c r="O41" s="116">
        <v>2</v>
      </c>
      <c r="P41" s="116">
        <v>3</v>
      </c>
      <c r="Q41" s="116">
        <v>1</v>
      </c>
      <c r="R41" s="116">
        <v>3</v>
      </c>
      <c r="S41" s="116">
        <v>1</v>
      </c>
      <c r="T41" s="116">
        <v>1</v>
      </c>
      <c r="U41" s="116">
        <v>1</v>
      </c>
      <c r="V41" s="116">
        <v>3</v>
      </c>
      <c r="W41" s="116">
        <v>2</v>
      </c>
      <c r="X41" s="116">
        <v>1</v>
      </c>
      <c r="Y41" s="116">
        <v>3</v>
      </c>
      <c r="Z41" s="116">
        <v>1</v>
      </c>
      <c r="AA41" s="116">
        <v>1</v>
      </c>
      <c r="AB41" s="116">
        <v>1</v>
      </c>
      <c r="AC41" s="116">
        <v>1</v>
      </c>
      <c r="AD41" s="116">
        <v>1</v>
      </c>
      <c r="AE41" s="116">
        <v>1</v>
      </c>
      <c r="AF41" s="116">
        <v>1</v>
      </c>
      <c r="AG41" s="116">
        <v>2</v>
      </c>
      <c r="AH41" s="116">
        <v>1</v>
      </c>
      <c r="AI41" s="116">
        <v>1</v>
      </c>
      <c r="AJ41" s="116">
        <v>2</v>
      </c>
      <c r="AK41" s="116">
        <v>1</v>
      </c>
      <c r="AL41" s="116">
        <v>1</v>
      </c>
      <c r="AM41" s="116">
        <v>1</v>
      </c>
      <c r="AN41" s="116">
        <v>1</v>
      </c>
      <c r="AO41" s="116">
        <v>3</v>
      </c>
      <c r="AP41" s="116">
        <v>1</v>
      </c>
      <c r="AQ41" s="116">
        <v>1</v>
      </c>
      <c r="AR41" s="116">
        <v>2</v>
      </c>
      <c r="AS41" s="116">
        <v>3</v>
      </c>
      <c r="AT41" s="116">
        <v>3</v>
      </c>
      <c r="AU41" s="116">
        <v>2</v>
      </c>
      <c r="AV41" s="116">
        <v>2</v>
      </c>
      <c r="AW41" s="116">
        <v>2</v>
      </c>
      <c r="AX41" s="116">
        <v>2</v>
      </c>
      <c r="AY41" s="116">
        <v>3</v>
      </c>
    </row>
    <row r="42" spans="1:52" x14ac:dyDescent="0.2">
      <c r="A42" s="116"/>
      <c r="B42" s="184" t="s">
        <v>350</v>
      </c>
      <c r="C42" s="116"/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0</v>
      </c>
    </row>
    <row r="43" spans="1:52" x14ac:dyDescent="0.2">
      <c r="A43" s="116"/>
      <c r="B43" s="184" t="s">
        <v>351</v>
      </c>
      <c r="C43" s="116"/>
      <c r="D43" s="116">
        <v>18222.75</v>
      </c>
      <c r="E43" s="116">
        <v>9545.25</v>
      </c>
      <c r="F43" s="116">
        <v>9545.25</v>
      </c>
      <c r="G43" s="116">
        <v>9545.25</v>
      </c>
      <c r="H43" s="116">
        <v>9545.25</v>
      </c>
      <c r="I43" s="116">
        <v>9545.25</v>
      </c>
      <c r="J43" s="116">
        <v>9545.25</v>
      </c>
      <c r="K43" s="116">
        <v>9545.25</v>
      </c>
      <c r="L43" s="116">
        <v>9545.25</v>
      </c>
      <c r="M43" s="116">
        <v>9545.25</v>
      </c>
      <c r="N43" s="116">
        <v>9545.25</v>
      </c>
      <c r="O43" s="116">
        <v>9545.25</v>
      </c>
      <c r="P43" s="116">
        <v>9545.25</v>
      </c>
      <c r="Q43" s="116">
        <v>9545.25</v>
      </c>
      <c r="R43" s="116">
        <v>9545.25</v>
      </c>
      <c r="S43" s="116">
        <v>9545.25</v>
      </c>
      <c r="T43" s="116">
        <v>9545.25</v>
      </c>
      <c r="U43" s="116">
        <v>9545.25</v>
      </c>
      <c r="V43" s="116">
        <v>9545.25</v>
      </c>
      <c r="W43" s="116">
        <v>9545.25</v>
      </c>
      <c r="X43" s="116">
        <v>9545.25</v>
      </c>
      <c r="Y43" s="116">
        <v>9545.25</v>
      </c>
      <c r="Z43" s="116">
        <v>9545.25</v>
      </c>
      <c r="AA43" s="116">
        <v>9545.25</v>
      </c>
      <c r="AB43" s="116">
        <v>9545.25</v>
      </c>
      <c r="AC43" s="116">
        <v>9545.25</v>
      </c>
      <c r="AD43" s="116">
        <v>9545.25</v>
      </c>
      <c r="AE43" s="116">
        <v>9545.25</v>
      </c>
      <c r="AF43" s="116">
        <v>9545.25</v>
      </c>
      <c r="AG43" s="116">
        <v>9545.25</v>
      </c>
      <c r="AH43" s="116">
        <v>9545.25</v>
      </c>
      <c r="AI43" s="116">
        <v>9545.25</v>
      </c>
      <c r="AJ43" s="116">
        <v>9545.25</v>
      </c>
      <c r="AK43" s="116">
        <v>9545.25</v>
      </c>
      <c r="AL43" s="116">
        <v>0</v>
      </c>
      <c r="AM43" s="116">
        <v>9545.25</v>
      </c>
      <c r="AN43" s="116">
        <v>9545.25</v>
      </c>
      <c r="AO43" s="116">
        <v>9545.25</v>
      </c>
      <c r="AP43" s="116">
        <v>9545.25</v>
      </c>
      <c r="AQ43" s="116">
        <v>9545.25</v>
      </c>
      <c r="AR43" s="116">
        <v>9545.25</v>
      </c>
      <c r="AS43" s="116">
        <v>9545.25</v>
      </c>
      <c r="AT43" s="116">
        <v>9545.25</v>
      </c>
      <c r="AU43" s="116">
        <v>9545.25</v>
      </c>
      <c r="AV43" s="116">
        <v>9545.25</v>
      </c>
      <c r="AW43" s="116">
        <v>9545.25</v>
      </c>
      <c r="AX43" s="116">
        <v>9545.25</v>
      </c>
      <c r="AY43" s="116">
        <v>9545.25</v>
      </c>
      <c r="AZ43" s="106">
        <f>SUM($D$43:$AY$43)</f>
        <v>457304.25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D$21*shipping_manufacturing!$D$28/100</f>
        <v>0</v>
      </c>
      <c r="E44" s="130">
        <f>E$21*shipping_manufacturing!$D$28/100</f>
        <v>0</v>
      </c>
      <c r="F44" s="130">
        <f>F$21*shipping_manufacturing!$D$28/100</f>
        <v>0</v>
      </c>
      <c r="G44" s="130">
        <f>G$21*shipping_manufacturing!$D$28/100</f>
        <v>0</v>
      </c>
      <c r="H44" s="130">
        <f>H$21*shipping_manufacturing!$D$28/100</f>
        <v>0</v>
      </c>
      <c r="I44" s="130">
        <f>I$21*shipping_manufacturing!$D$28/100</f>
        <v>0</v>
      </c>
      <c r="J44" s="130">
        <f>J$21*shipping_manufacturing!$D$28/100</f>
        <v>0</v>
      </c>
      <c r="K44" s="130">
        <f>K$21*shipping_manufacturing!$D$28/100</f>
        <v>0</v>
      </c>
      <c r="L44" s="130">
        <f>L$21*shipping_manufacturing!$D$28/100</f>
        <v>0</v>
      </c>
      <c r="M44" s="130">
        <f>M$21*shipping_manufacturing!$D$28/100</f>
        <v>0</v>
      </c>
      <c r="N44" s="130">
        <f>N$21*shipping_manufacturing!$D$28/100</f>
        <v>0</v>
      </c>
      <c r="O44" s="130">
        <f>O$21*shipping_manufacturing!$D$28/100</f>
        <v>0</v>
      </c>
      <c r="P44" s="130">
        <f>P$21*shipping_manufacturing!$D$28/100</f>
        <v>0</v>
      </c>
      <c r="Q44" s="130">
        <f>Q$21*shipping_manufacturing!$D$28/100</f>
        <v>0</v>
      </c>
      <c r="R44" s="130">
        <f>R$21*shipping_manufacturing!$D$28/100</f>
        <v>0</v>
      </c>
      <c r="S44" s="130">
        <f>S$21*shipping_manufacturing!$D$28/100</f>
        <v>0</v>
      </c>
      <c r="T44" s="130">
        <f>T$21*shipping_manufacturing!$D$28/100</f>
        <v>0</v>
      </c>
      <c r="U44" s="130">
        <f>U$21*shipping_manufacturing!$D$28/100</f>
        <v>0</v>
      </c>
      <c r="V44" s="130">
        <f>V$21*shipping_manufacturing!$D$28/100</f>
        <v>0</v>
      </c>
      <c r="W44" s="130">
        <f>W$21*shipping_manufacturing!$D$28/100</f>
        <v>0</v>
      </c>
      <c r="X44" s="130">
        <f>X$21*shipping_manufacturing!$D$28/100</f>
        <v>0</v>
      </c>
      <c r="Y44" s="130">
        <f>Y$21*shipping_manufacturing!$D$28/100</f>
        <v>0</v>
      </c>
      <c r="Z44" s="130">
        <f>Z$21*shipping_manufacturing!$D$28/100</f>
        <v>0</v>
      </c>
      <c r="AA44" s="130">
        <f>AA$21*shipping_manufacturing!$D$28/100</f>
        <v>0</v>
      </c>
      <c r="AB44" s="130">
        <f>AB$21*shipping_manufacturing!$D$28/100</f>
        <v>0</v>
      </c>
      <c r="AC44" s="130">
        <f>AC$21*shipping_manufacturing!$D$28/100</f>
        <v>0</v>
      </c>
      <c r="AD44" s="130">
        <f>AD$21*shipping_manufacturing!$D$28/100</f>
        <v>0</v>
      </c>
      <c r="AE44" s="130">
        <f>AE$21*shipping_manufacturing!$D$28/100</f>
        <v>0</v>
      </c>
      <c r="AF44" s="130">
        <f>AF$21*shipping_manufacturing!$D$28/100</f>
        <v>0</v>
      </c>
      <c r="AG44" s="130">
        <f>AG$21*shipping_manufacturing!$D$28/100</f>
        <v>0</v>
      </c>
      <c r="AH44" s="130">
        <f>AH$21*shipping_manufacturing!$D$28/100</f>
        <v>0</v>
      </c>
      <c r="AI44" s="130">
        <f>AI$21*shipping_manufacturing!$D$28/100</f>
        <v>0</v>
      </c>
      <c r="AJ44" s="130">
        <f>AJ$21*shipping_manufacturing!$D$28/100</f>
        <v>0</v>
      </c>
      <c r="AK44" s="130">
        <f>AK$21*shipping_manufacturing!$D$28/100</f>
        <v>0</v>
      </c>
      <c r="AL44" s="130">
        <f>AL$21*shipping_manufacturing!$D$28/100</f>
        <v>0</v>
      </c>
      <c r="AM44" s="130">
        <f>AM$21*shipping_manufacturing!$D$28/100</f>
        <v>0</v>
      </c>
      <c r="AN44" s="130">
        <f>AN$21*shipping_manufacturing!$D$28/100</f>
        <v>0</v>
      </c>
      <c r="AO44" s="130">
        <f>AO$21*shipping_manufacturing!$D$28/100</f>
        <v>0</v>
      </c>
      <c r="AP44" s="130">
        <f>AP$21*shipping_manufacturing!$D$28/100</f>
        <v>0</v>
      </c>
      <c r="AQ44" s="130">
        <f>AQ$21*shipping_manufacturing!$D$28/100</f>
        <v>0</v>
      </c>
      <c r="AR44" s="130">
        <f>AR$21*shipping_manufacturing!$D$28/100</f>
        <v>0</v>
      </c>
      <c r="AS44" s="130">
        <f>AS$21*shipping_manufacturing!$D$28/100</f>
        <v>0</v>
      </c>
      <c r="AT44" s="130">
        <f>AT$21*shipping_manufacturing!$D$28/100</f>
        <v>0</v>
      </c>
      <c r="AU44" s="130">
        <f>AU$21*shipping_manufacturing!$D$28/100</f>
        <v>0</v>
      </c>
      <c r="AV44" s="130">
        <f>AV$21*shipping_manufacturing!$D$28/100</f>
        <v>0</v>
      </c>
      <c r="AW44" s="130">
        <f>AW$21*shipping_manufacturing!$D$28/100</f>
        <v>0</v>
      </c>
      <c r="AX44" s="130">
        <f>AX$21*shipping_manufacturing!$D$28/100</f>
        <v>0</v>
      </c>
      <c r="AY44" s="130">
        <f>AY$21*shipping_manufacturing!$D$28/100</f>
        <v>0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D$22*shipping_manufacturing!$E$28/100</f>
        <v>0</v>
      </c>
      <c r="E45" s="116">
        <f>E$22*shipping_manufacturing!$E$28/100</f>
        <v>0</v>
      </c>
      <c r="F45" s="116">
        <f>F$22*shipping_manufacturing!$E$28/100</f>
        <v>0</v>
      </c>
      <c r="G45" s="116">
        <f>G$22*shipping_manufacturing!$E$28/100</f>
        <v>0</v>
      </c>
      <c r="H45" s="116">
        <f>H$22*shipping_manufacturing!$E$28/100</f>
        <v>0</v>
      </c>
      <c r="I45" s="116">
        <f>I$22*shipping_manufacturing!$E$28/100</f>
        <v>0</v>
      </c>
      <c r="J45" s="116">
        <f>J$22*shipping_manufacturing!$E$28/100</f>
        <v>0</v>
      </c>
      <c r="K45" s="116">
        <f>K$22*shipping_manufacturing!$E$28/100</f>
        <v>0</v>
      </c>
      <c r="L45" s="116">
        <f>L$22*shipping_manufacturing!$E$28/100</f>
        <v>0</v>
      </c>
      <c r="M45" s="116">
        <f>M$22*shipping_manufacturing!$E$28/100</f>
        <v>0</v>
      </c>
      <c r="N45" s="116">
        <f>N$22*shipping_manufacturing!$E$28/100</f>
        <v>0</v>
      </c>
      <c r="O45" s="116">
        <f>O$22*shipping_manufacturing!$E$28/100</f>
        <v>0</v>
      </c>
      <c r="P45" s="116">
        <f>P$22*shipping_manufacturing!$E$28/100</f>
        <v>0</v>
      </c>
      <c r="Q45" s="116">
        <f>Q$22*shipping_manufacturing!$E$28/100</f>
        <v>0</v>
      </c>
      <c r="R45" s="116">
        <f>R$22*shipping_manufacturing!$E$28/100</f>
        <v>0</v>
      </c>
      <c r="S45" s="116">
        <f>S$22*shipping_manufacturing!$E$28/100</f>
        <v>0</v>
      </c>
      <c r="T45" s="116">
        <f>T$22*shipping_manufacturing!$E$28/100</f>
        <v>0</v>
      </c>
      <c r="U45" s="116">
        <f>U$22*shipping_manufacturing!$E$28/100</f>
        <v>0</v>
      </c>
      <c r="V45" s="116">
        <f>V$22*shipping_manufacturing!$E$28/100</f>
        <v>0</v>
      </c>
      <c r="W45" s="116">
        <f>W$22*shipping_manufacturing!$E$28/100</f>
        <v>0</v>
      </c>
      <c r="X45" s="116">
        <f>X$22*shipping_manufacturing!$E$28/100</f>
        <v>0</v>
      </c>
      <c r="Y45" s="116">
        <f>Y$22*shipping_manufacturing!$E$28/100</f>
        <v>0</v>
      </c>
      <c r="Z45" s="116">
        <f>Z$22*shipping_manufacturing!$E$28/100</f>
        <v>0</v>
      </c>
      <c r="AA45" s="116">
        <f>AA$22*shipping_manufacturing!$E$28/100</f>
        <v>0</v>
      </c>
      <c r="AB45" s="116">
        <f>AB$22*shipping_manufacturing!$E$28/100</f>
        <v>0</v>
      </c>
      <c r="AC45" s="116">
        <f>AC$22*shipping_manufacturing!$E$28/100</f>
        <v>0</v>
      </c>
      <c r="AD45" s="116">
        <f>AD$22*shipping_manufacturing!$E$28/100</f>
        <v>0</v>
      </c>
      <c r="AE45" s="116">
        <f>AE$22*shipping_manufacturing!$E$28/100</f>
        <v>0</v>
      </c>
      <c r="AF45" s="116">
        <f>AF$22*shipping_manufacturing!$E$28/100</f>
        <v>0</v>
      </c>
      <c r="AG45" s="116">
        <f>AG$22*shipping_manufacturing!$E$28/100</f>
        <v>0</v>
      </c>
      <c r="AH45" s="116">
        <f>AH$22*shipping_manufacturing!$E$28/100</f>
        <v>0</v>
      </c>
      <c r="AI45" s="116">
        <f>AI$22*shipping_manufacturing!$E$28/100</f>
        <v>0</v>
      </c>
      <c r="AJ45" s="116">
        <f>AJ$22*shipping_manufacturing!$E$28/100</f>
        <v>0</v>
      </c>
      <c r="AK45" s="116">
        <f>AK$22*shipping_manufacturing!$E$28/100</f>
        <v>0</v>
      </c>
      <c r="AL45" s="116">
        <f>AL$22*shipping_manufacturing!$E$28/100</f>
        <v>0</v>
      </c>
      <c r="AM45" s="116">
        <f>AM$22*shipping_manufacturing!$E$28/100</f>
        <v>0</v>
      </c>
      <c r="AN45" s="116">
        <f>AN$22*shipping_manufacturing!$E$28/100</f>
        <v>0</v>
      </c>
      <c r="AO45" s="116">
        <f>AO$22*shipping_manufacturing!$E$28/100</f>
        <v>0</v>
      </c>
      <c r="AP45" s="116">
        <f>AP$22*shipping_manufacturing!$E$28/100</f>
        <v>0</v>
      </c>
      <c r="AQ45" s="116">
        <f>AQ$22*shipping_manufacturing!$E$28/100</f>
        <v>0</v>
      </c>
      <c r="AR45" s="116">
        <f>AR$22*shipping_manufacturing!$E$28/100</f>
        <v>0</v>
      </c>
      <c r="AS45" s="116">
        <f>AS$22*shipping_manufacturing!$E$28/100</f>
        <v>0</v>
      </c>
      <c r="AT45" s="116">
        <f>AT$22*shipping_manufacturing!$E$28/100</f>
        <v>0</v>
      </c>
      <c r="AU45" s="116">
        <f>AU$22*shipping_manufacturing!$E$28/100</f>
        <v>0</v>
      </c>
      <c r="AV45" s="116">
        <f>AV$22*shipping_manufacturing!$E$28/100</f>
        <v>0</v>
      </c>
      <c r="AW45" s="116">
        <f>AW$22*shipping_manufacturing!$E$28/100</f>
        <v>0</v>
      </c>
      <c r="AX45" s="116">
        <f>AX$22*shipping_manufacturing!$E$28/100</f>
        <v>0</v>
      </c>
      <c r="AY45" s="116">
        <f>AY$22*shipping_manufacturing!$E$28/100</f>
        <v>0</v>
      </c>
    </row>
    <row r="46" spans="1:52" x14ac:dyDescent="0.2">
      <c r="A46" s="116">
        <v>718</v>
      </c>
      <c r="B46" s="171" t="s">
        <v>343</v>
      </c>
      <c r="C46" s="116"/>
      <c r="D46" s="116">
        <f>SUM(D44:D45)</f>
        <v>0</v>
      </c>
      <c r="E46" s="116">
        <f t="shared" ref="E46:AY46" si="14">SUM(E44:E45)</f>
        <v>0</v>
      </c>
      <c r="F46" s="116">
        <f t="shared" si="14"/>
        <v>0</v>
      </c>
      <c r="G46" s="116">
        <f t="shared" si="14"/>
        <v>0</v>
      </c>
      <c r="H46" s="116">
        <f t="shared" si="14"/>
        <v>0</v>
      </c>
      <c r="I46" s="116">
        <f t="shared" si="14"/>
        <v>0</v>
      </c>
      <c r="J46" s="116">
        <f t="shared" si="14"/>
        <v>0</v>
      </c>
      <c r="K46" s="116">
        <f t="shared" si="14"/>
        <v>0</v>
      </c>
      <c r="L46" s="116">
        <f t="shared" si="14"/>
        <v>0</v>
      </c>
      <c r="M46" s="116">
        <f t="shared" si="14"/>
        <v>0</v>
      </c>
      <c r="N46" s="116">
        <f t="shared" si="14"/>
        <v>0</v>
      </c>
      <c r="O46" s="116">
        <f t="shared" si="14"/>
        <v>0</v>
      </c>
      <c r="P46" s="116">
        <f t="shared" si="14"/>
        <v>0</v>
      </c>
      <c r="Q46" s="116">
        <f t="shared" si="14"/>
        <v>0</v>
      </c>
      <c r="R46" s="116">
        <f t="shared" si="14"/>
        <v>0</v>
      </c>
      <c r="S46" s="116">
        <f t="shared" si="14"/>
        <v>0</v>
      </c>
      <c r="T46" s="116">
        <f t="shared" si="14"/>
        <v>0</v>
      </c>
      <c r="U46" s="116">
        <f t="shared" si="14"/>
        <v>0</v>
      </c>
      <c r="V46" s="116">
        <f t="shared" si="14"/>
        <v>0</v>
      </c>
      <c r="W46" s="116">
        <f t="shared" si="14"/>
        <v>0</v>
      </c>
      <c r="X46" s="116">
        <f t="shared" si="14"/>
        <v>0</v>
      </c>
      <c r="Y46" s="116">
        <f t="shared" si="14"/>
        <v>0</v>
      </c>
      <c r="Z46" s="116">
        <f t="shared" si="14"/>
        <v>0</v>
      </c>
      <c r="AA46" s="116">
        <f t="shared" si="14"/>
        <v>0</v>
      </c>
      <c r="AB46" s="116">
        <f t="shared" si="14"/>
        <v>0</v>
      </c>
      <c r="AC46" s="116">
        <f t="shared" si="14"/>
        <v>0</v>
      </c>
      <c r="AD46" s="116">
        <f t="shared" si="14"/>
        <v>0</v>
      </c>
      <c r="AE46" s="116">
        <f t="shared" si="14"/>
        <v>0</v>
      </c>
      <c r="AF46" s="116">
        <f t="shared" si="14"/>
        <v>0</v>
      </c>
      <c r="AG46" s="116">
        <f t="shared" si="14"/>
        <v>0</v>
      </c>
      <c r="AH46" s="116">
        <f t="shared" si="14"/>
        <v>0</v>
      </c>
      <c r="AI46" s="116">
        <f t="shared" si="14"/>
        <v>0</v>
      </c>
      <c r="AJ46" s="116">
        <f t="shared" si="14"/>
        <v>0</v>
      </c>
      <c r="AK46" s="116">
        <f t="shared" si="14"/>
        <v>0</v>
      </c>
      <c r="AL46" s="116">
        <f t="shared" si="14"/>
        <v>0</v>
      </c>
      <c r="AM46" s="116">
        <f t="shared" si="14"/>
        <v>0</v>
      </c>
      <c r="AN46" s="116">
        <f t="shared" si="14"/>
        <v>0</v>
      </c>
      <c r="AO46" s="116">
        <f t="shared" si="14"/>
        <v>0</v>
      </c>
      <c r="AP46" s="116">
        <f t="shared" si="14"/>
        <v>0</v>
      </c>
      <c r="AQ46" s="116">
        <f t="shared" si="14"/>
        <v>0</v>
      </c>
      <c r="AR46" s="116">
        <f t="shared" si="14"/>
        <v>0</v>
      </c>
      <c r="AS46" s="116">
        <f t="shared" si="14"/>
        <v>0</v>
      </c>
      <c r="AT46" s="116">
        <f t="shared" si="14"/>
        <v>0</v>
      </c>
      <c r="AU46" s="116">
        <f t="shared" si="14"/>
        <v>0</v>
      </c>
      <c r="AV46" s="116">
        <f t="shared" si="14"/>
        <v>0</v>
      </c>
      <c r="AW46" s="116">
        <f t="shared" si="14"/>
        <v>0</v>
      </c>
      <c r="AX46" s="116">
        <f t="shared" si="14"/>
        <v>0</v>
      </c>
      <c r="AY46" s="116">
        <f t="shared" si="14"/>
        <v>0</v>
      </c>
    </row>
    <row r="47" spans="1:52" x14ac:dyDescent="0.2">
      <c r="A47" s="116"/>
      <c r="B47" s="171" t="s">
        <v>344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2" x14ac:dyDescent="0.2">
      <c r="A48" s="116"/>
      <c r="B48" s="171" t="s">
        <v>345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2" x14ac:dyDescent="0.2">
      <c r="A49" s="116"/>
      <c r="B49" s="171" t="s">
        <v>346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2" x14ac:dyDescent="0.2">
      <c r="A50" s="116"/>
      <c r="B50" s="171" t="s">
        <v>347</v>
      </c>
      <c r="C50" s="116"/>
      <c r="D50" s="116">
        <f>D44-D47</f>
        <v>0</v>
      </c>
      <c r="E50" s="116">
        <f t="shared" ref="E50:AY50" si="15">E44-E47</f>
        <v>0</v>
      </c>
      <c r="F50" s="116">
        <f t="shared" si="15"/>
        <v>0</v>
      </c>
      <c r="G50" s="116">
        <f t="shared" si="15"/>
        <v>0</v>
      </c>
      <c r="H50" s="116">
        <f t="shared" si="15"/>
        <v>0</v>
      </c>
      <c r="I50" s="116">
        <f t="shared" si="15"/>
        <v>0</v>
      </c>
      <c r="J50" s="116">
        <f t="shared" si="15"/>
        <v>0</v>
      </c>
      <c r="K50" s="116">
        <f t="shared" si="15"/>
        <v>0</v>
      </c>
      <c r="L50" s="116">
        <f t="shared" si="15"/>
        <v>0</v>
      </c>
      <c r="M50" s="116">
        <f t="shared" si="15"/>
        <v>0</v>
      </c>
      <c r="N50" s="116">
        <f t="shared" si="15"/>
        <v>0</v>
      </c>
      <c r="O50" s="116">
        <f t="shared" si="15"/>
        <v>0</v>
      </c>
      <c r="P50" s="116">
        <f t="shared" si="15"/>
        <v>0</v>
      </c>
      <c r="Q50" s="116">
        <f t="shared" si="15"/>
        <v>0</v>
      </c>
      <c r="R50" s="116">
        <f t="shared" si="15"/>
        <v>0</v>
      </c>
      <c r="S50" s="116">
        <f t="shared" si="15"/>
        <v>0</v>
      </c>
      <c r="T50" s="116">
        <f t="shared" si="15"/>
        <v>0</v>
      </c>
      <c r="U50" s="116">
        <f t="shared" si="15"/>
        <v>0</v>
      </c>
      <c r="V50" s="116">
        <f t="shared" si="15"/>
        <v>0</v>
      </c>
      <c r="W50" s="116">
        <f t="shared" si="15"/>
        <v>0</v>
      </c>
      <c r="X50" s="116">
        <f t="shared" si="15"/>
        <v>0</v>
      </c>
      <c r="Y50" s="116">
        <f t="shared" si="15"/>
        <v>0</v>
      </c>
      <c r="Z50" s="116">
        <f t="shared" si="15"/>
        <v>0</v>
      </c>
      <c r="AA50" s="116">
        <f t="shared" si="15"/>
        <v>0</v>
      </c>
      <c r="AB50" s="116">
        <f t="shared" si="15"/>
        <v>0</v>
      </c>
      <c r="AC50" s="116">
        <f t="shared" si="15"/>
        <v>0</v>
      </c>
      <c r="AD50" s="116">
        <f t="shared" si="15"/>
        <v>0</v>
      </c>
      <c r="AE50" s="116">
        <f t="shared" si="15"/>
        <v>0</v>
      </c>
      <c r="AF50" s="116">
        <f t="shared" si="15"/>
        <v>0</v>
      </c>
      <c r="AG50" s="116">
        <f t="shared" si="15"/>
        <v>0</v>
      </c>
      <c r="AH50" s="116">
        <f t="shared" si="15"/>
        <v>0</v>
      </c>
      <c r="AI50" s="116">
        <f t="shared" si="15"/>
        <v>0</v>
      </c>
      <c r="AJ50" s="116">
        <f t="shared" si="15"/>
        <v>0</v>
      </c>
      <c r="AK50" s="116">
        <f t="shared" si="15"/>
        <v>0</v>
      </c>
      <c r="AL50" s="116">
        <f t="shared" si="15"/>
        <v>0</v>
      </c>
      <c r="AM50" s="116">
        <f t="shared" si="15"/>
        <v>0</v>
      </c>
      <c r="AN50" s="116">
        <f t="shared" si="15"/>
        <v>0</v>
      </c>
      <c r="AO50" s="116">
        <f t="shared" si="15"/>
        <v>0</v>
      </c>
      <c r="AP50" s="116">
        <f t="shared" si="15"/>
        <v>0</v>
      </c>
      <c r="AQ50" s="116">
        <f t="shared" si="15"/>
        <v>0</v>
      </c>
      <c r="AR50" s="116">
        <f t="shared" si="15"/>
        <v>0</v>
      </c>
      <c r="AS50" s="116">
        <f t="shared" si="15"/>
        <v>0</v>
      </c>
      <c r="AT50" s="116">
        <f t="shared" si="15"/>
        <v>0</v>
      </c>
      <c r="AU50" s="116">
        <f t="shared" si="15"/>
        <v>0</v>
      </c>
      <c r="AV50" s="116">
        <f t="shared" si="15"/>
        <v>0</v>
      </c>
      <c r="AW50" s="116">
        <f t="shared" si="15"/>
        <v>0</v>
      </c>
      <c r="AX50" s="116">
        <f t="shared" si="15"/>
        <v>0</v>
      </c>
      <c r="AY50" s="116">
        <f t="shared" si="15"/>
        <v>0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1</v>
      </c>
      <c r="E52" s="116">
        <v>2</v>
      </c>
      <c r="F52" s="116">
        <v>1</v>
      </c>
      <c r="G52" s="116">
        <v>1</v>
      </c>
      <c r="H52" s="116">
        <v>2</v>
      </c>
      <c r="I52" s="116">
        <v>2</v>
      </c>
      <c r="J52" s="116">
        <v>2</v>
      </c>
      <c r="K52" s="116">
        <v>1</v>
      </c>
      <c r="L52" s="116">
        <v>1</v>
      </c>
      <c r="M52" s="116">
        <v>2</v>
      </c>
      <c r="N52" s="116">
        <v>1</v>
      </c>
      <c r="O52" s="116">
        <v>2</v>
      </c>
      <c r="P52" s="116">
        <v>2</v>
      </c>
      <c r="Q52" s="116">
        <v>2</v>
      </c>
      <c r="R52" s="116">
        <v>1</v>
      </c>
      <c r="S52" s="116">
        <v>1</v>
      </c>
      <c r="T52" s="116">
        <v>2</v>
      </c>
      <c r="U52" s="116">
        <v>1</v>
      </c>
      <c r="V52" s="116">
        <v>3</v>
      </c>
      <c r="W52" s="116">
        <v>3</v>
      </c>
      <c r="X52" s="116">
        <v>3</v>
      </c>
      <c r="Y52" s="116">
        <v>1</v>
      </c>
      <c r="Z52" s="116">
        <v>1</v>
      </c>
      <c r="AA52" s="116">
        <v>2</v>
      </c>
      <c r="AB52" s="116">
        <v>1</v>
      </c>
      <c r="AC52" s="116">
        <v>2</v>
      </c>
      <c r="AD52" s="116">
        <v>1</v>
      </c>
      <c r="AE52" s="116">
        <v>1</v>
      </c>
      <c r="AF52" s="116">
        <v>1</v>
      </c>
      <c r="AG52" s="116">
        <v>2</v>
      </c>
      <c r="AH52" s="116">
        <v>1</v>
      </c>
      <c r="AI52" s="116">
        <v>2</v>
      </c>
      <c r="AJ52" s="116">
        <v>3</v>
      </c>
      <c r="AK52" s="116">
        <v>1</v>
      </c>
      <c r="AL52" s="116">
        <v>2</v>
      </c>
      <c r="AM52" s="116">
        <v>2</v>
      </c>
      <c r="AN52" s="116">
        <v>1</v>
      </c>
      <c r="AO52" s="116">
        <v>3</v>
      </c>
      <c r="AP52" s="116">
        <v>2</v>
      </c>
      <c r="AQ52" s="116">
        <v>1</v>
      </c>
      <c r="AR52" s="116">
        <v>2</v>
      </c>
      <c r="AS52" s="116">
        <v>1</v>
      </c>
      <c r="AT52" s="116">
        <v>1</v>
      </c>
      <c r="AU52" s="116">
        <v>1</v>
      </c>
      <c r="AV52" s="116">
        <v>2</v>
      </c>
      <c r="AW52" s="116">
        <v>1</v>
      </c>
      <c r="AX52" s="116">
        <v>1</v>
      </c>
      <c r="AY52" s="116">
        <v>1</v>
      </c>
    </row>
    <row r="53" spans="1:52" x14ac:dyDescent="0.2">
      <c r="A53" s="116"/>
      <c r="B53" s="184" t="s">
        <v>350</v>
      </c>
      <c r="C53" s="116"/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  <c r="AZ53" s="106">
        <f>SUM($D$53:$AY$53)</f>
        <v>0</v>
      </c>
    </row>
    <row r="54" spans="1:52" x14ac:dyDescent="0.2">
      <c r="A54" s="131"/>
      <c r="B54" s="146" t="s">
        <v>351</v>
      </c>
      <c r="C54" s="131"/>
      <c r="D54" s="131">
        <v>0</v>
      </c>
      <c r="E54" s="131">
        <v>0</v>
      </c>
      <c r="F54" s="131">
        <v>0</v>
      </c>
      <c r="G54" s="131">
        <v>0</v>
      </c>
      <c r="H54" s="131">
        <v>0</v>
      </c>
      <c r="I54" s="131">
        <v>0</v>
      </c>
      <c r="J54" s="131">
        <v>0</v>
      </c>
      <c r="K54" s="131">
        <v>0</v>
      </c>
      <c r="L54" s="131">
        <v>0</v>
      </c>
      <c r="M54" s="131">
        <v>0</v>
      </c>
      <c r="N54" s="131">
        <v>0</v>
      </c>
      <c r="O54" s="131">
        <v>0</v>
      </c>
      <c r="P54" s="131">
        <v>0</v>
      </c>
      <c r="Q54" s="131">
        <v>0</v>
      </c>
      <c r="R54" s="131">
        <v>0</v>
      </c>
      <c r="S54" s="131">
        <v>0</v>
      </c>
      <c r="T54" s="131">
        <v>0</v>
      </c>
      <c r="U54" s="131">
        <v>0</v>
      </c>
      <c r="V54" s="131">
        <v>0</v>
      </c>
      <c r="W54" s="131">
        <v>0</v>
      </c>
      <c r="X54" s="131">
        <v>0</v>
      </c>
      <c r="Y54" s="131">
        <v>0</v>
      </c>
      <c r="Z54" s="131">
        <v>0</v>
      </c>
      <c r="AA54" s="131">
        <v>0</v>
      </c>
      <c r="AB54" s="131">
        <v>0</v>
      </c>
      <c r="AC54" s="131">
        <v>0</v>
      </c>
      <c r="AD54" s="131">
        <v>0</v>
      </c>
      <c r="AE54" s="131">
        <v>0</v>
      </c>
      <c r="AF54" s="131">
        <v>0</v>
      </c>
      <c r="AG54" s="131">
        <v>0</v>
      </c>
      <c r="AH54" s="131">
        <v>0</v>
      </c>
      <c r="AI54" s="131">
        <v>0</v>
      </c>
      <c r="AJ54" s="131">
        <v>0</v>
      </c>
      <c r="AK54" s="131">
        <v>0</v>
      </c>
      <c r="AL54" s="131">
        <v>0</v>
      </c>
      <c r="AM54" s="131">
        <v>0</v>
      </c>
      <c r="AN54" s="131">
        <v>0</v>
      </c>
      <c r="AO54" s="131">
        <v>0</v>
      </c>
      <c r="AP54" s="131">
        <v>0</v>
      </c>
      <c r="AQ54" s="131">
        <v>0</v>
      </c>
      <c r="AR54" s="131">
        <v>0</v>
      </c>
      <c r="AS54" s="131">
        <v>0</v>
      </c>
      <c r="AT54" s="131">
        <v>0</v>
      </c>
      <c r="AU54" s="131">
        <v>0</v>
      </c>
      <c r="AV54" s="131">
        <v>0</v>
      </c>
      <c r="AW54" s="131">
        <v>0</v>
      </c>
      <c r="AX54" s="131">
        <v>0</v>
      </c>
      <c r="AY54" s="131">
        <v>0</v>
      </c>
      <c r="AZ54" s="106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10</v>
      </c>
      <c r="E2" s="116"/>
    </row>
    <row r="3" spans="1:52" x14ac:dyDescent="0.2">
      <c r="A3" s="106" t="s">
        <v>286</v>
      </c>
      <c r="B3" s="113">
        <v>3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1331.5215673033081</v>
      </c>
      <c r="E7" s="150">
        <v>1331.5215673033081</v>
      </c>
      <c r="F7" s="150">
        <v>1331.5215673033081</v>
      </c>
      <c r="G7" s="150">
        <v>1331.5215673033081</v>
      </c>
      <c r="H7" s="150">
        <v>1206.8975255449561</v>
      </c>
      <c r="I7" s="150">
        <v>1331.5215673033081</v>
      </c>
      <c r="J7" s="150">
        <v>1331.5215673033081</v>
      </c>
      <c r="K7" s="150">
        <v>1331.5215673033081</v>
      </c>
      <c r="L7" s="150">
        <v>1331.5215673033081</v>
      </c>
      <c r="M7" s="150">
        <v>1331.5215673033081</v>
      </c>
      <c r="N7" s="150">
        <v>1331.5215673033081</v>
      </c>
      <c r="O7" s="150">
        <v>1331.5215673033081</v>
      </c>
      <c r="P7" s="150">
        <v>1331.5215673033081</v>
      </c>
      <c r="Q7" s="150">
        <v>1331.5215673033081</v>
      </c>
      <c r="R7" s="150">
        <v>1331.5215673033081</v>
      </c>
      <c r="S7" s="150">
        <v>1331.5215673033081</v>
      </c>
      <c r="T7" s="150">
        <v>1331.5215673033081</v>
      </c>
      <c r="U7" s="150">
        <v>1331.5215673033081</v>
      </c>
      <c r="V7" s="150">
        <v>1331.5215673033081</v>
      </c>
      <c r="W7" s="150">
        <v>1331.5215673033081</v>
      </c>
      <c r="X7" s="150">
        <v>1331.5215673033081</v>
      </c>
      <c r="Y7" s="150">
        <v>1331.5215673033081</v>
      </c>
      <c r="Z7" s="150">
        <v>1331.5215673033081</v>
      </c>
      <c r="AA7" s="150">
        <v>1331.5215673033081</v>
      </c>
      <c r="AB7" s="150">
        <v>1331.5215673033081</v>
      </c>
      <c r="AC7" s="150">
        <v>1008.0488700911994</v>
      </c>
      <c r="AD7" s="150">
        <v>1008.1882637630309</v>
      </c>
      <c r="AE7" s="150">
        <v>1008.3270861067834</v>
      </c>
      <c r="AF7" s="150">
        <v>1331.5215673033081</v>
      </c>
      <c r="AG7" s="150">
        <v>1331.5215673033081</v>
      </c>
      <c r="AH7" s="150">
        <v>1331.5215673033081</v>
      </c>
      <c r="AI7" s="150">
        <v>1331.5215673033081</v>
      </c>
      <c r="AJ7" s="150">
        <v>1331.5215673033081</v>
      </c>
      <c r="AK7" s="150">
        <v>1331.5215673033081</v>
      </c>
      <c r="AL7" s="150">
        <v>1331.5215673033081</v>
      </c>
      <c r="AM7" s="150">
        <v>1331.5215673033081</v>
      </c>
      <c r="AN7" s="150">
        <v>1331.5215673033081</v>
      </c>
      <c r="AO7" s="150">
        <v>1331.5215673033081</v>
      </c>
      <c r="AP7" s="150">
        <v>1331.5215673033081</v>
      </c>
      <c r="AQ7" s="150">
        <v>1331.5215673033081</v>
      </c>
      <c r="AR7" s="150">
        <v>1331.5215673033081</v>
      </c>
      <c r="AS7" s="150">
        <v>1331.5215673033081</v>
      </c>
      <c r="AT7" s="150">
        <v>1331.5215673033081</v>
      </c>
      <c r="AU7" s="150">
        <v>1331.5215673033081</v>
      </c>
      <c r="AV7" s="150">
        <v>1331.5215673033081</v>
      </c>
      <c r="AW7" s="150">
        <v>1331.5215673033081</v>
      </c>
      <c r="AX7" s="150">
        <v>1331.5215673033081</v>
      </c>
      <c r="AY7" s="150">
        <v>1331.5215673033081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1328.5215673033081</v>
      </c>
      <c r="E10" s="150">
        <f t="shared" si="0"/>
        <v>1328.5215673033081</v>
      </c>
      <c r="F10" s="150">
        <f t="shared" si="0"/>
        <v>1328.5215673033081</v>
      </c>
      <c r="G10" s="150">
        <f t="shared" si="0"/>
        <v>1331.5215673033081</v>
      </c>
      <c r="H10" s="150">
        <f t="shared" si="0"/>
        <v>1203.8975255449561</v>
      </c>
      <c r="I10" s="150">
        <f t="shared" si="0"/>
        <v>1328.5215673033081</v>
      </c>
      <c r="J10" s="150">
        <f t="shared" si="0"/>
        <v>1328.5215673033081</v>
      </c>
      <c r="K10" s="150">
        <f t="shared" si="0"/>
        <v>1328.5215673033081</v>
      </c>
      <c r="L10" s="150">
        <f t="shared" si="0"/>
        <v>1328.5215673033081</v>
      </c>
      <c r="M10" s="150">
        <f t="shared" si="0"/>
        <v>1328.5215673033081</v>
      </c>
      <c r="N10" s="150">
        <f t="shared" si="0"/>
        <v>1328.5215673033081</v>
      </c>
      <c r="O10" s="150">
        <f t="shared" si="0"/>
        <v>1328.5215673033081</v>
      </c>
      <c r="P10" s="150">
        <f t="shared" si="0"/>
        <v>1328.5215673033081</v>
      </c>
      <c r="Q10" s="150">
        <f t="shared" si="0"/>
        <v>1328.5215673033081</v>
      </c>
      <c r="R10" s="150">
        <f t="shared" si="0"/>
        <v>1331.5215673033081</v>
      </c>
      <c r="S10" s="150">
        <f t="shared" si="0"/>
        <v>1328.5215673033081</v>
      </c>
      <c r="T10" s="150">
        <f t="shared" si="0"/>
        <v>1328.5215673033081</v>
      </c>
      <c r="U10" s="150">
        <f t="shared" si="0"/>
        <v>1328.5215673033081</v>
      </c>
      <c r="V10" s="150">
        <f t="shared" si="0"/>
        <v>1331.5215673033081</v>
      </c>
      <c r="W10" s="150">
        <f t="shared" si="0"/>
        <v>1328.5215673033081</v>
      </c>
      <c r="X10" s="150">
        <f t="shared" si="0"/>
        <v>1328.5215673033081</v>
      </c>
      <c r="Y10" s="150">
        <f t="shared" si="0"/>
        <v>1328.5215673033081</v>
      </c>
      <c r="Z10" s="150">
        <f t="shared" si="0"/>
        <v>1328.5215673033081</v>
      </c>
      <c r="AA10" s="150">
        <f t="shared" si="0"/>
        <v>1328.5215673033081</v>
      </c>
      <c r="AB10" s="150">
        <f t="shared" si="0"/>
        <v>1328.5215673033081</v>
      </c>
      <c r="AC10" s="150">
        <f t="shared" si="0"/>
        <v>1005.0488700911994</v>
      </c>
      <c r="AD10" s="150">
        <f t="shared" si="0"/>
        <v>1005.1882637630309</v>
      </c>
      <c r="AE10" s="150">
        <f t="shared" si="0"/>
        <v>1005.3270861067834</v>
      </c>
      <c r="AF10" s="150">
        <f t="shared" si="0"/>
        <v>1328.5215673033081</v>
      </c>
      <c r="AG10" s="150">
        <f t="shared" si="0"/>
        <v>1328.5215673033081</v>
      </c>
      <c r="AH10" s="150">
        <f t="shared" si="0"/>
        <v>1328.5215673033081</v>
      </c>
      <c r="AI10" s="150">
        <f t="shared" si="0"/>
        <v>1328.5215673033081</v>
      </c>
      <c r="AJ10" s="150">
        <f t="shared" si="0"/>
        <v>1328.5215673033081</v>
      </c>
      <c r="AK10" s="150">
        <f t="shared" si="0"/>
        <v>1328.5215673033081</v>
      </c>
      <c r="AL10" s="150">
        <f t="shared" si="0"/>
        <v>1328.5215673033081</v>
      </c>
      <c r="AM10" s="150">
        <f t="shared" si="0"/>
        <v>1328.5215673033081</v>
      </c>
      <c r="AN10" s="150">
        <f t="shared" si="0"/>
        <v>1328.5215673033081</v>
      </c>
      <c r="AO10" s="150">
        <f t="shared" si="0"/>
        <v>1328.5215673033081</v>
      </c>
      <c r="AP10" s="150">
        <f t="shared" si="0"/>
        <v>1328.5215673033081</v>
      </c>
      <c r="AQ10" s="150">
        <f t="shared" si="0"/>
        <v>1328.5215673033081</v>
      </c>
      <c r="AR10" s="150">
        <f t="shared" si="0"/>
        <v>1328.5215673033081</v>
      </c>
      <c r="AS10" s="150">
        <f t="shared" si="0"/>
        <v>1328.5215673033081</v>
      </c>
      <c r="AT10" s="150">
        <f t="shared" si="0"/>
        <v>1331.5215673033081</v>
      </c>
      <c r="AU10" s="150">
        <f t="shared" si="0"/>
        <v>1328.5215673033081</v>
      </c>
      <c r="AV10" s="150">
        <f t="shared" si="0"/>
        <v>1328.5215673033081</v>
      </c>
      <c r="AW10" s="150">
        <f t="shared" si="0"/>
        <v>1328.5215673033081</v>
      </c>
      <c r="AX10" s="150">
        <f t="shared" si="0"/>
        <v>1328.5215673033081</v>
      </c>
      <c r="AY10" s="150">
        <f t="shared" si="0"/>
        <v>1328.5215673033081</v>
      </c>
      <c r="AZ10" s="157">
        <f>SUM($D10:$AY10)</f>
        <v>62686.410706851566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6</v>
      </c>
      <c r="D13" s="144">
        <f t="shared" ref="D13:AY13" si="1">D$7-D$10</f>
        <v>3</v>
      </c>
      <c r="E13" s="144">
        <f t="shared" si="1"/>
        <v>3</v>
      </c>
      <c r="F13" s="144">
        <f t="shared" si="1"/>
        <v>3</v>
      </c>
      <c r="G13" s="144">
        <f t="shared" si="1"/>
        <v>0</v>
      </c>
      <c r="H13" s="144">
        <f t="shared" si="1"/>
        <v>3</v>
      </c>
      <c r="I13" s="144">
        <f t="shared" si="1"/>
        <v>3</v>
      </c>
      <c r="J13" s="144">
        <f t="shared" si="1"/>
        <v>3</v>
      </c>
      <c r="K13" s="144">
        <f t="shared" si="1"/>
        <v>3</v>
      </c>
      <c r="L13" s="144">
        <f t="shared" si="1"/>
        <v>3</v>
      </c>
      <c r="M13" s="144">
        <f t="shared" si="1"/>
        <v>3</v>
      </c>
      <c r="N13" s="144">
        <f t="shared" si="1"/>
        <v>3</v>
      </c>
      <c r="O13" s="144">
        <f t="shared" si="1"/>
        <v>3</v>
      </c>
      <c r="P13" s="144">
        <f t="shared" si="1"/>
        <v>3</v>
      </c>
      <c r="Q13" s="144">
        <f t="shared" si="1"/>
        <v>3</v>
      </c>
      <c r="R13" s="144">
        <f t="shared" si="1"/>
        <v>0</v>
      </c>
      <c r="S13" s="144">
        <f t="shared" si="1"/>
        <v>3</v>
      </c>
      <c r="T13" s="144">
        <f t="shared" si="1"/>
        <v>3</v>
      </c>
      <c r="U13" s="144">
        <f t="shared" si="1"/>
        <v>3</v>
      </c>
      <c r="V13" s="144">
        <f t="shared" si="1"/>
        <v>0</v>
      </c>
      <c r="W13" s="144">
        <f t="shared" si="1"/>
        <v>3</v>
      </c>
      <c r="X13" s="144">
        <f t="shared" si="1"/>
        <v>3</v>
      </c>
      <c r="Y13" s="144">
        <f t="shared" si="1"/>
        <v>3</v>
      </c>
      <c r="Z13" s="144">
        <f t="shared" si="1"/>
        <v>3</v>
      </c>
      <c r="AA13" s="144">
        <f t="shared" si="1"/>
        <v>3</v>
      </c>
      <c r="AB13" s="144">
        <f t="shared" si="1"/>
        <v>3</v>
      </c>
      <c r="AC13" s="144">
        <f t="shared" si="1"/>
        <v>3</v>
      </c>
      <c r="AD13" s="144">
        <f t="shared" si="1"/>
        <v>3</v>
      </c>
      <c r="AE13" s="144">
        <f t="shared" si="1"/>
        <v>3</v>
      </c>
      <c r="AF13" s="144">
        <f t="shared" si="1"/>
        <v>3</v>
      </c>
      <c r="AG13" s="144">
        <f t="shared" si="1"/>
        <v>3</v>
      </c>
      <c r="AH13" s="144">
        <f t="shared" si="1"/>
        <v>3</v>
      </c>
      <c r="AI13" s="144">
        <f t="shared" si="1"/>
        <v>3</v>
      </c>
      <c r="AJ13" s="144">
        <f t="shared" si="1"/>
        <v>3</v>
      </c>
      <c r="AK13" s="144">
        <f t="shared" si="1"/>
        <v>3</v>
      </c>
      <c r="AL13" s="144">
        <f t="shared" si="1"/>
        <v>3</v>
      </c>
      <c r="AM13" s="144">
        <f t="shared" si="1"/>
        <v>3</v>
      </c>
      <c r="AN13" s="144">
        <f t="shared" si="1"/>
        <v>3</v>
      </c>
      <c r="AO13" s="144">
        <f t="shared" si="1"/>
        <v>3</v>
      </c>
      <c r="AP13" s="144">
        <f t="shared" si="1"/>
        <v>3</v>
      </c>
      <c r="AQ13" s="144">
        <f t="shared" si="1"/>
        <v>3</v>
      </c>
      <c r="AR13" s="144">
        <f t="shared" si="1"/>
        <v>3</v>
      </c>
      <c r="AS13" s="144">
        <f t="shared" si="1"/>
        <v>3</v>
      </c>
      <c r="AT13" s="144">
        <f t="shared" si="1"/>
        <v>0</v>
      </c>
      <c r="AU13" s="144">
        <f t="shared" si="1"/>
        <v>3</v>
      </c>
      <c r="AV13" s="144">
        <f t="shared" si="1"/>
        <v>3</v>
      </c>
      <c r="AW13" s="144">
        <f t="shared" si="1"/>
        <v>3</v>
      </c>
      <c r="AX13" s="144">
        <f t="shared" si="1"/>
        <v>3</v>
      </c>
      <c r="AY13" s="144">
        <f t="shared" si="1"/>
        <v>3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3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3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3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3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/>
      <c r="E20" s="123"/>
      <c r="F20" s="123" t="s">
        <v>339</v>
      </c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 t="s">
        <v>339</v>
      </c>
      <c r="R20" s="123"/>
      <c r="S20" s="123"/>
      <c r="T20" s="123"/>
      <c r="U20" s="123" t="s">
        <v>339</v>
      </c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 t="s">
        <v>339</v>
      </c>
      <c r="AT20" s="123"/>
      <c r="AU20" s="123"/>
      <c r="AV20" s="123"/>
      <c r="AW20" s="123"/>
      <c r="AX20" s="123"/>
      <c r="AY20" s="123" t="s">
        <v>339</v>
      </c>
      <c r="AZ20" s="113"/>
    </row>
    <row r="21" spans="1:52" s="116" customFormat="1" x14ac:dyDescent="0.2">
      <c r="A21" s="161" t="s">
        <v>133</v>
      </c>
      <c r="B21" s="162">
        <f>shipping_manufacturing!$E$19/100</f>
        <v>1</v>
      </c>
      <c r="C21" s="162" t="s">
        <v>293</v>
      </c>
      <c r="D21" s="112">
        <f>IF(C$20="Yes",0,SUM(C$13:C$16)*$B$21)</f>
        <v>6</v>
      </c>
      <c r="E21" s="112">
        <f t="shared" ref="E21:AY21" si="3">IF(D$20="Yes",0,SUM(D$13:D$16)*$B$21)</f>
        <v>3</v>
      </c>
      <c r="F21" s="112">
        <f t="shared" si="3"/>
        <v>3</v>
      </c>
      <c r="G21" s="112">
        <f t="shared" si="3"/>
        <v>0</v>
      </c>
      <c r="H21" s="112">
        <f t="shared" si="3"/>
        <v>3</v>
      </c>
      <c r="I21" s="112">
        <f t="shared" si="3"/>
        <v>3</v>
      </c>
      <c r="J21" s="112">
        <f t="shared" si="3"/>
        <v>3</v>
      </c>
      <c r="K21" s="112">
        <f t="shared" si="3"/>
        <v>3</v>
      </c>
      <c r="L21" s="112">
        <f t="shared" si="3"/>
        <v>3</v>
      </c>
      <c r="M21" s="112">
        <f t="shared" si="3"/>
        <v>3</v>
      </c>
      <c r="N21" s="112">
        <f t="shared" si="3"/>
        <v>3</v>
      </c>
      <c r="O21" s="112">
        <f t="shared" si="3"/>
        <v>3</v>
      </c>
      <c r="P21" s="112">
        <f t="shared" si="3"/>
        <v>3</v>
      </c>
      <c r="Q21" s="112">
        <f t="shared" si="3"/>
        <v>3</v>
      </c>
      <c r="R21" s="112">
        <f t="shared" si="3"/>
        <v>0</v>
      </c>
      <c r="S21" s="112">
        <f t="shared" si="3"/>
        <v>3</v>
      </c>
      <c r="T21" s="112">
        <f t="shared" si="3"/>
        <v>3</v>
      </c>
      <c r="U21" s="112">
        <f t="shared" si="3"/>
        <v>3</v>
      </c>
      <c r="V21" s="112">
        <f t="shared" si="3"/>
        <v>0</v>
      </c>
      <c r="W21" s="112">
        <f t="shared" si="3"/>
        <v>3</v>
      </c>
      <c r="X21" s="112">
        <f t="shared" si="3"/>
        <v>3</v>
      </c>
      <c r="Y21" s="112">
        <f t="shared" si="3"/>
        <v>3</v>
      </c>
      <c r="Z21" s="112">
        <f t="shared" si="3"/>
        <v>3</v>
      </c>
      <c r="AA21" s="112">
        <f t="shared" si="3"/>
        <v>3</v>
      </c>
      <c r="AB21" s="112">
        <f t="shared" si="3"/>
        <v>3</v>
      </c>
      <c r="AC21" s="112">
        <f t="shared" si="3"/>
        <v>3</v>
      </c>
      <c r="AD21" s="112">
        <f t="shared" si="3"/>
        <v>3</v>
      </c>
      <c r="AE21" s="112">
        <f t="shared" si="3"/>
        <v>3</v>
      </c>
      <c r="AF21" s="112">
        <f t="shared" si="3"/>
        <v>3</v>
      </c>
      <c r="AG21" s="112">
        <f t="shared" si="3"/>
        <v>3</v>
      </c>
      <c r="AH21" s="112">
        <f t="shared" si="3"/>
        <v>3</v>
      </c>
      <c r="AI21" s="112">
        <f t="shared" si="3"/>
        <v>3</v>
      </c>
      <c r="AJ21" s="112">
        <f t="shared" si="3"/>
        <v>3</v>
      </c>
      <c r="AK21" s="112">
        <f t="shared" si="3"/>
        <v>3</v>
      </c>
      <c r="AL21" s="112">
        <f t="shared" si="3"/>
        <v>3</v>
      </c>
      <c r="AM21" s="112">
        <f t="shared" si="3"/>
        <v>3</v>
      </c>
      <c r="AN21" s="112">
        <f t="shared" si="3"/>
        <v>3</v>
      </c>
      <c r="AO21" s="112">
        <f t="shared" si="3"/>
        <v>3</v>
      </c>
      <c r="AP21" s="112">
        <f t="shared" si="3"/>
        <v>3</v>
      </c>
      <c r="AQ21" s="112">
        <f t="shared" si="3"/>
        <v>3</v>
      </c>
      <c r="AR21" s="112">
        <f t="shared" si="3"/>
        <v>3</v>
      </c>
      <c r="AS21" s="112">
        <f t="shared" si="3"/>
        <v>3</v>
      </c>
      <c r="AT21" s="112">
        <f t="shared" si="3"/>
        <v>0</v>
      </c>
      <c r="AU21" s="112">
        <f t="shared" si="3"/>
        <v>3</v>
      </c>
      <c r="AV21" s="112">
        <f t="shared" si="3"/>
        <v>3</v>
      </c>
      <c r="AW21" s="112">
        <f t="shared" si="3"/>
        <v>3</v>
      </c>
      <c r="AX21" s="112">
        <f t="shared" si="3"/>
        <v>3</v>
      </c>
      <c r="AY21" s="112">
        <f t="shared" si="3"/>
        <v>3</v>
      </c>
      <c r="AZ21" s="163">
        <f>SUM($D21:$AY21)</f>
        <v>135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293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12000</v>
      </c>
      <c r="E23" s="106">
        <f t="shared" ref="E23:AY23" si="6">E$21*$B$23</f>
        <v>6000</v>
      </c>
      <c r="F23" s="106">
        <f t="shared" si="6"/>
        <v>6000</v>
      </c>
      <c r="G23" s="106">
        <f t="shared" si="6"/>
        <v>0</v>
      </c>
      <c r="H23" s="106">
        <f t="shared" si="6"/>
        <v>6000</v>
      </c>
      <c r="I23" s="106">
        <f t="shared" si="6"/>
        <v>6000</v>
      </c>
      <c r="J23" s="106">
        <f t="shared" si="6"/>
        <v>6000</v>
      </c>
      <c r="K23" s="106">
        <f t="shared" si="6"/>
        <v>6000</v>
      </c>
      <c r="L23" s="106">
        <f t="shared" si="6"/>
        <v>6000</v>
      </c>
      <c r="M23" s="106">
        <f t="shared" si="6"/>
        <v>6000</v>
      </c>
      <c r="N23" s="106">
        <f t="shared" si="6"/>
        <v>6000</v>
      </c>
      <c r="O23" s="106">
        <f t="shared" si="6"/>
        <v>6000</v>
      </c>
      <c r="P23" s="106">
        <f t="shared" si="6"/>
        <v>6000</v>
      </c>
      <c r="Q23" s="106">
        <f t="shared" si="6"/>
        <v>6000</v>
      </c>
      <c r="R23" s="106">
        <f t="shared" si="6"/>
        <v>0</v>
      </c>
      <c r="S23" s="106">
        <f t="shared" si="6"/>
        <v>6000</v>
      </c>
      <c r="T23" s="106">
        <f t="shared" si="6"/>
        <v>6000</v>
      </c>
      <c r="U23" s="106">
        <f t="shared" si="6"/>
        <v>6000</v>
      </c>
      <c r="V23" s="106">
        <f t="shared" si="6"/>
        <v>0</v>
      </c>
      <c r="W23" s="106">
        <f t="shared" si="6"/>
        <v>6000</v>
      </c>
      <c r="X23" s="106">
        <f t="shared" si="6"/>
        <v>6000</v>
      </c>
      <c r="Y23" s="106">
        <f t="shared" si="6"/>
        <v>6000</v>
      </c>
      <c r="Z23" s="106">
        <f t="shared" si="6"/>
        <v>6000</v>
      </c>
      <c r="AA23" s="106">
        <f t="shared" si="6"/>
        <v>6000</v>
      </c>
      <c r="AB23" s="106">
        <f t="shared" si="6"/>
        <v>6000</v>
      </c>
      <c r="AC23" s="106">
        <f t="shared" si="6"/>
        <v>6000</v>
      </c>
      <c r="AD23" s="106">
        <f t="shared" si="6"/>
        <v>6000</v>
      </c>
      <c r="AE23" s="106">
        <f t="shared" si="6"/>
        <v>6000</v>
      </c>
      <c r="AF23" s="106">
        <f t="shared" si="6"/>
        <v>6000</v>
      </c>
      <c r="AG23" s="106">
        <f t="shared" si="6"/>
        <v>6000</v>
      </c>
      <c r="AH23" s="106">
        <f t="shared" si="6"/>
        <v>6000</v>
      </c>
      <c r="AI23" s="106">
        <f t="shared" si="6"/>
        <v>6000</v>
      </c>
      <c r="AJ23" s="106">
        <f t="shared" si="6"/>
        <v>6000</v>
      </c>
      <c r="AK23" s="106">
        <f t="shared" si="6"/>
        <v>6000</v>
      </c>
      <c r="AL23" s="106">
        <f t="shared" si="6"/>
        <v>6000</v>
      </c>
      <c r="AM23" s="106">
        <f t="shared" si="6"/>
        <v>6000</v>
      </c>
      <c r="AN23" s="106">
        <f t="shared" si="6"/>
        <v>6000</v>
      </c>
      <c r="AO23" s="106">
        <f t="shared" si="6"/>
        <v>6000</v>
      </c>
      <c r="AP23" s="106">
        <f t="shared" si="6"/>
        <v>6000</v>
      </c>
      <c r="AQ23" s="106">
        <f t="shared" si="6"/>
        <v>6000</v>
      </c>
      <c r="AR23" s="106">
        <f t="shared" si="6"/>
        <v>6000</v>
      </c>
      <c r="AS23" s="106">
        <f t="shared" si="6"/>
        <v>6000</v>
      </c>
      <c r="AT23" s="106">
        <f t="shared" si="6"/>
        <v>0</v>
      </c>
      <c r="AU23" s="106">
        <f t="shared" si="6"/>
        <v>6000</v>
      </c>
      <c r="AV23" s="106">
        <f t="shared" si="6"/>
        <v>6000</v>
      </c>
      <c r="AW23" s="106">
        <f t="shared" si="6"/>
        <v>6000</v>
      </c>
      <c r="AX23" s="106">
        <f t="shared" si="6"/>
        <v>6000</v>
      </c>
      <c r="AY23" s="106">
        <f t="shared" si="6"/>
        <v>6000</v>
      </c>
      <c r="AZ23" s="145">
        <f t="shared" si="5"/>
        <v>270000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0</v>
      </c>
      <c r="D27" s="130">
        <f>C$27-C$28+C$29</f>
        <v>0</v>
      </c>
      <c r="E27" s="130">
        <f t="shared" ref="E27:AY27" si="8">D27-D28+D29</f>
        <v>0</v>
      </c>
      <c r="F27" s="130">
        <f t="shared" si="8"/>
        <v>0</v>
      </c>
      <c r="G27" s="130">
        <f t="shared" si="8"/>
        <v>0</v>
      </c>
      <c r="H27" s="130">
        <f t="shared" si="8"/>
        <v>0</v>
      </c>
      <c r="I27" s="130">
        <f t="shared" si="8"/>
        <v>0</v>
      </c>
      <c r="J27" s="130">
        <f t="shared" si="8"/>
        <v>0</v>
      </c>
      <c r="K27" s="130">
        <f t="shared" si="8"/>
        <v>0</v>
      </c>
      <c r="L27" s="130">
        <f t="shared" si="8"/>
        <v>0</v>
      </c>
      <c r="M27" s="130">
        <f t="shared" si="8"/>
        <v>0</v>
      </c>
      <c r="N27" s="130">
        <f t="shared" si="8"/>
        <v>0</v>
      </c>
      <c r="O27" s="130">
        <f t="shared" si="8"/>
        <v>0</v>
      </c>
      <c r="P27" s="130">
        <f t="shared" si="8"/>
        <v>0</v>
      </c>
      <c r="Q27" s="130">
        <f t="shared" si="8"/>
        <v>0</v>
      </c>
      <c r="R27" s="130">
        <f t="shared" si="8"/>
        <v>0</v>
      </c>
      <c r="S27" s="130">
        <f t="shared" si="8"/>
        <v>0</v>
      </c>
      <c r="T27" s="130">
        <f t="shared" si="8"/>
        <v>0</v>
      </c>
      <c r="U27" s="130">
        <f t="shared" si="8"/>
        <v>0</v>
      </c>
      <c r="V27" s="130">
        <f t="shared" si="8"/>
        <v>0</v>
      </c>
      <c r="W27" s="130">
        <f t="shared" si="8"/>
        <v>0</v>
      </c>
      <c r="X27" s="130">
        <f t="shared" si="8"/>
        <v>0</v>
      </c>
      <c r="Y27" s="130">
        <f t="shared" si="8"/>
        <v>0</v>
      </c>
      <c r="Z27" s="130">
        <f t="shared" si="8"/>
        <v>0</v>
      </c>
      <c r="AA27" s="130">
        <f t="shared" si="8"/>
        <v>0</v>
      </c>
      <c r="AB27" s="130">
        <f t="shared" si="8"/>
        <v>0</v>
      </c>
      <c r="AC27" s="130">
        <f t="shared" si="8"/>
        <v>0</v>
      </c>
      <c r="AD27" s="130">
        <f t="shared" si="8"/>
        <v>0</v>
      </c>
      <c r="AE27" s="130">
        <f t="shared" si="8"/>
        <v>0</v>
      </c>
      <c r="AF27" s="130">
        <f t="shared" si="8"/>
        <v>0</v>
      </c>
      <c r="AG27" s="130">
        <f t="shared" si="8"/>
        <v>0</v>
      </c>
      <c r="AH27" s="130">
        <f t="shared" si="8"/>
        <v>0</v>
      </c>
      <c r="AI27" s="130">
        <f t="shared" si="8"/>
        <v>0</v>
      </c>
      <c r="AJ27" s="130">
        <f t="shared" si="8"/>
        <v>0</v>
      </c>
      <c r="AK27" s="130">
        <f t="shared" si="8"/>
        <v>0</v>
      </c>
      <c r="AL27" s="130">
        <f t="shared" si="8"/>
        <v>0</v>
      </c>
      <c r="AM27" s="130">
        <f t="shared" si="8"/>
        <v>0</v>
      </c>
      <c r="AN27" s="130">
        <f t="shared" si="8"/>
        <v>0</v>
      </c>
      <c r="AO27" s="130">
        <f t="shared" si="8"/>
        <v>0</v>
      </c>
      <c r="AP27" s="130">
        <f t="shared" si="8"/>
        <v>0</v>
      </c>
      <c r="AQ27" s="130">
        <f t="shared" si="8"/>
        <v>0</v>
      </c>
      <c r="AR27" s="130">
        <f t="shared" si="8"/>
        <v>0</v>
      </c>
      <c r="AS27" s="130">
        <f t="shared" si="8"/>
        <v>0</v>
      </c>
      <c r="AT27" s="130">
        <f t="shared" si="8"/>
        <v>0</v>
      </c>
      <c r="AU27" s="130">
        <f t="shared" si="8"/>
        <v>0</v>
      </c>
      <c r="AV27" s="130">
        <f t="shared" si="8"/>
        <v>0</v>
      </c>
      <c r="AW27" s="130">
        <f t="shared" si="8"/>
        <v>0</v>
      </c>
      <c r="AX27" s="130">
        <f t="shared" si="8"/>
        <v>0</v>
      </c>
      <c r="AY27" s="170">
        <f t="shared" si="8"/>
        <v>0</v>
      </c>
      <c r="AZ27" s="112"/>
    </row>
    <row r="28" spans="1:52" x14ac:dyDescent="0.2">
      <c r="B28" s="171" t="s">
        <v>310</v>
      </c>
      <c r="C28" s="116">
        <v>0</v>
      </c>
      <c r="D28" s="116">
        <v>0</v>
      </c>
      <c r="E28" s="116">
        <v>0</v>
      </c>
      <c r="F28" s="116">
        <v>0</v>
      </c>
      <c r="G28" s="116">
        <v>0</v>
      </c>
      <c r="H28" s="116">
        <v>0</v>
      </c>
      <c r="I28" s="116">
        <v>0</v>
      </c>
      <c r="J28" s="116">
        <v>0</v>
      </c>
      <c r="K28" s="116">
        <v>0</v>
      </c>
      <c r="L28" s="116">
        <v>0</v>
      </c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0</v>
      </c>
      <c r="S28" s="116">
        <v>0</v>
      </c>
      <c r="T28" s="116">
        <v>0</v>
      </c>
      <c r="U28" s="116">
        <v>0</v>
      </c>
      <c r="V28" s="116">
        <v>0</v>
      </c>
      <c r="W28" s="116">
        <v>0</v>
      </c>
      <c r="X28" s="116">
        <v>0</v>
      </c>
      <c r="Y28" s="116">
        <v>0</v>
      </c>
      <c r="Z28" s="116">
        <v>0</v>
      </c>
      <c r="AA28" s="116">
        <v>0</v>
      </c>
      <c r="AB28" s="116">
        <v>0</v>
      </c>
      <c r="AC28" s="116">
        <v>0</v>
      </c>
      <c r="AD28" s="116">
        <v>0</v>
      </c>
      <c r="AE28" s="116">
        <v>0</v>
      </c>
      <c r="AF28" s="116">
        <v>0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>
        <v>0</v>
      </c>
      <c r="AW28" s="116">
        <v>0</v>
      </c>
      <c r="AX28" s="116">
        <v>0</v>
      </c>
      <c r="AY28" s="172">
        <v>0</v>
      </c>
      <c r="AZ28" s="112"/>
    </row>
    <row r="29" spans="1:52" x14ac:dyDescent="0.2">
      <c r="B29" s="142" t="s">
        <v>311</v>
      </c>
      <c r="C29" s="131">
        <v>0</v>
      </c>
      <c r="D29" s="131">
        <f>C$28</f>
        <v>0</v>
      </c>
      <c r="E29" s="131">
        <f t="shared" ref="E29:AY29" si="9">D$28</f>
        <v>0</v>
      </c>
      <c r="F29" s="131">
        <f t="shared" si="9"/>
        <v>0</v>
      </c>
      <c r="G29" s="131">
        <f t="shared" si="9"/>
        <v>0</v>
      </c>
      <c r="H29" s="131">
        <f t="shared" si="9"/>
        <v>0</v>
      </c>
      <c r="I29" s="131">
        <f t="shared" si="9"/>
        <v>0</v>
      </c>
      <c r="J29" s="131">
        <f t="shared" si="9"/>
        <v>0</v>
      </c>
      <c r="K29" s="131">
        <f t="shared" si="9"/>
        <v>0</v>
      </c>
      <c r="L29" s="131">
        <f t="shared" si="9"/>
        <v>0</v>
      </c>
      <c r="M29" s="131">
        <f t="shared" si="9"/>
        <v>0</v>
      </c>
      <c r="N29" s="131">
        <f t="shared" si="9"/>
        <v>0</v>
      </c>
      <c r="O29" s="131">
        <f t="shared" si="9"/>
        <v>0</v>
      </c>
      <c r="P29" s="131">
        <f t="shared" si="9"/>
        <v>0</v>
      </c>
      <c r="Q29" s="131">
        <f t="shared" si="9"/>
        <v>0</v>
      </c>
      <c r="R29" s="131">
        <f t="shared" si="9"/>
        <v>0</v>
      </c>
      <c r="S29" s="131">
        <f t="shared" si="9"/>
        <v>0</v>
      </c>
      <c r="T29" s="131">
        <f t="shared" si="9"/>
        <v>0</v>
      </c>
      <c r="U29" s="131">
        <f t="shared" si="9"/>
        <v>0</v>
      </c>
      <c r="V29" s="131">
        <f t="shared" si="9"/>
        <v>0</v>
      </c>
      <c r="W29" s="131">
        <f t="shared" si="9"/>
        <v>0</v>
      </c>
      <c r="X29" s="131">
        <f t="shared" si="9"/>
        <v>0</v>
      </c>
      <c r="Y29" s="131">
        <f t="shared" si="9"/>
        <v>0</v>
      </c>
      <c r="Z29" s="131">
        <f t="shared" si="9"/>
        <v>0</v>
      </c>
      <c r="AA29" s="131">
        <f t="shared" si="9"/>
        <v>0</v>
      </c>
      <c r="AB29" s="131">
        <f t="shared" si="9"/>
        <v>0</v>
      </c>
      <c r="AC29" s="131">
        <f t="shared" si="9"/>
        <v>0</v>
      </c>
      <c r="AD29" s="131">
        <f t="shared" si="9"/>
        <v>0</v>
      </c>
      <c r="AE29" s="131">
        <f t="shared" si="9"/>
        <v>0</v>
      </c>
      <c r="AF29" s="131">
        <f t="shared" si="9"/>
        <v>0</v>
      </c>
      <c r="AG29" s="131">
        <f t="shared" si="9"/>
        <v>0</v>
      </c>
      <c r="AH29" s="131">
        <f t="shared" si="9"/>
        <v>0</v>
      </c>
      <c r="AI29" s="131">
        <f t="shared" si="9"/>
        <v>0</v>
      </c>
      <c r="AJ29" s="131">
        <f t="shared" si="9"/>
        <v>0</v>
      </c>
      <c r="AK29" s="131">
        <f t="shared" si="9"/>
        <v>0</v>
      </c>
      <c r="AL29" s="131">
        <f t="shared" si="9"/>
        <v>0</v>
      </c>
      <c r="AM29" s="131">
        <f t="shared" si="9"/>
        <v>0</v>
      </c>
      <c r="AN29" s="131">
        <f t="shared" si="9"/>
        <v>0</v>
      </c>
      <c r="AO29" s="131">
        <f t="shared" si="9"/>
        <v>0</v>
      </c>
      <c r="AP29" s="131">
        <f t="shared" si="9"/>
        <v>0</v>
      </c>
      <c r="AQ29" s="131">
        <f t="shared" si="9"/>
        <v>0</v>
      </c>
      <c r="AR29" s="131">
        <f t="shared" si="9"/>
        <v>0</v>
      </c>
      <c r="AS29" s="131">
        <f t="shared" si="9"/>
        <v>0</v>
      </c>
      <c r="AT29" s="131">
        <f t="shared" si="9"/>
        <v>0</v>
      </c>
      <c r="AU29" s="131">
        <f t="shared" si="9"/>
        <v>0</v>
      </c>
      <c r="AV29" s="131">
        <f t="shared" si="9"/>
        <v>0</v>
      </c>
      <c r="AW29" s="131">
        <f t="shared" si="9"/>
        <v>0</v>
      </c>
      <c r="AX29" s="131">
        <f t="shared" si="9"/>
        <v>0</v>
      </c>
      <c r="AY29" s="173">
        <f t="shared" si="9"/>
        <v>0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0</v>
      </c>
      <c r="E30" s="123">
        <f t="shared" ref="E30:AY30" si="10">E$27*$B$30</f>
        <v>0</v>
      </c>
      <c r="F30" s="123">
        <f t="shared" si="10"/>
        <v>0</v>
      </c>
      <c r="G30" s="123">
        <f t="shared" si="10"/>
        <v>0</v>
      </c>
      <c r="H30" s="123">
        <f t="shared" si="10"/>
        <v>0</v>
      </c>
      <c r="I30" s="123">
        <f t="shared" si="10"/>
        <v>0</v>
      </c>
      <c r="J30" s="123">
        <f t="shared" si="10"/>
        <v>0</v>
      </c>
      <c r="K30" s="123">
        <f t="shared" si="10"/>
        <v>0</v>
      </c>
      <c r="L30" s="123">
        <f t="shared" si="10"/>
        <v>0</v>
      </c>
      <c r="M30" s="123">
        <f t="shared" si="10"/>
        <v>0</v>
      </c>
      <c r="N30" s="123">
        <f t="shared" si="10"/>
        <v>0</v>
      </c>
      <c r="O30" s="123">
        <f t="shared" si="10"/>
        <v>0</v>
      </c>
      <c r="P30" s="123">
        <f t="shared" si="10"/>
        <v>0</v>
      </c>
      <c r="Q30" s="123">
        <f t="shared" si="10"/>
        <v>0</v>
      </c>
      <c r="R30" s="123">
        <f>R$27*$B$30</f>
        <v>0</v>
      </c>
      <c r="S30" s="123">
        <f t="shared" si="10"/>
        <v>0</v>
      </c>
      <c r="T30" s="123">
        <f t="shared" si="10"/>
        <v>0</v>
      </c>
      <c r="U30" s="123">
        <f t="shared" si="10"/>
        <v>0</v>
      </c>
      <c r="V30" s="123">
        <f t="shared" si="10"/>
        <v>0</v>
      </c>
      <c r="W30" s="123">
        <f t="shared" si="10"/>
        <v>0</v>
      </c>
      <c r="X30" s="123">
        <f t="shared" si="10"/>
        <v>0</v>
      </c>
      <c r="Y30" s="123">
        <f t="shared" si="10"/>
        <v>0</v>
      </c>
      <c r="Z30" s="123">
        <f t="shared" si="10"/>
        <v>0</v>
      </c>
      <c r="AA30" s="123">
        <f t="shared" si="10"/>
        <v>0</v>
      </c>
      <c r="AB30" s="123">
        <f t="shared" si="10"/>
        <v>0</v>
      </c>
      <c r="AC30" s="123">
        <f t="shared" si="10"/>
        <v>0</v>
      </c>
      <c r="AD30" s="123">
        <f t="shared" si="10"/>
        <v>0</v>
      </c>
      <c r="AE30" s="123">
        <f>AE$27*$B$30</f>
        <v>0</v>
      </c>
      <c r="AF30" s="123">
        <f t="shared" si="10"/>
        <v>0</v>
      </c>
      <c r="AG30" s="123">
        <f t="shared" si="10"/>
        <v>0</v>
      </c>
      <c r="AH30" s="123">
        <f t="shared" si="10"/>
        <v>0</v>
      </c>
      <c r="AI30" s="123">
        <f t="shared" si="10"/>
        <v>0</v>
      </c>
      <c r="AJ30" s="123">
        <f t="shared" si="10"/>
        <v>0</v>
      </c>
      <c r="AK30" s="123">
        <f t="shared" si="10"/>
        <v>0</v>
      </c>
      <c r="AL30" s="123">
        <f t="shared" si="10"/>
        <v>0</v>
      </c>
      <c r="AM30" s="123">
        <f t="shared" si="10"/>
        <v>0</v>
      </c>
      <c r="AN30" s="123">
        <f t="shared" si="10"/>
        <v>0</v>
      </c>
      <c r="AO30" s="123">
        <f t="shared" si="10"/>
        <v>0</v>
      </c>
      <c r="AP30" s="123">
        <f t="shared" si="10"/>
        <v>0</v>
      </c>
      <c r="AQ30" s="123">
        <f t="shared" si="10"/>
        <v>0</v>
      </c>
      <c r="AR30" s="123">
        <f t="shared" si="10"/>
        <v>0</v>
      </c>
      <c r="AS30" s="123">
        <f t="shared" si="10"/>
        <v>0</v>
      </c>
      <c r="AT30" s="123">
        <f t="shared" si="10"/>
        <v>0</v>
      </c>
      <c r="AU30" s="123">
        <f t="shared" si="10"/>
        <v>0</v>
      </c>
      <c r="AV30" s="123">
        <f t="shared" si="10"/>
        <v>0</v>
      </c>
      <c r="AW30" s="123">
        <f t="shared" si="10"/>
        <v>0</v>
      </c>
      <c r="AX30" s="123">
        <f t="shared" si="10"/>
        <v>0</v>
      </c>
      <c r="AY30" s="123">
        <f t="shared" si="10"/>
        <v>0</v>
      </c>
      <c r="AZ30" s="147">
        <f t="shared" si="5"/>
        <v>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D$21*shipping_manufacturing!$F$27/100</f>
        <v>0</v>
      </c>
      <c r="E33" s="130">
        <f>E$21*shipping_manufacturing!$F$27/100</f>
        <v>0</v>
      </c>
      <c r="F33" s="130">
        <f>F$21*shipping_manufacturing!$F$27/100</f>
        <v>0</v>
      </c>
      <c r="G33" s="130">
        <f>G$21*shipping_manufacturing!$F$27/100</f>
        <v>0</v>
      </c>
      <c r="H33" s="130">
        <f>H$21*shipping_manufacturing!$F$27/100</f>
        <v>0</v>
      </c>
      <c r="I33" s="130">
        <f>I$21*shipping_manufacturing!$F$27/100</f>
        <v>0</v>
      </c>
      <c r="J33" s="130">
        <f>J$21*shipping_manufacturing!$F$27/100</f>
        <v>0</v>
      </c>
      <c r="K33" s="130">
        <f>K$21*shipping_manufacturing!$F$27/100</f>
        <v>0</v>
      </c>
      <c r="L33" s="130">
        <f>L$21*shipping_manufacturing!$F$27/100</f>
        <v>0</v>
      </c>
      <c r="M33" s="130">
        <f>M$21*shipping_manufacturing!$F$27/100</f>
        <v>0</v>
      </c>
      <c r="N33" s="130">
        <f>N$21*shipping_manufacturing!$F$27/100</f>
        <v>0</v>
      </c>
      <c r="O33" s="130">
        <f>O$21*shipping_manufacturing!$F$27/100</f>
        <v>0</v>
      </c>
      <c r="P33" s="130">
        <f>P$21*shipping_manufacturing!$F$27/100</f>
        <v>0</v>
      </c>
      <c r="Q33" s="130">
        <f>Q$21*shipping_manufacturing!$F$27/100</f>
        <v>0</v>
      </c>
      <c r="R33" s="130">
        <f>R$21*shipping_manufacturing!$F$27/100</f>
        <v>0</v>
      </c>
      <c r="S33" s="130">
        <f>S$21*shipping_manufacturing!$F$27/100</f>
        <v>0</v>
      </c>
      <c r="T33" s="130">
        <f>T$21*shipping_manufacturing!$F$27/100</f>
        <v>0</v>
      </c>
      <c r="U33" s="130">
        <f>U$21*shipping_manufacturing!$F$27/100</f>
        <v>0</v>
      </c>
      <c r="V33" s="130">
        <f>V$21*shipping_manufacturing!$F$27/100</f>
        <v>0</v>
      </c>
      <c r="W33" s="130">
        <f>W$21*shipping_manufacturing!$F$27/100</f>
        <v>0</v>
      </c>
      <c r="X33" s="130">
        <f>X$21*shipping_manufacturing!$F$27/100</f>
        <v>0</v>
      </c>
      <c r="Y33" s="130">
        <f>Y$21*shipping_manufacturing!$F$27/100</f>
        <v>0</v>
      </c>
      <c r="Z33" s="130">
        <f>Z$21*shipping_manufacturing!$F$27/100</f>
        <v>0</v>
      </c>
      <c r="AA33" s="130">
        <f>AA$21*shipping_manufacturing!$F$27/100</f>
        <v>0</v>
      </c>
      <c r="AB33" s="130">
        <f>AB$21*shipping_manufacturing!$F$27/100</f>
        <v>0</v>
      </c>
      <c r="AC33" s="130">
        <f>AC$21*shipping_manufacturing!$F$27/100</f>
        <v>0</v>
      </c>
      <c r="AD33" s="130">
        <f>AD$21*shipping_manufacturing!$F$27/100</f>
        <v>0</v>
      </c>
      <c r="AE33" s="130">
        <f>AE$21*shipping_manufacturing!$F$27/100</f>
        <v>0</v>
      </c>
      <c r="AF33" s="130">
        <f>AF$21*shipping_manufacturing!$F$27/100</f>
        <v>0</v>
      </c>
      <c r="AG33" s="130">
        <f>AG$21*shipping_manufacturing!$F$27/100</f>
        <v>0</v>
      </c>
      <c r="AH33" s="130">
        <f>AH$21*shipping_manufacturing!$F$27/100</f>
        <v>0</v>
      </c>
      <c r="AI33" s="130">
        <f>AI$21*shipping_manufacturing!$F$27/100</f>
        <v>0</v>
      </c>
      <c r="AJ33" s="130">
        <f>AJ$21*shipping_manufacturing!$F$27/100</f>
        <v>0</v>
      </c>
      <c r="AK33" s="130">
        <f>AK$21*shipping_manufacturing!$F$27/100</f>
        <v>0</v>
      </c>
      <c r="AL33" s="130">
        <f>AL$21*shipping_manufacturing!$F$27/100</f>
        <v>0</v>
      </c>
      <c r="AM33" s="130">
        <f>AM$21*shipping_manufacturing!$F$27/100</f>
        <v>0</v>
      </c>
      <c r="AN33" s="130">
        <f>AN$21*shipping_manufacturing!$F$27/100</f>
        <v>0</v>
      </c>
      <c r="AO33" s="130">
        <f>AO$21*shipping_manufacturing!$F$27/100</f>
        <v>0</v>
      </c>
      <c r="AP33" s="130">
        <f>AP$21*shipping_manufacturing!$F$27/100</f>
        <v>0</v>
      </c>
      <c r="AQ33" s="130">
        <f>AQ$21*shipping_manufacturing!$F$27/100</f>
        <v>0</v>
      </c>
      <c r="AR33" s="130">
        <f>AR$21*shipping_manufacturing!$F$27/100</f>
        <v>0</v>
      </c>
      <c r="AS33" s="130">
        <f>AS$21*shipping_manufacturing!$F$27/100</f>
        <v>0</v>
      </c>
      <c r="AT33" s="130">
        <f>AT$21*shipping_manufacturing!$F$27/100</f>
        <v>0</v>
      </c>
      <c r="AU33" s="130">
        <f>AU$21*shipping_manufacturing!$F$27/100</f>
        <v>0</v>
      </c>
      <c r="AV33" s="130">
        <f>AV$21*shipping_manufacturing!$F$27/100</f>
        <v>0</v>
      </c>
      <c r="AW33" s="130">
        <f>AW$21*shipping_manufacturing!$F$27/100</f>
        <v>0</v>
      </c>
      <c r="AX33" s="130">
        <f>AX$21*shipping_manufacturing!$F$27/100</f>
        <v>0</v>
      </c>
      <c r="AY33" s="130">
        <f>AY$21*shipping_manufacturing!$F$27/100</f>
        <v>0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D$22*shipping_manufacturing!$G$27/100</f>
        <v>0</v>
      </c>
      <c r="E34" s="116">
        <f>E$22*shipping_manufacturing!$G$27/100</f>
        <v>0</v>
      </c>
      <c r="F34" s="116">
        <f>F$22*shipping_manufacturing!$G$27/100</f>
        <v>0</v>
      </c>
      <c r="G34" s="116">
        <f>G$22*shipping_manufacturing!$G$27/100</f>
        <v>0</v>
      </c>
      <c r="H34" s="116">
        <f>H$22*shipping_manufacturing!$G$27/100</f>
        <v>0</v>
      </c>
      <c r="I34" s="116">
        <f>I$22*shipping_manufacturing!$G$27/100</f>
        <v>0</v>
      </c>
      <c r="J34" s="116">
        <f>J$22*shipping_manufacturing!$G$27/100</f>
        <v>0</v>
      </c>
      <c r="K34" s="116">
        <f>K$22*shipping_manufacturing!$G$27/100</f>
        <v>0</v>
      </c>
      <c r="L34" s="116">
        <f>L$22*shipping_manufacturing!$G$27/100</f>
        <v>0</v>
      </c>
      <c r="M34" s="116">
        <f>M$22*shipping_manufacturing!$G$27/100</f>
        <v>0</v>
      </c>
      <c r="N34" s="116">
        <f>N$22*shipping_manufacturing!$G$27/100</f>
        <v>0</v>
      </c>
      <c r="O34" s="116">
        <f>O$22*shipping_manufacturing!$G$27/100</f>
        <v>0</v>
      </c>
      <c r="P34" s="116">
        <f>P$22*shipping_manufacturing!$G$27/100</f>
        <v>0</v>
      </c>
      <c r="Q34" s="116">
        <f>Q$22*shipping_manufacturing!$G$27/100</f>
        <v>0</v>
      </c>
      <c r="R34" s="116">
        <f>R$22*shipping_manufacturing!$G$27/100</f>
        <v>0</v>
      </c>
      <c r="S34" s="116">
        <f>S$22*shipping_manufacturing!$G$27/100</f>
        <v>0</v>
      </c>
      <c r="T34" s="116">
        <f>T$22*shipping_manufacturing!$G$27/100</f>
        <v>0</v>
      </c>
      <c r="U34" s="116">
        <f>U$22*shipping_manufacturing!$G$27/100</f>
        <v>0</v>
      </c>
      <c r="V34" s="116">
        <f>V$22*shipping_manufacturing!$G$27/100</f>
        <v>0</v>
      </c>
      <c r="W34" s="116">
        <f>W$22*shipping_manufacturing!$G$27/100</f>
        <v>0</v>
      </c>
      <c r="X34" s="116">
        <f>X$22*shipping_manufacturing!$G$27/100</f>
        <v>0</v>
      </c>
      <c r="Y34" s="116">
        <f>Y$22*shipping_manufacturing!$G$27/100</f>
        <v>0</v>
      </c>
      <c r="Z34" s="116">
        <f>Z$22*shipping_manufacturing!$G$27/100</f>
        <v>0</v>
      </c>
      <c r="AA34" s="116">
        <f>AA$22*shipping_manufacturing!$G$27/100</f>
        <v>0</v>
      </c>
      <c r="AB34" s="116">
        <f>AB$22*shipping_manufacturing!$G$27/100</f>
        <v>0</v>
      </c>
      <c r="AC34" s="116">
        <f>AC$22*shipping_manufacturing!$G$27/100</f>
        <v>0</v>
      </c>
      <c r="AD34" s="116">
        <f>AD$22*shipping_manufacturing!$G$27/100</f>
        <v>0</v>
      </c>
      <c r="AE34" s="116">
        <f>AE$22*shipping_manufacturing!$G$27/100</f>
        <v>0</v>
      </c>
      <c r="AF34" s="116">
        <f>AF$22*shipping_manufacturing!$G$27/100</f>
        <v>0</v>
      </c>
      <c r="AG34" s="116">
        <f>AG$22*shipping_manufacturing!$G$27/100</f>
        <v>0</v>
      </c>
      <c r="AH34" s="116">
        <f>AH$22*shipping_manufacturing!$G$27/100</f>
        <v>0</v>
      </c>
      <c r="AI34" s="116">
        <f>AI$22*shipping_manufacturing!$G$27/100</f>
        <v>0</v>
      </c>
      <c r="AJ34" s="116">
        <f>AJ$22*shipping_manufacturing!$G$27/100</f>
        <v>0</v>
      </c>
      <c r="AK34" s="116">
        <f>AK$22*shipping_manufacturing!$G$27/100</f>
        <v>0</v>
      </c>
      <c r="AL34" s="116">
        <f>AL$22*shipping_manufacturing!$G$27/100</f>
        <v>0</v>
      </c>
      <c r="AM34" s="116">
        <f>AM$22*shipping_manufacturing!$G$27/100</f>
        <v>0</v>
      </c>
      <c r="AN34" s="116">
        <f>AN$22*shipping_manufacturing!$G$27/100</f>
        <v>0</v>
      </c>
      <c r="AO34" s="116">
        <f>AO$22*shipping_manufacturing!$G$27/100</f>
        <v>0</v>
      </c>
      <c r="AP34" s="116">
        <f>AP$22*shipping_manufacturing!$G$27/100</f>
        <v>0</v>
      </c>
      <c r="AQ34" s="116">
        <f>AQ$22*shipping_manufacturing!$G$27/100</f>
        <v>0</v>
      </c>
      <c r="AR34" s="116">
        <f>AR$22*shipping_manufacturing!$G$27/100</f>
        <v>0</v>
      </c>
      <c r="AS34" s="116">
        <f>AS$22*shipping_manufacturing!$G$27/100</f>
        <v>0</v>
      </c>
      <c r="AT34" s="116">
        <f>AT$22*shipping_manufacturing!$G$27/100</f>
        <v>0</v>
      </c>
      <c r="AU34" s="116">
        <f>AU$22*shipping_manufacturing!$G$27/100</f>
        <v>0</v>
      </c>
      <c r="AV34" s="116">
        <f>AV$22*shipping_manufacturing!$G$27/100</f>
        <v>0</v>
      </c>
      <c r="AW34" s="116">
        <f>AW$22*shipping_manufacturing!$G$27/100</f>
        <v>0</v>
      </c>
      <c r="AX34" s="116">
        <f>AX$22*shipping_manufacturing!$G$27/100</f>
        <v>0</v>
      </c>
      <c r="AY34" s="116">
        <f>AY$22*shipping_manufacturing!$G$27/100</f>
        <v>0</v>
      </c>
    </row>
    <row r="35" spans="1:52" x14ac:dyDescent="0.2">
      <c r="A35" s="116">
        <v>1225</v>
      </c>
      <c r="B35" s="171" t="s">
        <v>343</v>
      </c>
      <c r="C35" s="116"/>
      <c r="D35" s="116">
        <f>SUM(D33:D34)</f>
        <v>0</v>
      </c>
      <c r="E35" s="116">
        <f t="shared" ref="E35:AY35" si="11">SUM(E33:E34)</f>
        <v>0</v>
      </c>
      <c r="F35" s="116">
        <f t="shared" si="11"/>
        <v>0</v>
      </c>
      <c r="G35" s="116">
        <f t="shared" si="11"/>
        <v>0</v>
      </c>
      <c r="H35" s="116">
        <f t="shared" si="11"/>
        <v>0</v>
      </c>
      <c r="I35" s="116">
        <f t="shared" si="11"/>
        <v>0</v>
      </c>
      <c r="J35" s="116">
        <f t="shared" si="11"/>
        <v>0</v>
      </c>
      <c r="K35" s="116">
        <f t="shared" si="11"/>
        <v>0</v>
      </c>
      <c r="L35" s="116">
        <f t="shared" si="11"/>
        <v>0</v>
      </c>
      <c r="M35" s="116">
        <f t="shared" si="11"/>
        <v>0</v>
      </c>
      <c r="N35" s="116">
        <f t="shared" si="11"/>
        <v>0</v>
      </c>
      <c r="O35" s="116">
        <f t="shared" si="11"/>
        <v>0</v>
      </c>
      <c r="P35" s="116">
        <f t="shared" si="11"/>
        <v>0</v>
      </c>
      <c r="Q35" s="116">
        <f t="shared" si="11"/>
        <v>0</v>
      </c>
      <c r="R35" s="116">
        <f t="shared" si="11"/>
        <v>0</v>
      </c>
      <c r="S35" s="116">
        <f t="shared" si="11"/>
        <v>0</v>
      </c>
      <c r="T35" s="116">
        <f t="shared" si="11"/>
        <v>0</v>
      </c>
      <c r="U35" s="116">
        <f t="shared" si="11"/>
        <v>0</v>
      </c>
      <c r="V35" s="116">
        <f t="shared" si="11"/>
        <v>0</v>
      </c>
      <c r="W35" s="116">
        <f t="shared" si="11"/>
        <v>0</v>
      </c>
      <c r="X35" s="116">
        <f t="shared" si="11"/>
        <v>0</v>
      </c>
      <c r="Y35" s="116">
        <f t="shared" si="11"/>
        <v>0</v>
      </c>
      <c r="Z35" s="116">
        <f t="shared" si="11"/>
        <v>0</v>
      </c>
      <c r="AA35" s="116">
        <f t="shared" si="11"/>
        <v>0</v>
      </c>
      <c r="AB35" s="116">
        <f t="shared" si="11"/>
        <v>0</v>
      </c>
      <c r="AC35" s="116">
        <f t="shared" si="11"/>
        <v>0</v>
      </c>
      <c r="AD35" s="116">
        <f t="shared" si="11"/>
        <v>0</v>
      </c>
      <c r="AE35" s="116">
        <f t="shared" si="11"/>
        <v>0</v>
      </c>
      <c r="AF35" s="116">
        <f t="shared" si="11"/>
        <v>0</v>
      </c>
      <c r="AG35" s="116">
        <f t="shared" si="11"/>
        <v>0</v>
      </c>
      <c r="AH35" s="116">
        <f t="shared" si="11"/>
        <v>0</v>
      </c>
      <c r="AI35" s="116">
        <f t="shared" si="11"/>
        <v>0</v>
      </c>
      <c r="AJ35" s="116">
        <f t="shared" si="11"/>
        <v>0</v>
      </c>
      <c r="AK35" s="116">
        <f t="shared" si="11"/>
        <v>0</v>
      </c>
      <c r="AL35" s="116">
        <f t="shared" si="11"/>
        <v>0</v>
      </c>
      <c r="AM35" s="116">
        <f t="shared" si="11"/>
        <v>0</v>
      </c>
      <c r="AN35" s="116">
        <f t="shared" si="11"/>
        <v>0</v>
      </c>
      <c r="AO35" s="116">
        <f t="shared" si="11"/>
        <v>0</v>
      </c>
      <c r="AP35" s="116">
        <f t="shared" si="11"/>
        <v>0</v>
      </c>
      <c r="AQ35" s="116">
        <f t="shared" si="11"/>
        <v>0</v>
      </c>
      <c r="AR35" s="116">
        <f t="shared" si="11"/>
        <v>0</v>
      </c>
      <c r="AS35" s="116">
        <f t="shared" si="11"/>
        <v>0</v>
      </c>
      <c r="AT35" s="116">
        <f t="shared" si="11"/>
        <v>0</v>
      </c>
      <c r="AU35" s="116">
        <f t="shared" si="11"/>
        <v>0</v>
      </c>
      <c r="AV35" s="116">
        <f t="shared" si="11"/>
        <v>0</v>
      </c>
      <c r="AW35" s="116">
        <f t="shared" si="11"/>
        <v>0</v>
      </c>
      <c r="AX35" s="116">
        <f t="shared" si="11"/>
        <v>0</v>
      </c>
      <c r="AY35" s="116">
        <f t="shared" si="11"/>
        <v>0</v>
      </c>
    </row>
    <row r="36" spans="1:52" x14ac:dyDescent="0.2">
      <c r="A36" s="116"/>
      <c r="B36" s="171" t="s">
        <v>344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345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346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347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348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349</v>
      </c>
      <c r="C41" s="116"/>
      <c r="D41" s="116">
        <v>1</v>
      </c>
      <c r="E41" s="116">
        <v>1</v>
      </c>
      <c r="F41" s="116">
        <v>3</v>
      </c>
      <c r="G41" s="116">
        <v>2</v>
      </c>
      <c r="H41" s="116">
        <v>1</v>
      </c>
      <c r="I41" s="116">
        <v>2</v>
      </c>
      <c r="J41" s="116">
        <v>1</v>
      </c>
      <c r="K41" s="116">
        <v>1</v>
      </c>
      <c r="L41" s="116">
        <v>1</v>
      </c>
      <c r="M41" s="116">
        <v>1</v>
      </c>
      <c r="N41" s="116">
        <v>1</v>
      </c>
      <c r="O41" s="116">
        <v>1</v>
      </c>
      <c r="P41" s="116">
        <v>3</v>
      </c>
      <c r="Q41" s="116">
        <v>2</v>
      </c>
      <c r="R41" s="116">
        <v>1</v>
      </c>
      <c r="S41" s="116">
        <v>2</v>
      </c>
      <c r="T41" s="116">
        <v>2</v>
      </c>
      <c r="U41" s="116">
        <v>1</v>
      </c>
      <c r="V41" s="116">
        <v>1</v>
      </c>
      <c r="W41" s="116">
        <v>2</v>
      </c>
      <c r="X41" s="116">
        <v>3</v>
      </c>
      <c r="Y41" s="116">
        <v>2</v>
      </c>
      <c r="Z41" s="116">
        <v>1</v>
      </c>
      <c r="AA41" s="116">
        <v>1</v>
      </c>
      <c r="AB41" s="116">
        <v>1</v>
      </c>
      <c r="AC41" s="116">
        <v>1</v>
      </c>
      <c r="AD41" s="116">
        <v>1</v>
      </c>
      <c r="AE41" s="116">
        <v>1</v>
      </c>
      <c r="AF41" s="116">
        <v>3</v>
      </c>
      <c r="AG41" s="116">
        <v>1</v>
      </c>
      <c r="AH41" s="116">
        <v>1</v>
      </c>
      <c r="AI41" s="116">
        <v>1</v>
      </c>
      <c r="AJ41" s="116">
        <v>1</v>
      </c>
      <c r="AK41" s="116">
        <v>1</v>
      </c>
      <c r="AL41" s="116">
        <v>2</v>
      </c>
      <c r="AM41" s="116">
        <v>2</v>
      </c>
      <c r="AN41" s="116">
        <v>1</v>
      </c>
      <c r="AO41" s="116">
        <v>1</v>
      </c>
      <c r="AP41" s="116">
        <v>1</v>
      </c>
      <c r="AQ41" s="116">
        <v>1</v>
      </c>
      <c r="AR41" s="116">
        <v>1</v>
      </c>
      <c r="AS41" s="116">
        <v>1</v>
      </c>
      <c r="AT41" s="116">
        <v>2</v>
      </c>
      <c r="AU41" s="116">
        <v>2</v>
      </c>
      <c r="AV41" s="116">
        <v>1</v>
      </c>
      <c r="AW41" s="116">
        <v>1</v>
      </c>
      <c r="AX41" s="116">
        <v>1</v>
      </c>
      <c r="AY41" s="116">
        <v>1</v>
      </c>
    </row>
    <row r="42" spans="1:52" x14ac:dyDescent="0.2">
      <c r="A42" s="116"/>
      <c r="B42" s="184" t="s">
        <v>350</v>
      </c>
      <c r="C42" s="116"/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0</v>
      </c>
    </row>
    <row r="43" spans="1:52" x14ac:dyDescent="0.2">
      <c r="A43" s="116"/>
      <c r="B43" s="184" t="s">
        <v>351</v>
      </c>
      <c r="C43" s="116"/>
      <c r="D43" s="116">
        <v>0</v>
      </c>
      <c r="E43" s="116">
        <v>0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0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D$21*shipping_manufacturing!$F$28/100</f>
        <v>6</v>
      </c>
      <c r="E44" s="130">
        <f>E$21*shipping_manufacturing!$F$28/100</f>
        <v>3</v>
      </c>
      <c r="F44" s="130">
        <f>F$21*shipping_manufacturing!$F$28/100</f>
        <v>3</v>
      </c>
      <c r="G44" s="130">
        <f>G$21*shipping_manufacturing!$F$28/100</f>
        <v>0</v>
      </c>
      <c r="H44" s="130">
        <f>H$21*shipping_manufacturing!$F$28/100</f>
        <v>3</v>
      </c>
      <c r="I44" s="130">
        <f>I$21*shipping_manufacturing!$F$28/100</f>
        <v>3</v>
      </c>
      <c r="J44" s="130">
        <f>J$21*shipping_manufacturing!$F$28/100</f>
        <v>3</v>
      </c>
      <c r="K44" s="130">
        <f>K$21*shipping_manufacturing!$F$28/100</f>
        <v>3</v>
      </c>
      <c r="L44" s="130">
        <f>L$21*shipping_manufacturing!$F$28/100</f>
        <v>3</v>
      </c>
      <c r="M44" s="130">
        <f>M$21*shipping_manufacturing!$F$28/100</f>
        <v>3</v>
      </c>
      <c r="N44" s="130">
        <f>N$21*shipping_manufacturing!$F$28/100</f>
        <v>3</v>
      </c>
      <c r="O44" s="130">
        <f>O$21*shipping_manufacturing!$F$28/100</f>
        <v>3</v>
      </c>
      <c r="P44" s="130">
        <f>P$21*shipping_manufacturing!$F$28/100</f>
        <v>3</v>
      </c>
      <c r="Q44" s="130">
        <f>Q$21*shipping_manufacturing!$F$28/100</f>
        <v>3</v>
      </c>
      <c r="R44" s="130">
        <f>R$21*shipping_manufacturing!$F$28/100</f>
        <v>0</v>
      </c>
      <c r="S44" s="130">
        <f>S$21*shipping_manufacturing!$F$28/100</f>
        <v>3</v>
      </c>
      <c r="T44" s="130">
        <f>T$21*shipping_manufacturing!$F$28/100</f>
        <v>3</v>
      </c>
      <c r="U44" s="130">
        <f>U$21*shipping_manufacturing!$F$28/100</f>
        <v>3</v>
      </c>
      <c r="V44" s="130">
        <f>V$21*shipping_manufacturing!$F$28/100</f>
        <v>0</v>
      </c>
      <c r="W44" s="130">
        <f>W$21*shipping_manufacturing!$F$28/100</f>
        <v>3</v>
      </c>
      <c r="X44" s="130">
        <f>X$21*shipping_manufacturing!$F$28/100</f>
        <v>3</v>
      </c>
      <c r="Y44" s="130">
        <f>Y$21*shipping_manufacturing!$F$28/100</f>
        <v>3</v>
      </c>
      <c r="Z44" s="130">
        <f>Z$21*shipping_manufacturing!$F$28/100</f>
        <v>3</v>
      </c>
      <c r="AA44" s="130">
        <f>AA$21*shipping_manufacturing!$F$28/100</f>
        <v>3</v>
      </c>
      <c r="AB44" s="130">
        <f>AB$21*shipping_manufacturing!$F$28/100</f>
        <v>3</v>
      </c>
      <c r="AC44" s="130">
        <f>AC$21*shipping_manufacturing!$F$28/100</f>
        <v>3</v>
      </c>
      <c r="AD44" s="130">
        <f>AD$21*shipping_manufacturing!$F$28/100</f>
        <v>3</v>
      </c>
      <c r="AE44" s="130">
        <f>AE$21*shipping_manufacturing!$F$28/100</f>
        <v>3</v>
      </c>
      <c r="AF44" s="130">
        <f>AF$21*shipping_manufacturing!$F$28/100</f>
        <v>3</v>
      </c>
      <c r="AG44" s="130">
        <f>AG$21*shipping_manufacturing!$F$28/100</f>
        <v>3</v>
      </c>
      <c r="AH44" s="130">
        <f>AH$21*shipping_manufacturing!$F$28/100</f>
        <v>3</v>
      </c>
      <c r="AI44" s="130">
        <f>AI$21*shipping_manufacturing!$F$28/100</f>
        <v>3</v>
      </c>
      <c r="AJ44" s="130">
        <f>AJ$21*shipping_manufacturing!$F$28/100</f>
        <v>3</v>
      </c>
      <c r="AK44" s="130">
        <f>AK$21*shipping_manufacturing!$F$28/100</f>
        <v>3</v>
      </c>
      <c r="AL44" s="130">
        <f>AL$21*shipping_manufacturing!$F$28/100</f>
        <v>3</v>
      </c>
      <c r="AM44" s="130">
        <f>AM$21*shipping_manufacturing!$F$28/100</f>
        <v>3</v>
      </c>
      <c r="AN44" s="130">
        <f>AN$21*shipping_manufacturing!$F$28/100</f>
        <v>3</v>
      </c>
      <c r="AO44" s="130">
        <f>AO$21*shipping_manufacturing!$F$28/100</f>
        <v>3</v>
      </c>
      <c r="AP44" s="130">
        <f>AP$21*shipping_manufacturing!$F$28/100</f>
        <v>3</v>
      </c>
      <c r="AQ44" s="130">
        <f>AQ$21*shipping_manufacturing!$F$28/100</f>
        <v>3</v>
      </c>
      <c r="AR44" s="130">
        <f>AR$21*shipping_manufacturing!$F$28/100</f>
        <v>3</v>
      </c>
      <c r="AS44" s="130">
        <f>AS$21*shipping_manufacturing!$F$28/100</f>
        <v>3</v>
      </c>
      <c r="AT44" s="130">
        <f>AT$21*shipping_manufacturing!$F$28/100</f>
        <v>0</v>
      </c>
      <c r="AU44" s="130">
        <f>AU$21*shipping_manufacturing!$F$28/100</f>
        <v>3</v>
      </c>
      <c r="AV44" s="130">
        <f>AV$21*shipping_manufacturing!$F$28/100</f>
        <v>3</v>
      </c>
      <c r="AW44" s="130">
        <f>AW$21*shipping_manufacturing!$F$28/100</f>
        <v>3</v>
      </c>
      <c r="AX44" s="130">
        <f>AX$21*shipping_manufacturing!$F$28/100</f>
        <v>3</v>
      </c>
      <c r="AY44" s="130">
        <f>AY$21*shipping_manufacturing!$F$28/100</f>
        <v>3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D$22*shipping_manufacturing!$G$28/100</f>
        <v>0</v>
      </c>
      <c r="E45" s="116">
        <f>E$22*shipping_manufacturing!$G$28/100</f>
        <v>0</v>
      </c>
      <c r="F45" s="116">
        <f>F$22*shipping_manufacturing!$G$28/100</f>
        <v>0</v>
      </c>
      <c r="G45" s="116">
        <f>G$22*shipping_manufacturing!$G$28/100</f>
        <v>0</v>
      </c>
      <c r="H45" s="116">
        <f>H$22*shipping_manufacturing!$G$28/100</f>
        <v>0</v>
      </c>
      <c r="I45" s="116">
        <f>I$22*shipping_manufacturing!$G$28/100</f>
        <v>0</v>
      </c>
      <c r="J45" s="116">
        <f>J$22*shipping_manufacturing!$G$28/100</f>
        <v>0</v>
      </c>
      <c r="K45" s="116">
        <f>K$22*shipping_manufacturing!$G$28/100</f>
        <v>0</v>
      </c>
      <c r="L45" s="116">
        <f>L$22*shipping_manufacturing!$G$28/100</f>
        <v>0</v>
      </c>
      <c r="M45" s="116">
        <f>M$22*shipping_manufacturing!$G$28/100</f>
        <v>0</v>
      </c>
      <c r="N45" s="116">
        <f>N$22*shipping_manufacturing!$G$28/100</f>
        <v>0</v>
      </c>
      <c r="O45" s="116">
        <f>O$22*shipping_manufacturing!$G$28/100</f>
        <v>0</v>
      </c>
      <c r="P45" s="116">
        <f>P$22*shipping_manufacturing!$G$28/100</f>
        <v>0</v>
      </c>
      <c r="Q45" s="116">
        <f>Q$22*shipping_manufacturing!$G$28/100</f>
        <v>0</v>
      </c>
      <c r="R45" s="116">
        <f>R$22*shipping_manufacturing!$G$28/100</f>
        <v>0</v>
      </c>
      <c r="S45" s="116">
        <f>S$22*shipping_manufacturing!$G$28/100</f>
        <v>0</v>
      </c>
      <c r="T45" s="116">
        <f>T$22*shipping_manufacturing!$G$28/100</f>
        <v>0</v>
      </c>
      <c r="U45" s="116">
        <f>U$22*shipping_manufacturing!$G$28/100</f>
        <v>0</v>
      </c>
      <c r="V45" s="116">
        <f>V$22*shipping_manufacturing!$G$28/100</f>
        <v>0</v>
      </c>
      <c r="W45" s="116">
        <f>W$22*shipping_manufacturing!$G$28/100</f>
        <v>0</v>
      </c>
      <c r="X45" s="116">
        <f>X$22*shipping_manufacturing!$G$28/100</f>
        <v>0</v>
      </c>
      <c r="Y45" s="116">
        <f>Y$22*shipping_manufacturing!$G$28/100</f>
        <v>0</v>
      </c>
      <c r="Z45" s="116">
        <f>Z$22*shipping_manufacturing!$G$28/100</f>
        <v>0</v>
      </c>
      <c r="AA45" s="116">
        <f>AA$22*shipping_manufacturing!$G$28/100</f>
        <v>0</v>
      </c>
      <c r="AB45" s="116">
        <f>AB$22*shipping_manufacturing!$G$28/100</f>
        <v>0</v>
      </c>
      <c r="AC45" s="116">
        <f>AC$22*shipping_manufacturing!$G$28/100</f>
        <v>0</v>
      </c>
      <c r="AD45" s="116">
        <f>AD$22*shipping_manufacturing!$G$28/100</f>
        <v>0</v>
      </c>
      <c r="AE45" s="116">
        <f>AE$22*shipping_manufacturing!$G$28/100</f>
        <v>0</v>
      </c>
      <c r="AF45" s="116">
        <f>AF$22*shipping_manufacturing!$G$28/100</f>
        <v>0</v>
      </c>
      <c r="AG45" s="116">
        <f>AG$22*shipping_manufacturing!$G$28/100</f>
        <v>0</v>
      </c>
      <c r="AH45" s="116">
        <f>AH$22*shipping_manufacturing!$G$28/100</f>
        <v>0</v>
      </c>
      <c r="AI45" s="116">
        <f>AI$22*shipping_manufacturing!$G$28/100</f>
        <v>0</v>
      </c>
      <c r="AJ45" s="116">
        <f>AJ$22*shipping_manufacturing!$G$28/100</f>
        <v>0</v>
      </c>
      <c r="AK45" s="116">
        <f>AK$22*shipping_manufacturing!$G$28/100</f>
        <v>0</v>
      </c>
      <c r="AL45" s="116">
        <f>AL$22*shipping_manufacturing!$G$28/100</f>
        <v>0</v>
      </c>
      <c r="AM45" s="116">
        <f>AM$22*shipping_manufacturing!$G$28/100</f>
        <v>0</v>
      </c>
      <c r="AN45" s="116">
        <f>AN$22*shipping_manufacturing!$G$28/100</f>
        <v>0</v>
      </c>
      <c r="AO45" s="116">
        <f>AO$22*shipping_manufacturing!$G$28/100</f>
        <v>0</v>
      </c>
      <c r="AP45" s="116">
        <f>AP$22*shipping_manufacturing!$G$28/100</f>
        <v>0</v>
      </c>
      <c r="AQ45" s="116">
        <f>AQ$22*shipping_manufacturing!$G$28/100</f>
        <v>0</v>
      </c>
      <c r="AR45" s="116">
        <f>AR$22*shipping_manufacturing!$G$28/100</f>
        <v>0</v>
      </c>
      <c r="AS45" s="116">
        <f>AS$22*shipping_manufacturing!$G$28/100</f>
        <v>0</v>
      </c>
      <c r="AT45" s="116">
        <f>AT$22*shipping_manufacturing!$G$28/100</f>
        <v>0</v>
      </c>
      <c r="AU45" s="116">
        <f>AU$22*shipping_manufacturing!$G$28/100</f>
        <v>0</v>
      </c>
      <c r="AV45" s="116">
        <f>AV$22*shipping_manufacturing!$G$28/100</f>
        <v>0</v>
      </c>
      <c r="AW45" s="116">
        <f>AW$22*shipping_manufacturing!$G$28/100</f>
        <v>0</v>
      </c>
      <c r="AX45" s="116">
        <f>AX$22*shipping_manufacturing!$G$28/100</f>
        <v>0</v>
      </c>
      <c r="AY45" s="116">
        <f>AY$22*shipping_manufacturing!$G$28/100</f>
        <v>0</v>
      </c>
    </row>
    <row r="46" spans="1:52" x14ac:dyDescent="0.2">
      <c r="A46" s="116">
        <v>2339</v>
      </c>
      <c r="B46" s="171" t="s">
        <v>343</v>
      </c>
      <c r="C46" s="116"/>
      <c r="D46" s="116">
        <f>SUM(D44:D45)</f>
        <v>6</v>
      </c>
      <c r="E46" s="116">
        <f t="shared" ref="E46:AY46" si="14">SUM(E44:E45)</f>
        <v>3</v>
      </c>
      <c r="F46" s="116">
        <f t="shared" si="14"/>
        <v>3</v>
      </c>
      <c r="G46" s="116">
        <f t="shared" si="14"/>
        <v>0</v>
      </c>
      <c r="H46" s="116">
        <f t="shared" si="14"/>
        <v>3</v>
      </c>
      <c r="I46" s="116">
        <f t="shared" si="14"/>
        <v>3</v>
      </c>
      <c r="J46" s="116">
        <f t="shared" si="14"/>
        <v>3</v>
      </c>
      <c r="K46" s="116">
        <f t="shared" si="14"/>
        <v>3</v>
      </c>
      <c r="L46" s="116">
        <f t="shared" si="14"/>
        <v>3</v>
      </c>
      <c r="M46" s="116">
        <f t="shared" si="14"/>
        <v>3</v>
      </c>
      <c r="N46" s="116">
        <f t="shared" si="14"/>
        <v>3</v>
      </c>
      <c r="O46" s="116">
        <f t="shared" si="14"/>
        <v>3</v>
      </c>
      <c r="P46" s="116">
        <f t="shared" si="14"/>
        <v>3</v>
      </c>
      <c r="Q46" s="116">
        <f t="shared" si="14"/>
        <v>3</v>
      </c>
      <c r="R46" s="116">
        <f t="shared" si="14"/>
        <v>0</v>
      </c>
      <c r="S46" s="116">
        <f t="shared" si="14"/>
        <v>3</v>
      </c>
      <c r="T46" s="116">
        <f t="shared" si="14"/>
        <v>3</v>
      </c>
      <c r="U46" s="116">
        <f t="shared" si="14"/>
        <v>3</v>
      </c>
      <c r="V46" s="116">
        <f t="shared" si="14"/>
        <v>0</v>
      </c>
      <c r="W46" s="116">
        <f t="shared" si="14"/>
        <v>3</v>
      </c>
      <c r="X46" s="116">
        <f t="shared" si="14"/>
        <v>3</v>
      </c>
      <c r="Y46" s="116">
        <f t="shared" si="14"/>
        <v>3</v>
      </c>
      <c r="Z46" s="116">
        <f t="shared" si="14"/>
        <v>3</v>
      </c>
      <c r="AA46" s="116">
        <f t="shared" si="14"/>
        <v>3</v>
      </c>
      <c r="AB46" s="116">
        <f t="shared" si="14"/>
        <v>3</v>
      </c>
      <c r="AC46" s="116">
        <f t="shared" si="14"/>
        <v>3</v>
      </c>
      <c r="AD46" s="116">
        <f t="shared" si="14"/>
        <v>3</v>
      </c>
      <c r="AE46" s="116">
        <f t="shared" si="14"/>
        <v>3</v>
      </c>
      <c r="AF46" s="116">
        <f t="shared" si="14"/>
        <v>3</v>
      </c>
      <c r="AG46" s="116">
        <f t="shared" si="14"/>
        <v>3</v>
      </c>
      <c r="AH46" s="116">
        <f t="shared" si="14"/>
        <v>3</v>
      </c>
      <c r="AI46" s="116">
        <f t="shared" si="14"/>
        <v>3</v>
      </c>
      <c r="AJ46" s="116">
        <f t="shared" si="14"/>
        <v>3</v>
      </c>
      <c r="AK46" s="116">
        <f t="shared" si="14"/>
        <v>3</v>
      </c>
      <c r="AL46" s="116">
        <f t="shared" si="14"/>
        <v>3</v>
      </c>
      <c r="AM46" s="116">
        <f t="shared" si="14"/>
        <v>3</v>
      </c>
      <c r="AN46" s="116">
        <f t="shared" si="14"/>
        <v>3</v>
      </c>
      <c r="AO46" s="116">
        <f t="shared" si="14"/>
        <v>3</v>
      </c>
      <c r="AP46" s="116">
        <f t="shared" si="14"/>
        <v>3</v>
      </c>
      <c r="AQ46" s="116">
        <f t="shared" si="14"/>
        <v>3</v>
      </c>
      <c r="AR46" s="116">
        <f t="shared" si="14"/>
        <v>3</v>
      </c>
      <c r="AS46" s="116">
        <f t="shared" si="14"/>
        <v>3</v>
      </c>
      <c r="AT46" s="116">
        <f t="shared" si="14"/>
        <v>0</v>
      </c>
      <c r="AU46" s="116">
        <f t="shared" si="14"/>
        <v>3</v>
      </c>
      <c r="AV46" s="116">
        <f t="shared" si="14"/>
        <v>3</v>
      </c>
      <c r="AW46" s="116">
        <f t="shared" si="14"/>
        <v>3</v>
      </c>
      <c r="AX46" s="116">
        <f t="shared" si="14"/>
        <v>3</v>
      </c>
      <c r="AY46" s="116">
        <f t="shared" si="14"/>
        <v>3</v>
      </c>
    </row>
    <row r="47" spans="1:52" x14ac:dyDescent="0.2">
      <c r="A47" s="116"/>
      <c r="B47" s="171" t="s">
        <v>344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2" x14ac:dyDescent="0.2">
      <c r="A48" s="116"/>
      <c r="B48" s="171" t="s">
        <v>345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2" x14ac:dyDescent="0.2">
      <c r="A49" s="116"/>
      <c r="B49" s="171" t="s">
        <v>346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2" x14ac:dyDescent="0.2">
      <c r="A50" s="116"/>
      <c r="B50" s="171" t="s">
        <v>347</v>
      </c>
      <c r="C50" s="116"/>
      <c r="D50" s="116">
        <f>D44-D47</f>
        <v>6</v>
      </c>
      <c r="E50" s="116">
        <f t="shared" ref="E50:AY50" si="15">E44-E47</f>
        <v>3</v>
      </c>
      <c r="F50" s="116">
        <f t="shared" si="15"/>
        <v>3</v>
      </c>
      <c r="G50" s="116">
        <f t="shared" si="15"/>
        <v>0</v>
      </c>
      <c r="H50" s="116">
        <f t="shared" si="15"/>
        <v>3</v>
      </c>
      <c r="I50" s="116">
        <f t="shared" si="15"/>
        <v>3</v>
      </c>
      <c r="J50" s="116">
        <f t="shared" si="15"/>
        <v>3</v>
      </c>
      <c r="K50" s="116">
        <f t="shared" si="15"/>
        <v>3</v>
      </c>
      <c r="L50" s="116">
        <f t="shared" si="15"/>
        <v>3</v>
      </c>
      <c r="M50" s="116">
        <f t="shared" si="15"/>
        <v>3</v>
      </c>
      <c r="N50" s="116">
        <f t="shared" si="15"/>
        <v>3</v>
      </c>
      <c r="O50" s="116">
        <f t="shared" si="15"/>
        <v>3</v>
      </c>
      <c r="P50" s="116">
        <f t="shared" si="15"/>
        <v>3</v>
      </c>
      <c r="Q50" s="116">
        <f t="shared" si="15"/>
        <v>3</v>
      </c>
      <c r="R50" s="116">
        <f t="shared" si="15"/>
        <v>0</v>
      </c>
      <c r="S50" s="116">
        <f t="shared" si="15"/>
        <v>3</v>
      </c>
      <c r="T50" s="116">
        <f t="shared" si="15"/>
        <v>3</v>
      </c>
      <c r="U50" s="116">
        <f t="shared" si="15"/>
        <v>3</v>
      </c>
      <c r="V50" s="116">
        <f t="shared" si="15"/>
        <v>0</v>
      </c>
      <c r="W50" s="116">
        <f t="shared" si="15"/>
        <v>3</v>
      </c>
      <c r="X50" s="116">
        <f t="shared" si="15"/>
        <v>3</v>
      </c>
      <c r="Y50" s="116">
        <f t="shared" si="15"/>
        <v>3</v>
      </c>
      <c r="Z50" s="116">
        <f t="shared" si="15"/>
        <v>3</v>
      </c>
      <c r="AA50" s="116">
        <f t="shared" si="15"/>
        <v>3</v>
      </c>
      <c r="AB50" s="116">
        <f t="shared" si="15"/>
        <v>3</v>
      </c>
      <c r="AC50" s="116">
        <f t="shared" si="15"/>
        <v>3</v>
      </c>
      <c r="AD50" s="116">
        <f t="shared" si="15"/>
        <v>3</v>
      </c>
      <c r="AE50" s="116">
        <f t="shared" si="15"/>
        <v>3</v>
      </c>
      <c r="AF50" s="116">
        <f t="shared" si="15"/>
        <v>3</v>
      </c>
      <c r="AG50" s="116">
        <f t="shared" si="15"/>
        <v>3</v>
      </c>
      <c r="AH50" s="116">
        <f t="shared" si="15"/>
        <v>3</v>
      </c>
      <c r="AI50" s="116">
        <f t="shared" si="15"/>
        <v>3</v>
      </c>
      <c r="AJ50" s="116">
        <f t="shared" si="15"/>
        <v>3</v>
      </c>
      <c r="AK50" s="116">
        <f t="shared" si="15"/>
        <v>3</v>
      </c>
      <c r="AL50" s="116">
        <f t="shared" si="15"/>
        <v>3</v>
      </c>
      <c r="AM50" s="116">
        <f t="shared" si="15"/>
        <v>3</v>
      </c>
      <c r="AN50" s="116">
        <f t="shared" si="15"/>
        <v>3</v>
      </c>
      <c r="AO50" s="116">
        <f t="shared" si="15"/>
        <v>3</v>
      </c>
      <c r="AP50" s="116">
        <f t="shared" si="15"/>
        <v>3</v>
      </c>
      <c r="AQ50" s="116">
        <f t="shared" si="15"/>
        <v>3</v>
      </c>
      <c r="AR50" s="116">
        <f t="shared" si="15"/>
        <v>3</v>
      </c>
      <c r="AS50" s="116">
        <f t="shared" si="15"/>
        <v>3</v>
      </c>
      <c r="AT50" s="116">
        <f t="shared" si="15"/>
        <v>0</v>
      </c>
      <c r="AU50" s="116">
        <f t="shared" si="15"/>
        <v>3</v>
      </c>
      <c r="AV50" s="116">
        <f t="shared" si="15"/>
        <v>3</v>
      </c>
      <c r="AW50" s="116">
        <f t="shared" si="15"/>
        <v>3</v>
      </c>
      <c r="AX50" s="116">
        <f t="shared" si="15"/>
        <v>3</v>
      </c>
      <c r="AY50" s="116">
        <f t="shared" si="15"/>
        <v>3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3</v>
      </c>
      <c r="E52" s="116">
        <v>3</v>
      </c>
      <c r="F52" s="116">
        <v>4</v>
      </c>
      <c r="G52" s="116">
        <v>2</v>
      </c>
      <c r="H52" s="116">
        <v>2</v>
      </c>
      <c r="I52" s="116">
        <v>3</v>
      </c>
      <c r="J52" s="116">
        <v>2</v>
      </c>
      <c r="K52" s="116">
        <v>2</v>
      </c>
      <c r="L52" s="116">
        <v>3</v>
      </c>
      <c r="M52" s="116">
        <v>2</v>
      </c>
      <c r="N52" s="116">
        <v>4</v>
      </c>
      <c r="O52" s="116">
        <v>2</v>
      </c>
      <c r="P52" s="116">
        <v>3</v>
      </c>
      <c r="Q52" s="116">
        <v>2</v>
      </c>
      <c r="R52" s="116">
        <v>2</v>
      </c>
      <c r="S52" s="116">
        <v>3</v>
      </c>
      <c r="T52" s="116">
        <v>2</v>
      </c>
      <c r="U52" s="116">
        <v>2</v>
      </c>
      <c r="V52" s="116">
        <v>3</v>
      </c>
      <c r="W52" s="116">
        <v>2</v>
      </c>
      <c r="X52" s="116">
        <v>2</v>
      </c>
      <c r="Y52" s="116">
        <v>2</v>
      </c>
      <c r="Z52" s="116">
        <v>2</v>
      </c>
      <c r="AA52" s="116">
        <v>2</v>
      </c>
      <c r="AB52" s="116">
        <v>3</v>
      </c>
      <c r="AC52" s="116">
        <v>4</v>
      </c>
      <c r="AD52" s="116">
        <v>2</v>
      </c>
      <c r="AE52" s="116">
        <v>2</v>
      </c>
      <c r="AF52" s="116">
        <v>2</v>
      </c>
      <c r="AG52" s="116">
        <v>3</v>
      </c>
      <c r="AH52" s="116">
        <v>3</v>
      </c>
      <c r="AI52" s="116">
        <v>4</v>
      </c>
      <c r="AJ52" s="116">
        <v>2</v>
      </c>
      <c r="AK52" s="116">
        <v>2</v>
      </c>
      <c r="AL52" s="116">
        <v>2</v>
      </c>
      <c r="AM52" s="116">
        <v>3</v>
      </c>
      <c r="AN52" s="116">
        <v>2</v>
      </c>
      <c r="AO52" s="116">
        <v>2</v>
      </c>
      <c r="AP52" s="116">
        <v>2</v>
      </c>
      <c r="AQ52" s="116">
        <v>2</v>
      </c>
      <c r="AR52" s="116">
        <v>4</v>
      </c>
      <c r="AS52" s="116">
        <v>2</v>
      </c>
      <c r="AT52" s="116">
        <v>4</v>
      </c>
      <c r="AU52" s="116">
        <v>3</v>
      </c>
      <c r="AV52" s="116">
        <v>3</v>
      </c>
      <c r="AW52" s="116">
        <v>3</v>
      </c>
      <c r="AX52" s="116">
        <v>3</v>
      </c>
      <c r="AY52" s="116">
        <v>2</v>
      </c>
    </row>
    <row r="53" spans="1:52" x14ac:dyDescent="0.2">
      <c r="A53" s="116"/>
      <c r="B53" s="184" t="s">
        <v>350</v>
      </c>
      <c r="C53" s="116"/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  <c r="AZ53" s="106">
        <f>SUM($D$53:$AY$53)</f>
        <v>0</v>
      </c>
    </row>
    <row r="54" spans="1:52" x14ac:dyDescent="0.2">
      <c r="A54" s="131"/>
      <c r="B54" s="146" t="s">
        <v>351</v>
      </c>
      <c r="C54" s="131"/>
      <c r="D54" s="131">
        <v>9122.1</v>
      </c>
      <c r="E54" s="131">
        <v>4561.05</v>
      </c>
      <c r="F54" s="131">
        <v>4561.05</v>
      </c>
      <c r="G54" s="131">
        <v>0</v>
      </c>
      <c r="H54" s="131">
        <v>4561.05</v>
      </c>
      <c r="I54" s="131">
        <v>4561.05</v>
      </c>
      <c r="J54" s="131">
        <v>4561.05</v>
      </c>
      <c r="K54" s="131">
        <v>4561.05</v>
      </c>
      <c r="L54" s="131">
        <v>4561.05</v>
      </c>
      <c r="M54" s="131">
        <v>4561.05</v>
      </c>
      <c r="N54" s="131">
        <v>4561.05</v>
      </c>
      <c r="O54" s="131">
        <v>4561.05</v>
      </c>
      <c r="P54" s="131">
        <v>4561.05</v>
      </c>
      <c r="Q54" s="131">
        <v>4561.05</v>
      </c>
      <c r="R54" s="131">
        <v>0</v>
      </c>
      <c r="S54" s="131">
        <v>4561.05</v>
      </c>
      <c r="T54" s="131">
        <v>4561.05</v>
      </c>
      <c r="U54" s="131">
        <v>4561.05</v>
      </c>
      <c r="V54" s="131">
        <v>0</v>
      </c>
      <c r="W54" s="131">
        <v>4561.05</v>
      </c>
      <c r="X54" s="131">
        <v>4561.05</v>
      </c>
      <c r="Y54" s="131">
        <v>4561.05</v>
      </c>
      <c r="Z54" s="131">
        <v>4561.05</v>
      </c>
      <c r="AA54" s="131">
        <v>4561.05</v>
      </c>
      <c r="AB54" s="131">
        <v>4561.05</v>
      </c>
      <c r="AC54" s="131">
        <v>4561.05</v>
      </c>
      <c r="AD54" s="131">
        <v>4561.05</v>
      </c>
      <c r="AE54" s="131">
        <v>4561.05</v>
      </c>
      <c r="AF54" s="131">
        <v>4561.05</v>
      </c>
      <c r="AG54" s="131">
        <v>4561.05</v>
      </c>
      <c r="AH54" s="131">
        <v>4561.05</v>
      </c>
      <c r="AI54" s="131">
        <v>4561.05</v>
      </c>
      <c r="AJ54" s="131">
        <v>4561.05</v>
      </c>
      <c r="AK54" s="131">
        <v>4561.05</v>
      </c>
      <c r="AL54" s="131">
        <v>4561.05</v>
      </c>
      <c r="AM54" s="131">
        <v>4561.05</v>
      </c>
      <c r="AN54" s="131">
        <v>4561.05</v>
      </c>
      <c r="AO54" s="131">
        <v>4561.05</v>
      </c>
      <c r="AP54" s="131">
        <v>4561.05</v>
      </c>
      <c r="AQ54" s="131">
        <v>4561.05</v>
      </c>
      <c r="AR54" s="131">
        <v>4561.05</v>
      </c>
      <c r="AS54" s="131">
        <v>4561.05</v>
      </c>
      <c r="AT54" s="131">
        <v>0</v>
      </c>
      <c r="AU54" s="131">
        <v>4561.05</v>
      </c>
      <c r="AV54" s="131">
        <v>4561.05</v>
      </c>
      <c r="AW54" s="131">
        <v>4561.05</v>
      </c>
      <c r="AX54" s="131">
        <v>4561.05</v>
      </c>
      <c r="AY54" s="131">
        <v>4561.05</v>
      </c>
      <c r="AZ54" s="106">
        <f>SUM($D$54:$AY$54)</f>
        <v>205247.24999999985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12</v>
      </c>
      <c r="E2" s="116"/>
    </row>
    <row r="3" spans="1:52" x14ac:dyDescent="0.2">
      <c r="A3" s="106" t="s">
        <v>286</v>
      </c>
      <c r="B3" s="113">
        <v>3800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3838.0605581057753</v>
      </c>
      <c r="E7" s="150">
        <v>3838.0605581057753</v>
      </c>
      <c r="F7" s="150">
        <v>3838.0605581057753</v>
      </c>
      <c r="G7" s="150">
        <v>3838.0605581057753</v>
      </c>
      <c r="H7" s="150">
        <v>3411.6093849829113</v>
      </c>
      <c r="I7" s="150">
        <v>3411.6093849829113</v>
      </c>
      <c r="J7" s="150">
        <v>3411.6093849829113</v>
      </c>
      <c r="K7" s="150">
        <v>3411.6093849829113</v>
      </c>
      <c r="L7" s="150">
        <v>3411.6093849829113</v>
      </c>
      <c r="M7" s="150">
        <v>3411.6093849829113</v>
      </c>
      <c r="N7" s="150">
        <v>3411.6093849829113</v>
      </c>
      <c r="O7" s="150">
        <v>3411.6093849829113</v>
      </c>
      <c r="P7" s="150">
        <v>3838.0605581057753</v>
      </c>
      <c r="Q7" s="150">
        <v>3838.0605581057753</v>
      </c>
      <c r="R7" s="150">
        <v>3838.0605581057753</v>
      </c>
      <c r="S7" s="150">
        <v>3838.0605581057753</v>
      </c>
      <c r="T7" s="150">
        <v>3411.6093849829113</v>
      </c>
      <c r="U7" s="150">
        <v>3411.6093849829113</v>
      </c>
      <c r="V7" s="150">
        <v>3411.6093849829113</v>
      </c>
      <c r="W7" s="150">
        <v>3411.6093849829113</v>
      </c>
      <c r="X7" s="150">
        <v>3411.6093849829113</v>
      </c>
      <c r="Y7" s="150">
        <v>3411.6093849829113</v>
      </c>
      <c r="Z7" s="150">
        <v>3411.6093849829113</v>
      </c>
      <c r="AA7" s="150">
        <v>3411.6093849829113</v>
      </c>
      <c r="AB7" s="150">
        <v>3838.0605581057753</v>
      </c>
      <c r="AC7" s="150">
        <v>3838.0605581057753</v>
      </c>
      <c r="AD7" s="150">
        <v>3838.0605581057753</v>
      </c>
      <c r="AE7" s="150">
        <v>3838.0605581057753</v>
      </c>
      <c r="AF7" s="150">
        <v>3411.6093849829113</v>
      </c>
      <c r="AG7" s="150">
        <v>3411.6093849829113</v>
      </c>
      <c r="AH7" s="150">
        <v>3411.6093849829113</v>
      </c>
      <c r="AI7" s="150">
        <v>3411.6093849829113</v>
      </c>
      <c r="AJ7" s="150">
        <v>3411.6093849829113</v>
      </c>
      <c r="AK7" s="150">
        <v>3411.6093849829113</v>
      </c>
      <c r="AL7" s="150">
        <v>3411.6093849829113</v>
      </c>
      <c r="AM7" s="150">
        <v>3411.6093849829113</v>
      </c>
      <c r="AN7" s="150">
        <v>3838.0605581057753</v>
      </c>
      <c r="AO7" s="150">
        <v>3838.0605581057753</v>
      </c>
      <c r="AP7" s="150">
        <v>3838.0605581057753</v>
      </c>
      <c r="AQ7" s="150">
        <v>3838.0605581057753</v>
      </c>
      <c r="AR7" s="150">
        <v>3411.6093849829113</v>
      </c>
      <c r="AS7" s="150">
        <v>3411.6093849829113</v>
      </c>
      <c r="AT7" s="150">
        <v>3411.6093849829113</v>
      </c>
      <c r="AU7" s="150">
        <v>3411.6093849829113</v>
      </c>
      <c r="AV7" s="150">
        <v>3411.6093849829113</v>
      </c>
      <c r="AW7" s="150">
        <v>3411.6093849829113</v>
      </c>
      <c r="AX7" s="150">
        <v>3411.6093849829113</v>
      </c>
      <c r="AY7" s="150">
        <v>3411.6093849829113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38.060558105775272</v>
      </c>
      <c r="E10" s="150">
        <f t="shared" si="0"/>
        <v>3838.0605581057753</v>
      </c>
      <c r="F10" s="150">
        <f t="shared" si="0"/>
        <v>38.060558105775272</v>
      </c>
      <c r="G10" s="150">
        <f t="shared" si="0"/>
        <v>38.060558105775272</v>
      </c>
      <c r="H10" s="150">
        <f t="shared" si="0"/>
        <v>0</v>
      </c>
      <c r="I10" s="150">
        <f t="shared" si="0"/>
        <v>0</v>
      </c>
      <c r="J10" s="150">
        <f t="shared" si="0"/>
        <v>0</v>
      </c>
      <c r="K10" s="150">
        <f t="shared" si="0"/>
        <v>0</v>
      </c>
      <c r="L10" s="150">
        <f t="shared" si="0"/>
        <v>0</v>
      </c>
      <c r="M10" s="150">
        <f t="shared" si="0"/>
        <v>0</v>
      </c>
      <c r="N10" s="150">
        <f t="shared" si="0"/>
        <v>0</v>
      </c>
      <c r="O10" s="150">
        <f t="shared" si="0"/>
        <v>0</v>
      </c>
      <c r="P10" s="150">
        <f t="shared" si="0"/>
        <v>3449.6699430886865</v>
      </c>
      <c r="Q10" s="150">
        <f t="shared" si="0"/>
        <v>38.060558105775272</v>
      </c>
      <c r="R10" s="150">
        <f t="shared" si="0"/>
        <v>38.060558105775272</v>
      </c>
      <c r="S10" s="150">
        <f t="shared" si="0"/>
        <v>38.060558105775272</v>
      </c>
      <c r="T10" s="150">
        <f t="shared" si="0"/>
        <v>3411.6093849829113</v>
      </c>
      <c r="U10" s="150">
        <f t="shared" si="0"/>
        <v>0</v>
      </c>
      <c r="V10" s="150">
        <f t="shared" si="0"/>
        <v>0</v>
      </c>
      <c r="W10" s="150">
        <f t="shared" si="0"/>
        <v>0</v>
      </c>
      <c r="X10" s="150">
        <f t="shared" si="0"/>
        <v>3023.2187699658225</v>
      </c>
      <c r="Y10" s="150">
        <f t="shared" si="0"/>
        <v>0</v>
      </c>
      <c r="Z10" s="150">
        <f t="shared" si="0"/>
        <v>0</v>
      </c>
      <c r="AA10" s="150">
        <f t="shared" si="0"/>
        <v>0</v>
      </c>
      <c r="AB10" s="150">
        <f t="shared" si="0"/>
        <v>38.060558105775272</v>
      </c>
      <c r="AC10" s="150">
        <f t="shared" si="0"/>
        <v>38.060558105775272</v>
      </c>
      <c r="AD10" s="150">
        <f t="shared" si="0"/>
        <v>38.060558105775272</v>
      </c>
      <c r="AE10" s="150">
        <f t="shared" si="0"/>
        <v>38.060558105775272</v>
      </c>
      <c r="AF10" s="150">
        <f t="shared" si="0"/>
        <v>0</v>
      </c>
      <c r="AG10" s="150">
        <f t="shared" si="0"/>
        <v>0</v>
      </c>
      <c r="AH10" s="150">
        <f t="shared" si="0"/>
        <v>0</v>
      </c>
      <c r="AI10" s="150">
        <f t="shared" si="0"/>
        <v>0</v>
      </c>
      <c r="AJ10" s="150">
        <f t="shared" si="0"/>
        <v>0</v>
      </c>
      <c r="AK10" s="150">
        <f t="shared" si="0"/>
        <v>3023.2187699658225</v>
      </c>
      <c r="AL10" s="150">
        <f t="shared" si="0"/>
        <v>0</v>
      </c>
      <c r="AM10" s="150">
        <f t="shared" si="0"/>
        <v>0</v>
      </c>
      <c r="AN10" s="150">
        <f t="shared" si="0"/>
        <v>3449.6699430886865</v>
      </c>
      <c r="AO10" s="150">
        <f t="shared" si="0"/>
        <v>38.060558105775272</v>
      </c>
      <c r="AP10" s="150">
        <f t="shared" si="0"/>
        <v>38.060558105775272</v>
      </c>
      <c r="AQ10" s="150">
        <f t="shared" si="0"/>
        <v>38.060558105775272</v>
      </c>
      <c r="AR10" s="150">
        <f t="shared" si="0"/>
        <v>0</v>
      </c>
      <c r="AS10" s="150">
        <f t="shared" si="0"/>
        <v>0</v>
      </c>
      <c r="AT10" s="150">
        <f t="shared" si="0"/>
        <v>0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3023.2187699658225</v>
      </c>
      <c r="AY10" s="150">
        <f t="shared" si="0"/>
        <v>0</v>
      </c>
      <c r="AZ10" s="157">
        <f>SUM($D10:$AY10)</f>
        <v>23713.453394538607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3411.6093849829113</v>
      </c>
      <c r="D13" s="144">
        <f t="shared" ref="D13:AY13" si="1">D$7-D$10</f>
        <v>3800</v>
      </c>
      <c r="E13" s="144">
        <f t="shared" si="1"/>
        <v>0</v>
      </c>
      <c r="F13" s="144">
        <f t="shared" si="1"/>
        <v>3800</v>
      </c>
      <c r="G13" s="144">
        <f t="shared" si="1"/>
        <v>3800</v>
      </c>
      <c r="H13" s="144">
        <f t="shared" si="1"/>
        <v>3411.6093849829113</v>
      </c>
      <c r="I13" s="144">
        <f t="shared" si="1"/>
        <v>3411.6093849829113</v>
      </c>
      <c r="J13" s="144">
        <f t="shared" si="1"/>
        <v>3411.6093849829113</v>
      </c>
      <c r="K13" s="144">
        <f t="shared" si="1"/>
        <v>3411.6093849829113</v>
      </c>
      <c r="L13" s="144">
        <f t="shared" si="1"/>
        <v>3411.6093849829113</v>
      </c>
      <c r="M13" s="144">
        <f t="shared" si="1"/>
        <v>3411.6093849829113</v>
      </c>
      <c r="N13" s="144">
        <f t="shared" si="1"/>
        <v>3411.6093849829113</v>
      </c>
      <c r="O13" s="144">
        <f t="shared" si="1"/>
        <v>3411.6093849829113</v>
      </c>
      <c r="P13" s="144">
        <f t="shared" si="1"/>
        <v>388.39061501708875</v>
      </c>
      <c r="Q13" s="144">
        <f t="shared" si="1"/>
        <v>3800</v>
      </c>
      <c r="R13" s="144">
        <f t="shared" si="1"/>
        <v>3800</v>
      </c>
      <c r="S13" s="144">
        <f t="shared" si="1"/>
        <v>3800</v>
      </c>
      <c r="T13" s="144">
        <f t="shared" si="1"/>
        <v>0</v>
      </c>
      <c r="U13" s="144">
        <f t="shared" si="1"/>
        <v>3411.6093849829113</v>
      </c>
      <c r="V13" s="144">
        <f t="shared" si="1"/>
        <v>3411.6093849829113</v>
      </c>
      <c r="W13" s="144">
        <f t="shared" si="1"/>
        <v>3411.6093849829113</v>
      </c>
      <c r="X13" s="144">
        <f t="shared" si="1"/>
        <v>388.39061501708875</v>
      </c>
      <c r="Y13" s="144">
        <f t="shared" si="1"/>
        <v>3411.6093849829113</v>
      </c>
      <c r="Z13" s="144">
        <f t="shared" si="1"/>
        <v>3411.6093849829113</v>
      </c>
      <c r="AA13" s="144">
        <f t="shared" si="1"/>
        <v>3411.6093849829113</v>
      </c>
      <c r="AB13" s="144">
        <f t="shared" si="1"/>
        <v>3800</v>
      </c>
      <c r="AC13" s="144">
        <f t="shared" si="1"/>
        <v>3800</v>
      </c>
      <c r="AD13" s="144">
        <f t="shared" si="1"/>
        <v>3800</v>
      </c>
      <c r="AE13" s="144">
        <f t="shared" si="1"/>
        <v>3800</v>
      </c>
      <c r="AF13" s="144">
        <f t="shared" si="1"/>
        <v>3411.6093849829113</v>
      </c>
      <c r="AG13" s="144">
        <f t="shared" si="1"/>
        <v>3411.6093849829113</v>
      </c>
      <c r="AH13" s="144">
        <f t="shared" si="1"/>
        <v>3411.6093849829113</v>
      </c>
      <c r="AI13" s="144">
        <f t="shared" si="1"/>
        <v>3411.6093849829113</v>
      </c>
      <c r="AJ13" s="144">
        <f t="shared" si="1"/>
        <v>3411.6093849829113</v>
      </c>
      <c r="AK13" s="144">
        <f t="shared" si="1"/>
        <v>388.39061501708875</v>
      </c>
      <c r="AL13" s="144">
        <f t="shared" si="1"/>
        <v>3411.6093849829113</v>
      </c>
      <c r="AM13" s="144">
        <f t="shared" si="1"/>
        <v>3411.6093849829113</v>
      </c>
      <c r="AN13" s="144">
        <f t="shared" si="1"/>
        <v>388.39061501708875</v>
      </c>
      <c r="AO13" s="144">
        <f t="shared" si="1"/>
        <v>3800</v>
      </c>
      <c r="AP13" s="144">
        <f t="shared" si="1"/>
        <v>3800</v>
      </c>
      <c r="AQ13" s="144">
        <f t="shared" si="1"/>
        <v>3800</v>
      </c>
      <c r="AR13" s="144">
        <f t="shared" si="1"/>
        <v>3411.6093849829113</v>
      </c>
      <c r="AS13" s="144">
        <f t="shared" si="1"/>
        <v>3411.6093849829113</v>
      </c>
      <c r="AT13" s="144">
        <f t="shared" si="1"/>
        <v>3411.6093849829113</v>
      </c>
      <c r="AU13" s="144">
        <f t="shared" si="1"/>
        <v>3411.6093849829113</v>
      </c>
      <c r="AV13" s="144">
        <f t="shared" si="1"/>
        <v>3411.6093849829113</v>
      </c>
      <c r="AW13" s="144">
        <f t="shared" si="1"/>
        <v>3411.6093849829113</v>
      </c>
      <c r="AX13" s="144">
        <f t="shared" si="1"/>
        <v>388.39061501708875</v>
      </c>
      <c r="AY13" s="144">
        <f t="shared" si="1"/>
        <v>3411.6093849829113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3800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3411.6093849829113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3800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3411.6093849829113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3411.6093849829113</v>
      </c>
      <c r="AL14" s="112">
        <f t="shared" si="2"/>
        <v>0</v>
      </c>
      <c r="AM14" s="112">
        <f t="shared" si="2"/>
        <v>0</v>
      </c>
      <c r="AN14" s="112">
        <f t="shared" si="2"/>
        <v>3411.6093849829113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3411.6093849829113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 t="s">
        <v>339</v>
      </c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 t="s">
        <v>339</v>
      </c>
      <c r="P20" s="123"/>
      <c r="Q20" s="123"/>
      <c r="R20" s="123"/>
      <c r="S20" s="123" t="s">
        <v>339</v>
      </c>
      <c r="T20" s="123"/>
      <c r="U20" s="123"/>
      <c r="V20" s="123"/>
      <c r="W20" s="123" t="s">
        <v>339</v>
      </c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 t="s">
        <v>339</v>
      </c>
      <c r="AK20" s="123"/>
      <c r="AL20" s="123"/>
      <c r="AM20" s="123" t="s">
        <v>339</v>
      </c>
      <c r="AN20" s="123"/>
      <c r="AO20" s="123"/>
      <c r="AP20" s="123"/>
      <c r="AQ20" s="123"/>
      <c r="AR20" s="123"/>
      <c r="AS20" s="123"/>
      <c r="AT20" s="123"/>
      <c r="AU20" s="123"/>
      <c r="AV20" s="123"/>
      <c r="AW20" s="123" t="s">
        <v>339</v>
      </c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shipping_manufacturing!$G$19/100</f>
        <v>1</v>
      </c>
      <c r="C21" s="162" t="s">
        <v>293</v>
      </c>
      <c r="D21" s="112">
        <f>IF(C$20="Yes",0,SUM(C$13:C$16)*$B$21)</f>
        <v>3411.6093849829113</v>
      </c>
      <c r="E21" s="112">
        <f t="shared" ref="E21:AY21" si="3">IF(D$20="Yes",0,SUM(D$13:D$16)*$B$21)</f>
        <v>0</v>
      </c>
      <c r="F21" s="112">
        <f t="shared" si="3"/>
        <v>3800</v>
      </c>
      <c r="G21" s="112">
        <f t="shared" si="3"/>
        <v>3800</v>
      </c>
      <c r="H21" s="112">
        <f t="shared" si="3"/>
        <v>3800</v>
      </c>
      <c r="I21" s="112">
        <f t="shared" si="3"/>
        <v>3411.6093849829113</v>
      </c>
      <c r="J21" s="112">
        <f t="shared" si="3"/>
        <v>3411.6093849829113</v>
      </c>
      <c r="K21" s="112">
        <f t="shared" si="3"/>
        <v>3411.6093849829113</v>
      </c>
      <c r="L21" s="112">
        <f t="shared" si="3"/>
        <v>3411.6093849829113</v>
      </c>
      <c r="M21" s="112">
        <f t="shared" si="3"/>
        <v>3411.6093849829113</v>
      </c>
      <c r="N21" s="112">
        <f t="shared" si="3"/>
        <v>3411.6093849829113</v>
      </c>
      <c r="O21" s="112">
        <f t="shared" si="3"/>
        <v>3411.6093849829113</v>
      </c>
      <c r="P21" s="112">
        <f t="shared" si="3"/>
        <v>0</v>
      </c>
      <c r="Q21" s="112">
        <f t="shared" si="3"/>
        <v>3800</v>
      </c>
      <c r="R21" s="112">
        <f t="shared" si="3"/>
        <v>3800</v>
      </c>
      <c r="S21" s="112">
        <f t="shared" si="3"/>
        <v>3800</v>
      </c>
      <c r="T21" s="112">
        <f t="shared" si="3"/>
        <v>0</v>
      </c>
      <c r="U21" s="112">
        <f t="shared" si="3"/>
        <v>3800</v>
      </c>
      <c r="V21" s="112">
        <f t="shared" si="3"/>
        <v>3411.6093849829113</v>
      </c>
      <c r="W21" s="112">
        <f t="shared" si="3"/>
        <v>3411.6093849829113</v>
      </c>
      <c r="X21" s="112">
        <f t="shared" si="3"/>
        <v>0</v>
      </c>
      <c r="Y21" s="112">
        <f t="shared" si="3"/>
        <v>3800</v>
      </c>
      <c r="Z21" s="112">
        <f t="shared" si="3"/>
        <v>3411.6093849829113</v>
      </c>
      <c r="AA21" s="112">
        <f t="shared" si="3"/>
        <v>3411.6093849829113</v>
      </c>
      <c r="AB21" s="112">
        <f t="shared" si="3"/>
        <v>3411.6093849829113</v>
      </c>
      <c r="AC21" s="112">
        <f t="shared" si="3"/>
        <v>3800</v>
      </c>
      <c r="AD21" s="112">
        <f t="shared" si="3"/>
        <v>3800</v>
      </c>
      <c r="AE21" s="112">
        <f t="shared" si="3"/>
        <v>3800</v>
      </c>
      <c r="AF21" s="112">
        <f t="shared" si="3"/>
        <v>3800</v>
      </c>
      <c r="AG21" s="112">
        <f t="shared" si="3"/>
        <v>3411.6093849829113</v>
      </c>
      <c r="AH21" s="112">
        <f t="shared" si="3"/>
        <v>3411.6093849829113</v>
      </c>
      <c r="AI21" s="112">
        <f t="shared" si="3"/>
        <v>3411.6093849829113</v>
      </c>
      <c r="AJ21" s="112">
        <f t="shared" si="3"/>
        <v>3411.6093849829113</v>
      </c>
      <c r="AK21" s="112">
        <f t="shared" si="3"/>
        <v>0</v>
      </c>
      <c r="AL21" s="112">
        <f t="shared" si="3"/>
        <v>3800</v>
      </c>
      <c r="AM21" s="112">
        <f t="shared" si="3"/>
        <v>3411.6093849829113</v>
      </c>
      <c r="AN21" s="112">
        <f t="shared" si="3"/>
        <v>0</v>
      </c>
      <c r="AO21" s="112">
        <f t="shared" si="3"/>
        <v>3800</v>
      </c>
      <c r="AP21" s="112">
        <f t="shared" si="3"/>
        <v>3800</v>
      </c>
      <c r="AQ21" s="112">
        <f t="shared" si="3"/>
        <v>3800</v>
      </c>
      <c r="AR21" s="112">
        <f t="shared" si="3"/>
        <v>3800</v>
      </c>
      <c r="AS21" s="112">
        <f t="shared" si="3"/>
        <v>3411.6093849829113</v>
      </c>
      <c r="AT21" s="112">
        <f t="shared" si="3"/>
        <v>3411.6093849829113</v>
      </c>
      <c r="AU21" s="112">
        <f t="shared" si="3"/>
        <v>3411.6093849829113</v>
      </c>
      <c r="AV21" s="112">
        <f t="shared" si="3"/>
        <v>3411.6093849829113</v>
      </c>
      <c r="AW21" s="112">
        <f t="shared" si="3"/>
        <v>3411.6093849829113</v>
      </c>
      <c r="AX21" s="112">
        <f t="shared" si="3"/>
        <v>0</v>
      </c>
      <c r="AY21" s="112">
        <f t="shared" si="3"/>
        <v>3800</v>
      </c>
      <c r="AZ21" s="163">
        <f>SUM($D21:$AY21)</f>
        <v>146867.0158546069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293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6823218.7699658228</v>
      </c>
      <c r="E23" s="106">
        <f t="shared" ref="E23:AY23" si="6">E$21*$B$23</f>
        <v>0</v>
      </c>
      <c r="F23" s="106">
        <f t="shared" si="6"/>
        <v>7600000</v>
      </c>
      <c r="G23" s="106">
        <f t="shared" si="6"/>
        <v>7600000</v>
      </c>
      <c r="H23" s="106">
        <f t="shared" si="6"/>
        <v>7600000</v>
      </c>
      <c r="I23" s="106">
        <f t="shared" si="6"/>
        <v>6823218.7699658228</v>
      </c>
      <c r="J23" s="106">
        <f t="shared" si="6"/>
        <v>6823218.7699658228</v>
      </c>
      <c r="K23" s="106">
        <f t="shared" si="6"/>
        <v>6823218.7699658228</v>
      </c>
      <c r="L23" s="106">
        <f t="shared" si="6"/>
        <v>6823218.7699658228</v>
      </c>
      <c r="M23" s="106">
        <f t="shared" si="6"/>
        <v>6823218.7699658228</v>
      </c>
      <c r="N23" s="106">
        <f t="shared" si="6"/>
        <v>6823218.7699658228</v>
      </c>
      <c r="O23" s="106">
        <f t="shared" si="6"/>
        <v>6823218.7699658228</v>
      </c>
      <c r="P23" s="106">
        <f t="shared" si="6"/>
        <v>0</v>
      </c>
      <c r="Q23" s="106">
        <f t="shared" si="6"/>
        <v>7600000</v>
      </c>
      <c r="R23" s="106">
        <f t="shared" si="6"/>
        <v>7600000</v>
      </c>
      <c r="S23" s="106">
        <f t="shared" si="6"/>
        <v>7600000</v>
      </c>
      <c r="T23" s="106">
        <f t="shared" si="6"/>
        <v>0</v>
      </c>
      <c r="U23" s="106">
        <f t="shared" si="6"/>
        <v>7600000</v>
      </c>
      <c r="V23" s="106">
        <f t="shared" si="6"/>
        <v>6823218.7699658228</v>
      </c>
      <c r="W23" s="106">
        <f t="shared" si="6"/>
        <v>6823218.7699658228</v>
      </c>
      <c r="X23" s="106">
        <f t="shared" si="6"/>
        <v>0</v>
      </c>
      <c r="Y23" s="106">
        <f t="shared" si="6"/>
        <v>7600000</v>
      </c>
      <c r="Z23" s="106">
        <f t="shared" si="6"/>
        <v>6823218.7699658228</v>
      </c>
      <c r="AA23" s="106">
        <f t="shared" si="6"/>
        <v>6823218.7699658228</v>
      </c>
      <c r="AB23" s="106">
        <f t="shared" si="6"/>
        <v>6823218.7699658228</v>
      </c>
      <c r="AC23" s="106">
        <f t="shared" si="6"/>
        <v>7600000</v>
      </c>
      <c r="AD23" s="106">
        <f t="shared" si="6"/>
        <v>7600000</v>
      </c>
      <c r="AE23" s="106">
        <f t="shared" si="6"/>
        <v>7600000</v>
      </c>
      <c r="AF23" s="106">
        <f t="shared" si="6"/>
        <v>7600000</v>
      </c>
      <c r="AG23" s="106">
        <f t="shared" si="6"/>
        <v>6823218.7699658228</v>
      </c>
      <c r="AH23" s="106">
        <f t="shared" si="6"/>
        <v>6823218.7699658228</v>
      </c>
      <c r="AI23" s="106">
        <f t="shared" si="6"/>
        <v>6823218.7699658228</v>
      </c>
      <c r="AJ23" s="106">
        <f t="shared" si="6"/>
        <v>6823218.7699658228</v>
      </c>
      <c r="AK23" s="106">
        <f t="shared" si="6"/>
        <v>0</v>
      </c>
      <c r="AL23" s="106">
        <f t="shared" si="6"/>
        <v>7600000</v>
      </c>
      <c r="AM23" s="106">
        <f t="shared" si="6"/>
        <v>6823218.7699658228</v>
      </c>
      <c r="AN23" s="106">
        <f t="shared" si="6"/>
        <v>0</v>
      </c>
      <c r="AO23" s="106">
        <f t="shared" si="6"/>
        <v>7600000</v>
      </c>
      <c r="AP23" s="106">
        <f t="shared" si="6"/>
        <v>7600000</v>
      </c>
      <c r="AQ23" s="106">
        <f t="shared" si="6"/>
        <v>7600000</v>
      </c>
      <c r="AR23" s="106">
        <f t="shared" si="6"/>
        <v>7600000</v>
      </c>
      <c r="AS23" s="106">
        <f t="shared" si="6"/>
        <v>6823218.7699658228</v>
      </c>
      <c r="AT23" s="106">
        <f t="shared" si="6"/>
        <v>6823218.7699658228</v>
      </c>
      <c r="AU23" s="106">
        <f t="shared" si="6"/>
        <v>6823218.7699658228</v>
      </c>
      <c r="AV23" s="106">
        <f t="shared" si="6"/>
        <v>6823218.7699658228</v>
      </c>
      <c r="AW23" s="106">
        <f t="shared" si="6"/>
        <v>6823218.7699658228</v>
      </c>
      <c r="AX23" s="106">
        <f t="shared" si="6"/>
        <v>0</v>
      </c>
      <c r="AY23" s="106">
        <f t="shared" si="6"/>
        <v>7600000</v>
      </c>
      <c r="AZ23" s="145">
        <f t="shared" si="5"/>
        <v>293734031.70921397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0</v>
      </c>
      <c r="D27" s="130">
        <f>C$27-C$28+C$29</f>
        <v>0</v>
      </c>
      <c r="E27" s="130">
        <f t="shared" ref="E27:AY27" si="8">D27-D28+D29</f>
        <v>0</v>
      </c>
      <c r="F27" s="130">
        <f t="shared" si="8"/>
        <v>0</v>
      </c>
      <c r="G27" s="130">
        <f t="shared" si="8"/>
        <v>0</v>
      </c>
      <c r="H27" s="130">
        <f t="shared" si="8"/>
        <v>0</v>
      </c>
      <c r="I27" s="130">
        <f t="shared" si="8"/>
        <v>0</v>
      </c>
      <c r="J27" s="130">
        <f t="shared" si="8"/>
        <v>0</v>
      </c>
      <c r="K27" s="130">
        <f t="shared" si="8"/>
        <v>0</v>
      </c>
      <c r="L27" s="130">
        <f t="shared" si="8"/>
        <v>0</v>
      </c>
      <c r="M27" s="130">
        <f t="shared" si="8"/>
        <v>0</v>
      </c>
      <c r="N27" s="130">
        <f t="shared" si="8"/>
        <v>0</v>
      </c>
      <c r="O27" s="130">
        <f t="shared" si="8"/>
        <v>0</v>
      </c>
      <c r="P27" s="130">
        <f t="shared" si="8"/>
        <v>0</v>
      </c>
      <c r="Q27" s="130">
        <f t="shared" si="8"/>
        <v>0</v>
      </c>
      <c r="R27" s="130">
        <f t="shared" si="8"/>
        <v>0</v>
      </c>
      <c r="S27" s="130">
        <f t="shared" si="8"/>
        <v>0</v>
      </c>
      <c r="T27" s="130">
        <f t="shared" si="8"/>
        <v>0</v>
      </c>
      <c r="U27" s="130">
        <f t="shared" si="8"/>
        <v>0</v>
      </c>
      <c r="V27" s="130">
        <f t="shared" si="8"/>
        <v>0</v>
      </c>
      <c r="W27" s="130">
        <f t="shared" si="8"/>
        <v>0</v>
      </c>
      <c r="X27" s="130">
        <f t="shared" si="8"/>
        <v>0</v>
      </c>
      <c r="Y27" s="130">
        <f t="shared" si="8"/>
        <v>0</v>
      </c>
      <c r="Z27" s="130">
        <f t="shared" si="8"/>
        <v>0</v>
      </c>
      <c r="AA27" s="130">
        <f t="shared" si="8"/>
        <v>0</v>
      </c>
      <c r="AB27" s="130">
        <f t="shared" si="8"/>
        <v>0</v>
      </c>
      <c r="AC27" s="130">
        <f t="shared" si="8"/>
        <v>0</v>
      </c>
      <c r="AD27" s="130">
        <f t="shared" si="8"/>
        <v>0</v>
      </c>
      <c r="AE27" s="130">
        <f t="shared" si="8"/>
        <v>0</v>
      </c>
      <c r="AF27" s="130">
        <f t="shared" si="8"/>
        <v>0</v>
      </c>
      <c r="AG27" s="130">
        <f t="shared" si="8"/>
        <v>0</v>
      </c>
      <c r="AH27" s="130">
        <f t="shared" si="8"/>
        <v>0</v>
      </c>
      <c r="AI27" s="130">
        <f t="shared" si="8"/>
        <v>0</v>
      </c>
      <c r="AJ27" s="130">
        <f t="shared" si="8"/>
        <v>0</v>
      </c>
      <c r="AK27" s="130">
        <f t="shared" si="8"/>
        <v>0</v>
      </c>
      <c r="AL27" s="130">
        <f t="shared" si="8"/>
        <v>0</v>
      </c>
      <c r="AM27" s="130">
        <f t="shared" si="8"/>
        <v>0</v>
      </c>
      <c r="AN27" s="130">
        <f t="shared" si="8"/>
        <v>0</v>
      </c>
      <c r="AO27" s="130">
        <f t="shared" si="8"/>
        <v>0</v>
      </c>
      <c r="AP27" s="130">
        <f t="shared" si="8"/>
        <v>0</v>
      </c>
      <c r="AQ27" s="130">
        <f t="shared" si="8"/>
        <v>0</v>
      </c>
      <c r="AR27" s="130">
        <f t="shared" si="8"/>
        <v>0</v>
      </c>
      <c r="AS27" s="130">
        <f t="shared" si="8"/>
        <v>0</v>
      </c>
      <c r="AT27" s="130">
        <f t="shared" si="8"/>
        <v>0</v>
      </c>
      <c r="AU27" s="130">
        <f t="shared" si="8"/>
        <v>0</v>
      </c>
      <c r="AV27" s="130">
        <f t="shared" si="8"/>
        <v>0</v>
      </c>
      <c r="AW27" s="130">
        <f t="shared" si="8"/>
        <v>0</v>
      </c>
      <c r="AX27" s="130">
        <f t="shared" si="8"/>
        <v>0</v>
      </c>
      <c r="AY27" s="170">
        <f t="shared" si="8"/>
        <v>0</v>
      </c>
      <c r="AZ27" s="112"/>
    </row>
    <row r="28" spans="1:52" x14ac:dyDescent="0.2">
      <c r="B28" s="171" t="s">
        <v>310</v>
      </c>
      <c r="C28" s="116">
        <v>0</v>
      </c>
      <c r="D28" s="116">
        <v>0</v>
      </c>
      <c r="E28" s="116">
        <v>0</v>
      </c>
      <c r="F28" s="116">
        <v>0</v>
      </c>
      <c r="G28" s="116">
        <v>0</v>
      </c>
      <c r="H28" s="116">
        <v>0</v>
      </c>
      <c r="I28" s="116">
        <v>0</v>
      </c>
      <c r="J28" s="116">
        <v>0</v>
      </c>
      <c r="K28" s="116">
        <v>0</v>
      </c>
      <c r="L28" s="116">
        <v>0</v>
      </c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0</v>
      </c>
      <c r="S28" s="116">
        <v>0</v>
      </c>
      <c r="T28" s="116">
        <v>0</v>
      </c>
      <c r="U28" s="116">
        <v>0</v>
      </c>
      <c r="V28" s="116">
        <v>0</v>
      </c>
      <c r="W28" s="116">
        <v>0</v>
      </c>
      <c r="X28" s="116">
        <v>0</v>
      </c>
      <c r="Y28" s="116">
        <v>0</v>
      </c>
      <c r="Z28" s="116">
        <v>0</v>
      </c>
      <c r="AA28" s="116">
        <v>0</v>
      </c>
      <c r="AB28" s="116">
        <v>0</v>
      </c>
      <c r="AC28" s="116">
        <v>0</v>
      </c>
      <c r="AD28" s="116">
        <v>0</v>
      </c>
      <c r="AE28" s="116">
        <v>0</v>
      </c>
      <c r="AF28" s="116">
        <v>0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>
        <v>0</v>
      </c>
      <c r="AW28" s="116">
        <v>0</v>
      </c>
      <c r="AX28" s="116">
        <v>0</v>
      </c>
      <c r="AY28" s="172">
        <v>0</v>
      </c>
      <c r="AZ28" s="112"/>
    </row>
    <row r="29" spans="1:52" x14ac:dyDescent="0.2">
      <c r="B29" s="142" t="s">
        <v>311</v>
      </c>
      <c r="C29" s="131">
        <v>0</v>
      </c>
      <c r="D29" s="131">
        <f>C$28</f>
        <v>0</v>
      </c>
      <c r="E29" s="131">
        <f t="shared" ref="E29:AY29" si="9">D$28</f>
        <v>0</v>
      </c>
      <c r="F29" s="131">
        <f t="shared" si="9"/>
        <v>0</v>
      </c>
      <c r="G29" s="131">
        <f t="shared" si="9"/>
        <v>0</v>
      </c>
      <c r="H29" s="131">
        <f t="shared" si="9"/>
        <v>0</v>
      </c>
      <c r="I29" s="131">
        <f t="shared" si="9"/>
        <v>0</v>
      </c>
      <c r="J29" s="131">
        <f t="shared" si="9"/>
        <v>0</v>
      </c>
      <c r="K29" s="131">
        <f t="shared" si="9"/>
        <v>0</v>
      </c>
      <c r="L29" s="131">
        <f t="shared" si="9"/>
        <v>0</v>
      </c>
      <c r="M29" s="131">
        <f t="shared" si="9"/>
        <v>0</v>
      </c>
      <c r="N29" s="131">
        <f t="shared" si="9"/>
        <v>0</v>
      </c>
      <c r="O29" s="131">
        <f t="shared" si="9"/>
        <v>0</v>
      </c>
      <c r="P29" s="131">
        <f t="shared" si="9"/>
        <v>0</v>
      </c>
      <c r="Q29" s="131">
        <f t="shared" si="9"/>
        <v>0</v>
      </c>
      <c r="R29" s="131">
        <f t="shared" si="9"/>
        <v>0</v>
      </c>
      <c r="S29" s="131">
        <f t="shared" si="9"/>
        <v>0</v>
      </c>
      <c r="T29" s="131">
        <f t="shared" si="9"/>
        <v>0</v>
      </c>
      <c r="U29" s="131">
        <f t="shared" si="9"/>
        <v>0</v>
      </c>
      <c r="V29" s="131">
        <f t="shared" si="9"/>
        <v>0</v>
      </c>
      <c r="W29" s="131">
        <f t="shared" si="9"/>
        <v>0</v>
      </c>
      <c r="X29" s="131">
        <f t="shared" si="9"/>
        <v>0</v>
      </c>
      <c r="Y29" s="131">
        <f t="shared" si="9"/>
        <v>0</v>
      </c>
      <c r="Z29" s="131">
        <f t="shared" si="9"/>
        <v>0</v>
      </c>
      <c r="AA29" s="131">
        <f t="shared" si="9"/>
        <v>0</v>
      </c>
      <c r="AB29" s="131">
        <f t="shared" si="9"/>
        <v>0</v>
      </c>
      <c r="AC29" s="131">
        <f t="shared" si="9"/>
        <v>0</v>
      </c>
      <c r="AD29" s="131">
        <f t="shared" si="9"/>
        <v>0</v>
      </c>
      <c r="AE29" s="131">
        <f t="shared" si="9"/>
        <v>0</v>
      </c>
      <c r="AF29" s="131">
        <f t="shared" si="9"/>
        <v>0</v>
      </c>
      <c r="AG29" s="131">
        <f t="shared" si="9"/>
        <v>0</v>
      </c>
      <c r="AH29" s="131">
        <f t="shared" si="9"/>
        <v>0</v>
      </c>
      <c r="AI29" s="131">
        <f t="shared" si="9"/>
        <v>0</v>
      </c>
      <c r="AJ29" s="131">
        <f t="shared" si="9"/>
        <v>0</v>
      </c>
      <c r="AK29" s="131">
        <f t="shared" si="9"/>
        <v>0</v>
      </c>
      <c r="AL29" s="131">
        <f t="shared" si="9"/>
        <v>0</v>
      </c>
      <c r="AM29" s="131">
        <f t="shared" si="9"/>
        <v>0</v>
      </c>
      <c r="AN29" s="131">
        <f t="shared" si="9"/>
        <v>0</v>
      </c>
      <c r="AO29" s="131">
        <f t="shared" si="9"/>
        <v>0</v>
      </c>
      <c r="AP29" s="131">
        <f t="shared" si="9"/>
        <v>0</v>
      </c>
      <c r="AQ29" s="131">
        <f t="shared" si="9"/>
        <v>0</v>
      </c>
      <c r="AR29" s="131">
        <f t="shared" si="9"/>
        <v>0</v>
      </c>
      <c r="AS29" s="131">
        <f t="shared" si="9"/>
        <v>0</v>
      </c>
      <c r="AT29" s="131">
        <f t="shared" si="9"/>
        <v>0</v>
      </c>
      <c r="AU29" s="131">
        <f t="shared" si="9"/>
        <v>0</v>
      </c>
      <c r="AV29" s="131">
        <f t="shared" si="9"/>
        <v>0</v>
      </c>
      <c r="AW29" s="131">
        <f t="shared" si="9"/>
        <v>0</v>
      </c>
      <c r="AX29" s="131">
        <f t="shared" si="9"/>
        <v>0</v>
      </c>
      <c r="AY29" s="173">
        <f t="shared" si="9"/>
        <v>0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0</v>
      </c>
      <c r="E30" s="123">
        <f t="shared" ref="E30:AY30" si="10">E$27*$B$30</f>
        <v>0</v>
      </c>
      <c r="F30" s="123">
        <f t="shared" si="10"/>
        <v>0</v>
      </c>
      <c r="G30" s="123">
        <f t="shared" si="10"/>
        <v>0</v>
      </c>
      <c r="H30" s="123">
        <f t="shared" si="10"/>
        <v>0</v>
      </c>
      <c r="I30" s="123">
        <f t="shared" si="10"/>
        <v>0</v>
      </c>
      <c r="J30" s="123">
        <f t="shared" si="10"/>
        <v>0</v>
      </c>
      <c r="K30" s="123">
        <f t="shared" si="10"/>
        <v>0</v>
      </c>
      <c r="L30" s="123">
        <f t="shared" si="10"/>
        <v>0</v>
      </c>
      <c r="M30" s="123">
        <f t="shared" si="10"/>
        <v>0</v>
      </c>
      <c r="N30" s="123">
        <f t="shared" si="10"/>
        <v>0</v>
      </c>
      <c r="O30" s="123">
        <f t="shared" si="10"/>
        <v>0</v>
      </c>
      <c r="P30" s="123">
        <f t="shared" si="10"/>
        <v>0</v>
      </c>
      <c r="Q30" s="123">
        <f t="shared" si="10"/>
        <v>0</v>
      </c>
      <c r="R30" s="123">
        <f>R$27*$B$30</f>
        <v>0</v>
      </c>
      <c r="S30" s="123">
        <f t="shared" si="10"/>
        <v>0</v>
      </c>
      <c r="T30" s="123">
        <f t="shared" si="10"/>
        <v>0</v>
      </c>
      <c r="U30" s="123">
        <f t="shared" si="10"/>
        <v>0</v>
      </c>
      <c r="V30" s="123">
        <f t="shared" si="10"/>
        <v>0</v>
      </c>
      <c r="W30" s="123">
        <f t="shared" si="10"/>
        <v>0</v>
      </c>
      <c r="X30" s="123">
        <f t="shared" si="10"/>
        <v>0</v>
      </c>
      <c r="Y30" s="123">
        <f t="shared" si="10"/>
        <v>0</v>
      </c>
      <c r="Z30" s="123">
        <f t="shared" si="10"/>
        <v>0</v>
      </c>
      <c r="AA30" s="123">
        <f t="shared" si="10"/>
        <v>0</v>
      </c>
      <c r="AB30" s="123">
        <f t="shared" si="10"/>
        <v>0</v>
      </c>
      <c r="AC30" s="123">
        <f t="shared" si="10"/>
        <v>0</v>
      </c>
      <c r="AD30" s="123">
        <f t="shared" si="10"/>
        <v>0</v>
      </c>
      <c r="AE30" s="123">
        <f>AE$27*$B$30</f>
        <v>0</v>
      </c>
      <c r="AF30" s="123">
        <f t="shared" si="10"/>
        <v>0</v>
      </c>
      <c r="AG30" s="123">
        <f t="shared" si="10"/>
        <v>0</v>
      </c>
      <c r="AH30" s="123">
        <f t="shared" si="10"/>
        <v>0</v>
      </c>
      <c r="AI30" s="123">
        <f t="shared" si="10"/>
        <v>0</v>
      </c>
      <c r="AJ30" s="123">
        <f t="shared" si="10"/>
        <v>0</v>
      </c>
      <c r="AK30" s="123">
        <f t="shared" si="10"/>
        <v>0</v>
      </c>
      <c r="AL30" s="123">
        <f t="shared" si="10"/>
        <v>0</v>
      </c>
      <c r="AM30" s="123">
        <f t="shared" si="10"/>
        <v>0</v>
      </c>
      <c r="AN30" s="123">
        <f t="shared" si="10"/>
        <v>0</v>
      </c>
      <c r="AO30" s="123">
        <f t="shared" si="10"/>
        <v>0</v>
      </c>
      <c r="AP30" s="123">
        <f t="shared" si="10"/>
        <v>0</v>
      </c>
      <c r="AQ30" s="123">
        <f t="shared" si="10"/>
        <v>0</v>
      </c>
      <c r="AR30" s="123">
        <f t="shared" si="10"/>
        <v>0</v>
      </c>
      <c r="AS30" s="123">
        <f t="shared" si="10"/>
        <v>0</v>
      </c>
      <c r="AT30" s="123">
        <f t="shared" si="10"/>
        <v>0</v>
      </c>
      <c r="AU30" s="123">
        <f t="shared" si="10"/>
        <v>0</v>
      </c>
      <c r="AV30" s="123">
        <f t="shared" si="10"/>
        <v>0</v>
      </c>
      <c r="AW30" s="123">
        <f t="shared" si="10"/>
        <v>0</v>
      </c>
      <c r="AX30" s="123">
        <f t="shared" si="10"/>
        <v>0</v>
      </c>
      <c r="AY30" s="123">
        <f t="shared" si="10"/>
        <v>0</v>
      </c>
      <c r="AZ30" s="147">
        <f t="shared" si="5"/>
        <v>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D$21*shipping_manufacturing!$H$27/100</f>
        <v>0</v>
      </c>
      <c r="E33" s="130">
        <f>E$21*shipping_manufacturing!$H$27/100</f>
        <v>0</v>
      </c>
      <c r="F33" s="130">
        <f>F$21*shipping_manufacturing!$H$27/100</f>
        <v>0</v>
      </c>
      <c r="G33" s="130">
        <f>G$21*shipping_manufacturing!$H$27/100</f>
        <v>0</v>
      </c>
      <c r="H33" s="130">
        <f>H$21*shipping_manufacturing!$H$27/100</f>
        <v>0</v>
      </c>
      <c r="I33" s="130">
        <f>I$21*shipping_manufacturing!$H$27/100</f>
        <v>0</v>
      </c>
      <c r="J33" s="130">
        <f>J$21*shipping_manufacturing!$H$27/100</f>
        <v>0</v>
      </c>
      <c r="K33" s="130">
        <f>K$21*shipping_manufacturing!$H$27/100</f>
        <v>0</v>
      </c>
      <c r="L33" s="130">
        <f>L$21*shipping_manufacturing!$H$27/100</f>
        <v>0</v>
      </c>
      <c r="M33" s="130">
        <f>M$21*shipping_manufacturing!$H$27/100</f>
        <v>0</v>
      </c>
      <c r="N33" s="130">
        <f>N$21*shipping_manufacturing!$H$27/100</f>
        <v>0</v>
      </c>
      <c r="O33" s="130">
        <f>O$21*shipping_manufacturing!$H$27/100</f>
        <v>0</v>
      </c>
      <c r="P33" s="130">
        <f>P$21*shipping_manufacturing!$H$27/100</f>
        <v>0</v>
      </c>
      <c r="Q33" s="130">
        <f>Q$21*shipping_manufacturing!$H$27/100</f>
        <v>0</v>
      </c>
      <c r="R33" s="130">
        <f>R$21*shipping_manufacturing!$H$27/100</f>
        <v>0</v>
      </c>
      <c r="S33" s="130">
        <f>S$21*shipping_manufacturing!$H$27/100</f>
        <v>0</v>
      </c>
      <c r="T33" s="130">
        <f>T$21*shipping_manufacturing!$H$27/100</f>
        <v>0</v>
      </c>
      <c r="U33" s="130">
        <f>U$21*shipping_manufacturing!$H$27/100</f>
        <v>0</v>
      </c>
      <c r="V33" s="130">
        <f>V$21*shipping_manufacturing!$H$27/100</f>
        <v>0</v>
      </c>
      <c r="W33" s="130">
        <f>W$21*shipping_manufacturing!$H$27/100</f>
        <v>0</v>
      </c>
      <c r="X33" s="130">
        <f>X$21*shipping_manufacturing!$H$27/100</f>
        <v>0</v>
      </c>
      <c r="Y33" s="130">
        <f>Y$21*shipping_manufacturing!$H$27/100</f>
        <v>0</v>
      </c>
      <c r="Z33" s="130">
        <f>Z$21*shipping_manufacturing!$H$27/100</f>
        <v>0</v>
      </c>
      <c r="AA33" s="130">
        <f>AA$21*shipping_manufacturing!$H$27/100</f>
        <v>0</v>
      </c>
      <c r="AB33" s="130">
        <f>AB$21*shipping_manufacturing!$H$27/100</f>
        <v>0</v>
      </c>
      <c r="AC33" s="130">
        <f>AC$21*shipping_manufacturing!$H$27/100</f>
        <v>0</v>
      </c>
      <c r="AD33" s="130">
        <f>AD$21*shipping_manufacturing!$H$27/100</f>
        <v>0</v>
      </c>
      <c r="AE33" s="130">
        <f>AE$21*shipping_manufacturing!$H$27/100</f>
        <v>0</v>
      </c>
      <c r="AF33" s="130">
        <f>AF$21*shipping_manufacturing!$H$27/100</f>
        <v>0</v>
      </c>
      <c r="AG33" s="130">
        <f>AG$21*shipping_manufacturing!$H$27/100</f>
        <v>0</v>
      </c>
      <c r="AH33" s="130">
        <f>AH$21*shipping_manufacturing!$H$27/100</f>
        <v>0</v>
      </c>
      <c r="AI33" s="130">
        <f>AI$21*shipping_manufacturing!$H$27/100</f>
        <v>0</v>
      </c>
      <c r="AJ33" s="130">
        <f>AJ$21*shipping_manufacturing!$H$27/100</f>
        <v>0</v>
      </c>
      <c r="AK33" s="130">
        <f>AK$21*shipping_manufacturing!$H$27/100</f>
        <v>0</v>
      </c>
      <c r="AL33" s="130">
        <f>AL$21*shipping_manufacturing!$H$27/100</f>
        <v>0</v>
      </c>
      <c r="AM33" s="130">
        <f>AM$21*shipping_manufacturing!$H$27/100</f>
        <v>0</v>
      </c>
      <c r="AN33" s="130">
        <f>AN$21*shipping_manufacturing!$H$27/100</f>
        <v>0</v>
      </c>
      <c r="AO33" s="130">
        <f>AO$21*shipping_manufacturing!$H$27/100</f>
        <v>0</v>
      </c>
      <c r="AP33" s="130">
        <f>AP$21*shipping_manufacturing!$H$27/100</f>
        <v>0</v>
      </c>
      <c r="AQ33" s="130">
        <f>AQ$21*shipping_manufacturing!$H$27/100</f>
        <v>0</v>
      </c>
      <c r="AR33" s="130">
        <f>AR$21*shipping_manufacturing!$H$27/100</f>
        <v>0</v>
      </c>
      <c r="AS33" s="130">
        <f>AS$21*shipping_manufacturing!$H$27/100</f>
        <v>0</v>
      </c>
      <c r="AT33" s="130">
        <f>AT$21*shipping_manufacturing!$H$27/100</f>
        <v>0</v>
      </c>
      <c r="AU33" s="130">
        <f>AU$21*shipping_manufacturing!$H$27/100</f>
        <v>0</v>
      </c>
      <c r="AV33" s="130">
        <f>AV$21*shipping_manufacturing!$H$27/100</f>
        <v>0</v>
      </c>
      <c r="AW33" s="130">
        <f>AW$21*shipping_manufacturing!$H$27/100</f>
        <v>0</v>
      </c>
      <c r="AX33" s="130">
        <f>AX$21*shipping_manufacturing!$H$27/100</f>
        <v>0</v>
      </c>
      <c r="AY33" s="130">
        <f>AY$21*shipping_manufacturing!$H$27/100</f>
        <v>0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D$22*shipping_manufacturing!$I$27/100</f>
        <v>0</v>
      </c>
      <c r="E34" s="116">
        <f>E$22*shipping_manufacturing!$I$27/100</f>
        <v>0</v>
      </c>
      <c r="F34" s="116">
        <f>F$22*shipping_manufacturing!$I$27/100</f>
        <v>0</v>
      </c>
      <c r="G34" s="116">
        <f>G$22*shipping_manufacturing!$I$27/100</f>
        <v>0</v>
      </c>
      <c r="H34" s="116">
        <f>H$22*shipping_manufacturing!$I$27/100</f>
        <v>0</v>
      </c>
      <c r="I34" s="116">
        <f>I$22*shipping_manufacturing!$I$27/100</f>
        <v>0</v>
      </c>
      <c r="J34" s="116">
        <f>J$22*shipping_manufacturing!$I$27/100</f>
        <v>0</v>
      </c>
      <c r="K34" s="116">
        <f>K$22*shipping_manufacturing!$I$27/100</f>
        <v>0</v>
      </c>
      <c r="L34" s="116">
        <f>L$22*shipping_manufacturing!$I$27/100</f>
        <v>0</v>
      </c>
      <c r="M34" s="116">
        <f>M$22*shipping_manufacturing!$I$27/100</f>
        <v>0</v>
      </c>
      <c r="N34" s="116">
        <f>N$22*shipping_manufacturing!$I$27/100</f>
        <v>0</v>
      </c>
      <c r="O34" s="116">
        <f>O$22*shipping_manufacturing!$I$27/100</f>
        <v>0</v>
      </c>
      <c r="P34" s="116">
        <f>P$22*shipping_manufacturing!$I$27/100</f>
        <v>0</v>
      </c>
      <c r="Q34" s="116">
        <f>Q$22*shipping_manufacturing!$I$27/100</f>
        <v>0</v>
      </c>
      <c r="R34" s="116">
        <f>R$22*shipping_manufacturing!$I$27/100</f>
        <v>0</v>
      </c>
      <c r="S34" s="116">
        <f>S$22*shipping_manufacturing!$I$27/100</f>
        <v>0</v>
      </c>
      <c r="T34" s="116">
        <f>T$22*shipping_manufacturing!$I$27/100</f>
        <v>0</v>
      </c>
      <c r="U34" s="116">
        <f>U$22*shipping_manufacturing!$I$27/100</f>
        <v>0</v>
      </c>
      <c r="V34" s="116">
        <f>V$22*shipping_manufacturing!$I$27/100</f>
        <v>0</v>
      </c>
      <c r="W34" s="116">
        <f>W$22*shipping_manufacturing!$I$27/100</f>
        <v>0</v>
      </c>
      <c r="X34" s="116">
        <f>X$22*shipping_manufacturing!$I$27/100</f>
        <v>0</v>
      </c>
      <c r="Y34" s="116">
        <f>Y$22*shipping_manufacturing!$I$27/100</f>
        <v>0</v>
      </c>
      <c r="Z34" s="116">
        <f>Z$22*shipping_manufacturing!$I$27/100</f>
        <v>0</v>
      </c>
      <c r="AA34" s="116">
        <f>AA$22*shipping_manufacturing!$I$27/100</f>
        <v>0</v>
      </c>
      <c r="AB34" s="116">
        <f>AB$22*shipping_manufacturing!$I$27/100</f>
        <v>0</v>
      </c>
      <c r="AC34" s="116">
        <f>AC$22*shipping_manufacturing!$I$27/100</f>
        <v>0</v>
      </c>
      <c r="AD34" s="116">
        <f>AD$22*shipping_manufacturing!$I$27/100</f>
        <v>0</v>
      </c>
      <c r="AE34" s="116">
        <f>AE$22*shipping_manufacturing!$I$27/100</f>
        <v>0</v>
      </c>
      <c r="AF34" s="116">
        <f>AF$22*shipping_manufacturing!$I$27/100</f>
        <v>0</v>
      </c>
      <c r="AG34" s="116">
        <f>AG$22*shipping_manufacturing!$I$27/100</f>
        <v>0</v>
      </c>
      <c r="AH34" s="116">
        <f>AH$22*shipping_manufacturing!$I$27/100</f>
        <v>0</v>
      </c>
      <c r="AI34" s="116">
        <f>AI$22*shipping_manufacturing!$I$27/100</f>
        <v>0</v>
      </c>
      <c r="AJ34" s="116">
        <f>AJ$22*shipping_manufacturing!$I$27/100</f>
        <v>0</v>
      </c>
      <c r="AK34" s="116">
        <f>AK$22*shipping_manufacturing!$I$27/100</f>
        <v>0</v>
      </c>
      <c r="AL34" s="116">
        <f>AL$22*shipping_manufacturing!$I$27/100</f>
        <v>0</v>
      </c>
      <c r="AM34" s="116">
        <f>AM$22*shipping_manufacturing!$I$27/100</f>
        <v>0</v>
      </c>
      <c r="AN34" s="116">
        <f>AN$22*shipping_manufacturing!$I$27/100</f>
        <v>0</v>
      </c>
      <c r="AO34" s="116">
        <f>AO$22*shipping_manufacturing!$I$27/100</f>
        <v>0</v>
      </c>
      <c r="AP34" s="116">
        <f>AP$22*shipping_manufacturing!$I$27/100</f>
        <v>0</v>
      </c>
      <c r="AQ34" s="116">
        <f>AQ$22*shipping_manufacturing!$I$27/100</f>
        <v>0</v>
      </c>
      <c r="AR34" s="116">
        <f>AR$22*shipping_manufacturing!$I$27/100</f>
        <v>0</v>
      </c>
      <c r="AS34" s="116">
        <f>AS$22*shipping_manufacturing!$I$27/100</f>
        <v>0</v>
      </c>
      <c r="AT34" s="116">
        <f>AT$22*shipping_manufacturing!$I$27/100</f>
        <v>0</v>
      </c>
      <c r="AU34" s="116">
        <f>AU$22*shipping_manufacturing!$I$27/100</f>
        <v>0</v>
      </c>
      <c r="AV34" s="116">
        <f>AV$22*shipping_manufacturing!$I$27/100</f>
        <v>0</v>
      </c>
      <c r="AW34" s="116">
        <f>AW$22*shipping_manufacturing!$I$27/100</f>
        <v>0</v>
      </c>
      <c r="AX34" s="116">
        <f>AX$22*shipping_manufacturing!$I$27/100</f>
        <v>0</v>
      </c>
      <c r="AY34" s="116">
        <f>AY$22*shipping_manufacturing!$I$27/100</f>
        <v>0</v>
      </c>
    </row>
    <row r="35" spans="1:52" x14ac:dyDescent="0.2">
      <c r="A35" s="116">
        <v>1245</v>
      </c>
      <c r="B35" s="171" t="s">
        <v>343</v>
      </c>
      <c r="C35" s="116"/>
      <c r="D35" s="116">
        <f>SUM(D33:D34)</f>
        <v>0</v>
      </c>
      <c r="E35" s="116">
        <f t="shared" ref="E35:AY35" si="11">SUM(E33:E34)</f>
        <v>0</v>
      </c>
      <c r="F35" s="116">
        <f t="shared" si="11"/>
        <v>0</v>
      </c>
      <c r="G35" s="116">
        <f t="shared" si="11"/>
        <v>0</v>
      </c>
      <c r="H35" s="116">
        <f t="shared" si="11"/>
        <v>0</v>
      </c>
      <c r="I35" s="116">
        <f t="shared" si="11"/>
        <v>0</v>
      </c>
      <c r="J35" s="116">
        <f t="shared" si="11"/>
        <v>0</v>
      </c>
      <c r="K35" s="116">
        <f t="shared" si="11"/>
        <v>0</v>
      </c>
      <c r="L35" s="116">
        <f t="shared" si="11"/>
        <v>0</v>
      </c>
      <c r="M35" s="116">
        <f t="shared" si="11"/>
        <v>0</v>
      </c>
      <c r="N35" s="116">
        <f t="shared" si="11"/>
        <v>0</v>
      </c>
      <c r="O35" s="116">
        <f t="shared" si="11"/>
        <v>0</v>
      </c>
      <c r="P35" s="116">
        <f t="shared" si="11"/>
        <v>0</v>
      </c>
      <c r="Q35" s="116">
        <f t="shared" si="11"/>
        <v>0</v>
      </c>
      <c r="R35" s="116">
        <f t="shared" si="11"/>
        <v>0</v>
      </c>
      <c r="S35" s="116">
        <f t="shared" si="11"/>
        <v>0</v>
      </c>
      <c r="T35" s="116">
        <f t="shared" si="11"/>
        <v>0</v>
      </c>
      <c r="U35" s="116">
        <f t="shared" si="11"/>
        <v>0</v>
      </c>
      <c r="V35" s="116">
        <f t="shared" si="11"/>
        <v>0</v>
      </c>
      <c r="W35" s="116">
        <f t="shared" si="11"/>
        <v>0</v>
      </c>
      <c r="X35" s="116">
        <f t="shared" si="11"/>
        <v>0</v>
      </c>
      <c r="Y35" s="116">
        <f t="shared" si="11"/>
        <v>0</v>
      </c>
      <c r="Z35" s="116">
        <f t="shared" si="11"/>
        <v>0</v>
      </c>
      <c r="AA35" s="116">
        <f t="shared" si="11"/>
        <v>0</v>
      </c>
      <c r="AB35" s="116">
        <f t="shared" si="11"/>
        <v>0</v>
      </c>
      <c r="AC35" s="116">
        <f t="shared" si="11"/>
        <v>0</v>
      </c>
      <c r="AD35" s="116">
        <f t="shared" si="11"/>
        <v>0</v>
      </c>
      <c r="AE35" s="116">
        <f t="shared" si="11"/>
        <v>0</v>
      </c>
      <c r="AF35" s="116">
        <f t="shared" si="11"/>
        <v>0</v>
      </c>
      <c r="AG35" s="116">
        <f t="shared" si="11"/>
        <v>0</v>
      </c>
      <c r="AH35" s="116">
        <f t="shared" si="11"/>
        <v>0</v>
      </c>
      <c r="AI35" s="116">
        <f t="shared" si="11"/>
        <v>0</v>
      </c>
      <c r="AJ35" s="116">
        <f t="shared" si="11"/>
        <v>0</v>
      </c>
      <c r="AK35" s="116">
        <f t="shared" si="11"/>
        <v>0</v>
      </c>
      <c r="AL35" s="116">
        <f t="shared" si="11"/>
        <v>0</v>
      </c>
      <c r="AM35" s="116">
        <f t="shared" si="11"/>
        <v>0</v>
      </c>
      <c r="AN35" s="116">
        <f t="shared" si="11"/>
        <v>0</v>
      </c>
      <c r="AO35" s="116">
        <f t="shared" si="11"/>
        <v>0</v>
      </c>
      <c r="AP35" s="116">
        <f t="shared" si="11"/>
        <v>0</v>
      </c>
      <c r="AQ35" s="116">
        <f t="shared" si="11"/>
        <v>0</v>
      </c>
      <c r="AR35" s="116">
        <f t="shared" si="11"/>
        <v>0</v>
      </c>
      <c r="AS35" s="116">
        <f t="shared" si="11"/>
        <v>0</v>
      </c>
      <c r="AT35" s="116">
        <f t="shared" si="11"/>
        <v>0</v>
      </c>
      <c r="AU35" s="116">
        <f t="shared" si="11"/>
        <v>0</v>
      </c>
      <c r="AV35" s="116">
        <f t="shared" si="11"/>
        <v>0</v>
      </c>
      <c r="AW35" s="116">
        <f t="shared" si="11"/>
        <v>0</v>
      </c>
      <c r="AX35" s="116">
        <f t="shared" si="11"/>
        <v>0</v>
      </c>
      <c r="AY35" s="116">
        <f t="shared" si="11"/>
        <v>0</v>
      </c>
    </row>
    <row r="36" spans="1:52" x14ac:dyDescent="0.2">
      <c r="A36" s="116"/>
      <c r="B36" s="171" t="s">
        <v>344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345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346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347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348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349</v>
      </c>
      <c r="C41" s="116"/>
      <c r="D41" s="116">
        <v>1</v>
      </c>
      <c r="E41" s="116">
        <v>1</v>
      </c>
      <c r="F41" s="116">
        <v>1</v>
      </c>
      <c r="G41" s="116">
        <v>3</v>
      </c>
      <c r="H41" s="116">
        <v>1</v>
      </c>
      <c r="I41" s="116">
        <v>1</v>
      </c>
      <c r="J41" s="116">
        <v>1</v>
      </c>
      <c r="K41" s="116">
        <v>1</v>
      </c>
      <c r="L41" s="116">
        <v>2</v>
      </c>
      <c r="M41" s="116">
        <v>1</v>
      </c>
      <c r="N41" s="116">
        <v>1</v>
      </c>
      <c r="O41" s="116">
        <v>2</v>
      </c>
      <c r="P41" s="116">
        <v>2</v>
      </c>
      <c r="Q41" s="116">
        <v>2</v>
      </c>
      <c r="R41" s="116">
        <v>1</v>
      </c>
      <c r="S41" s="116">
        <v>1</v>
      </c>
      <c r="T41" s="116">
        <v>1</v>
      </c>
      <c r="U41" s="116">
        <v>1</v>
      </c>
      <c r="V41" s="116">
        <v>1</v>
      </c>
      <c r="W41" s="116">
        <v>2</v>
      </c>
      <c r="X41" s="116">
        <v>2</v>
      </c>
      <c r="Y41" s="116">
        <v>2</v>
      </c>
      <c r="Z41" s="116">
        <v>2</v>
      </c>
      <c r="AA41" s="116">
        <v>2</v>
      </c>
      <c r="AB41" s="116">
        <v>1</v>
      </c>
      <c r="AC41" s="116">
        <v>1</v>
      </c>
      <c r="AD41" s="116">
        <v>2</v>
      </c>
      <c r="AE41" s="116">
        <v>1</v>
      </c>
      <c r="AF41" s="116">
        <v>1</v>
      </c>
      <c r="AG41" s="116">
        <v>1</v>
      </c>
      <c r="AH41" s="116">
        <v>1</v>
      </c>
      <c r="AI41" s="116">
        <v>1</v>
      </c>
      <c r="AJ41" s="116">
        <v>1</v>
      </c>
      <c r="AK41" s="116">
        <v>1</v>
      </c>
      <c r="AL41" s="116">
        <v>2</v>
      </c>
      <c r="AM41" s="116">
        <v>1</v>
      </c>
      <c r="AN41" s="116">
        <v>1</v>
      </c>
      <c r="AO41" s="116">
        <v>1</v>
      </c>
      <c r="AP41" s="116">
        <v>2</v>
      </c>
      <c r="AQ41" s="116">
        <v>2</v>
      </c>
      <c r="AR41" s="116">
        <v>1</v>
      </c>
      <c r="AS41" s="116">
        <v>2</v>
      </c>
      <c r="AT41" s="116">
        <v>1</v>
      </c>
      <c r="AU41" s="116">
        <v>1</v>
      </c>
      <c r="AV41" s="116">
        <v>1</v>
      </c>
      <c r="AW41" s="116">
        <v>2</v>
      </c>
      <c r="AX41" s="116">
        <v>1</v>
      </c>
      <c r="AY41" s="116">
        <v>2</v>
      </c>
    </row>
    <row r="42" spans="1:52" x14ac:dyDescent="0.2">
      <c r="A42" s="116"/>
      <c r="B42" s="184" t="s">
        <v>350</v>
      </c>
      <c r="C42" s="116"/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0</v>
      </c>
    </row>
    <row r="43" spans="1:52" x14ac:dyDescent="0.2">
      <c r="A43" s="116"/>
      <c r="B43" s="184" t="s">
        <v>351</v>
      </c>
      <c r="C43" s="116"/>
      <c r="D43" s="116">
        <v>0</v>
      </c>
      <c r="E43" s="116">
        <v>0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0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D$21*shipping_manufacturing!$H$28/100</f>
        <v>3411.6093849829113</v>
      </c>
      <c r="E44" s="130">
        <f>E$21*shipping_manufacturing!$H$28/100</f>
        <v>0</v>
      </c>
      <c r="F44" s="130">
        <f>F$21*shipping_manufacturing!$H$28/100</f>
        <v>3800</v>
      </c>
      <c r="G44" s="130">
        <f>G$21*shipping_manufacturing!$H$28/100</f>
        <v>3800</v>
      </c>
      <c r="H44" s="130">
        <f>H$21*shipping_manufacturing!$H$28/100</f>
        <v>3800</v>
      </c>
      <c r="I44" s="130">
        <f>I$21*shipping_manufacturing!$H$28/100</f>
        <v>3411.6093849829113</v>
      </c>
      <c r="J44" s="130">
        <f>J$21*shipping_manufacturing!$H$28/100</f>
        <v>3411.6093849829113</v>
      </c>
      <c r="K44" s="130">
        <f>K$21*shipping_manufacturing!$H$28/100</f>
        <v>3411.6093849829113</v>
      </c>
      <c r="L44" s="130">
        <f>L$21*shipping_manufacturing!$H$28/100</f>
        <v>3411.6093849829113</v>
      </c>
      <c r="M44" s="130">
        <f>M$21*shipping_manufacturing!$H$28/100</f>
        <v>3411.6093849829113</v>
      </c>
      <c r="N44" s="130">
        <f>N$21*shipping_manufacturing!$H$28/100</f>
        <v>3411.6093849829113</v>
      </c>
      <c r="O44" s="130">
        <f>O$21*shipping_manufacturing!$H$28/100</f>
        <v>3411.6093849829113</v>
      </c>
      <c r="P44" s="130">
        <f>P$21*shipping_manufacturing!$H$28/100</f>
        <v>0</v>
      </c>
      <c r="Q44" s="130">
        <f>Q$21*shipping_manufacturing!$H$28/100</f>
        <v>3800</v>
      </c>
      <c r="R44" s="130">
        <f>R$21*shipping_manufacturing!$H$28/100</f>
        <v>3800</v>
      </c>
      <c r="S44" s="130">
        <f>S$21*shipping_manufacturing!$H$28/100</f>
        <v>3800</v>
      </c>
      <c r="T44" s="130">
        <f>T$21*shipping_manufacturing!$H$28/100</f>
        <v>0</v>
      </c>
      <c r="U44" s="130">
        <f>U$21*shipping_manufacturing!$H$28/100</f>
        <v>3800</v>
      </c>
      <c r="V44" s="130">
        <f>V$21*shipping_manufacturing!$H$28/100</f>
        <v>3411.6093849829113</v>
      </c>
      <c r="W44" s="130">
        <f>W$21*shipping_manufacturing!$H$28/100</f>
        <v>3411.6093849829113</v>
      </c>
      <c r="X44" s="130">
        <f>X$21*shipping_manufacturing!$H$28/100</f>
        <v>0</v>
      </c>
      <c r="Y44" s="130">
        <f>Y$21*shipping_manufacturing!$H$28/100</f>
        <v>3800</v>
      </c>
      <c r="Z44" s="130">
        <f>Z$21*shipping_manufacturing!$H$28/100</f>
        <v>3411.6093849829113</v>
      </c>
      <c r="AA44" s="130">
        <f>AA$21*shipping_manufacturing!$H$28/100</f>
        <v>3411.6093849829113</v>
      </c>
      <c r="AB44" s="130">
        <f>AB$21*shipping_manufacturing!$H$28/100</f>
        <v>3411.6093849829113</v>
      </c>
      <c r="AC44" s="130">
        <f>AC$21*shipping_manufacturing!$H$28/100</f>
        <v>3800</v>
      </c>
      <c r="AD44" s="130">
        <f>AD$21*shipping_manufacturing!$H$28/100</f>
        <v>3800</v>
      </c>
      <c r="AE44" s="130">
        <f>AE$21*shipping_manufacturing!$H$28/100</f>
        <v>3800</v>
      </c>
      <c r="AF44" s="130">
        <f>AF$21*shipping_manufacturing!$H$28/100</f>
        <v>3800</v>
      </c>
      <c r="AG44" s="130">
        <f>AG$21*shipping_manufacturing!$H$28/100</f>
        <v>3411.6093849829113</v>
      </c>
      <c r="AH44" s="130">
        <f>AH$21*shipping_manufacturing!$H$28/100</f>
        <v>3411.6093849829113</v>
      </c>
      <c r="AI44" s="130">
        <f>AI$21*shipping_manufacturing!$H$28/100</f>
        <v>3411.6093849829113</v>
      </c>
      <c r="AJ44" s="130">
        <f>AJ$21*shipping_manufacturing!$H$28/100</f>
        <v>3411.6093849829113</v>
      </c>
      <c r="AK44" s="130">
        <f>AK$21*shipping_manufacturing!$H$28/100</f>
        <v>0</v>
      </c>
      <c r="AL44" s="130">
        <f>AL$21*shipping_manufacturing!$H$28/100</f>
        <v>3800</v>
      </c>
      <c r="AM44" s="130">
        <f>AM$21*shipping_manufacturing!$H$28/100</f>
        <v>3411.6093849829113</v>
      </c>
      <c r="AN44" s="130">
        <f>AN$21*shipping_manufacturing!$H$28/100</f>
        <v>0</v>
      </c>
      <c r="AO44" s="130">
        <f>AO$21*shipping_manufacturing!$H$28/100</f>
        <v>3800</v>
      </c>
      <c r="AP44" s="130">
        <f>AP$21*shipping_manufacturing!$H$28/100</f>
        <v>3800</v>
      </c>
      <c r="AQ44" s="130">
        <f>AQ$21*shipping_manufacturing!$H$28/100</f>
        <v>3800</v>
      </c>
      <c r="AR44" s="130">
        <f>AR$21*shipping_manufacturing!$H$28/100</f>
        <v>3800</v>
      </c>
      <c r="AS44" s="130">
        <f>AS$21*shipping_manufacturing!$H$28/100</f>
        <v>3411.6093849829113</v>
      </c>
      <c r="AT44" s="130">
        <f>AT$21*shipping_manufacturing!$H$28/100</f>
        <v>3411.6093849829113</v>
      </c>
      <c r="AU44" s="130">
        <f>AU$21*shipping_manufacturing!$H$28/100</f>
        <v>3411.6093849829113</v>
      </c>
      <c r="AV44" s="130">
        <f>AV$21*shipping_manufacturing!$H$28/100</f>
        <v>3411.6093849829113</v>
      </c>
      <c r="AW44" s="130">
        <f>AW$21*shipping_manufacturing!$H$28/100</f>
        <v>3411.6093849829113</v>
      </c>
      <c r="AX44" s="130">
        <f>AX$21*shipping_manufacturing!$H$28/100</f>
        <v>0</v>
      </c>
      <c r="AY44" s="130">
        <f>AY$21*shipping_manufacturing!$H$28/100</f>
        <v>3800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D$22*shipping_manufacturing!$I$28/100</f>
        <v>0</v>
      </c>
      <c r="E45" s="116">
        <f>E$22*shipping_manufacturing!$I$28/100</f>
        <v>0</v>
      </c>
      <c r="F45" s="116">
        <f>F$22*shipping_manufacturing!$I$28/100</f>
        <v>0</v>
      </c>
      <c r="G45" s="116">
        <f>G$22*shipping_manufacturing!$I$28/100</f>
        <v>0</v>
      </c>
      <c r="H45" s="116">
        <f>H$22*shipping_manufacturing!$I$28/100</f>
        <v>0</v>
      </c>
      <c r="I45" s="116">
        <f>I$22*shipping_manufacturing!$I$28/100</f>
        <v>0</v>
      </c>
      <c r="J45" s="116">
        <f>J$22*shipping_manufacturing!$I$28/100</f>
        <v>0</v>
      </c>
      <c r="K45" s="116">
        <f>K$22*shipping_manufacturing!$I$28/100</f>
        <v>0</v>
      </c>
      <c r="L45" s="116">
        <f>L$22*shipping_manufacturing!$I$28/100</f>
        <v>0</v>
      </c>
      <c r="M45" s="116">
        <f>M$22*shipping_manufacturing!$I$28/100</f>
        <v>0</v>
      </c>
      <c r="N45" s="116">
        <f>N$22*shipping_manufacturing!$I$28/100</f>
        <v>0</v>
      </c>
      <c r="O45" s="116">
        <f>O$22*shipping_manufacturing!$I$28/100</f>
        <v>0</v>
      </c>
      <c r="P45" s="116">
        <f>P$22*shipping_manufacturing!$I$28/100</f>
        <v>0</v>
      </c>
      <c r="Q45" s="116">
        <f>Q$22*shipping_manufacturing!$I$28/100</f>
        <v>0</v>
      </c>
      <c r="R45" s="116">
        <f>R$22*shipping_manufacturing!$I$28/100</f>
        <v>0</v>
      </c>
      <c r="S45" s="116">
        <f>S$22*shipping_manufacturing!$I$28/100</f>
        <v>0</v>
      </c>
      <c r="T45" s="116">
        <f>T$22*shipping_manufacturing!$I$28/100</f>
        <v>0</v>
      </c>
      <c r="U45" s="116">
        <f>U$22*shipping_manufacturing!$I$28/100</f>
        <v>0</v>
      </c>
      <c r="V45" s="116">
        <f>V$22*shipping_manufacturing!$I$28/100</f>
        <v>0</v>
      </c>
      <c r="W45" s="116">
        <f>W$22*shipping_manufacturing!$I$28/100</f>
        <v>0</v>
      </c>
      <c r="X45" s="116">
        <f>X$22*shipping_manufacturing!$I$28/100</f>
        <v>0</v>
      </c>
      <c r="Y45" s="116">
        <f>Y$22*shipping_manufacturing!$I$28/100</f>
        <v>0</v>
      </c>
      <c r="Z45" s="116">
        <f>Z$22*shipping_manufacturing!$I$28/100</f>
        <v>0</v>
      </c>
      <c r="AA45" s="116">
        <f>AA$22*shipping_manufacturing!$I$28/100</f>
        <v>0</v>
      </c>
      <c r="AB45" s="116">
        <f>AB$22*shipping_manufacturing!$I$28/100</f>
        <v>0</v>
      </c>
      <c r="AC45" s="116">
        <f>AC$22*shipping_manufacturing!$I$28/100</f>
        <v>0</v>
      </c>
      <c r="AD45" s="116">
        <f>AD$22*shipping_manufacturing!$I$28/100</f>
        <v>0</v>
      </c>
      <c r="AE45" s="116">
        <f>AE$22*shipping_manufacturing!$I$28/100</f>
        <v>0</v>
      </c>
      <c r="AF45" s="116">
        <f>AF$22*shipping_manufacturing!$I$28/100</f>
        <v>0</v>
      </c>
      <c r="AG45" s="116">
        <f>AG$22*shipping_manufacturing!$I$28/100</f>
        <v>0</v>
      </c>
      <c r="AH45" s="116">
        <f>AH$22*shipping_manufacturing!$I$28/100</f>
        <v>0</v>
      </c>
      <c r="AI45" s="116">
        <f>AI$22*shipping_manufacturing!$I$28/100</f>
        <v>0</v>
      </c>
      <c r="AJ45" s="116">
        <f>AJ$22*shipping_manufacturing!$I$28/100</f>
        <v>0</v>
      </c>
      <c r="AK45" s="116">
        <f>AK$22*shipping_manufacturing!$I$28/100</f>
        <v>0</v>
      </c>
      <c r="AL45" s="116">
        <f>AL$22*shipping_manufacturing!$I$28/100</f>
        <v>0</v>
      </c>
      <c r="AM45" s="116">
        <f>AM$22*shipping_manufacturing!$I$28/100</f>
        <v>0</v>
      </c>
      <c r="AN45" s="116">
        <f>AN$22*shipping_manufacturing!$I$28/100</f>
        <v>0</v>
      </c>
      <c r="AO45" s="116">
        <f>AO$22*shipping_manufacturing!$I$28/100</f>
        <v>0</v>
      </c>
      <c r="AP45" s="116">
        <f>AP$22*shipping_manufacturing!$I$28/100</f>
        <v>0</v>
      </c>
      <c r="AQ45" s="116">
        <f>AQ$22*shipping_manufacturing!$I$28/100</f>
        <v>0</v>
      </c>
      <c r="AR45" s="116">
        <f>AR$22*shipping_manufacturing!$I$28/100</f>
        <v>0</v>
      </c>
      <c r="AS45" s="116">
        <f>AS$22*shipping_manufacturing!$I$28/100</f>
        <v>0</v>
      </c>
      <c r="AT45" s="116">
        <f>AT$22*shipping_manufacturing!$I$28/100</f>
        <v>0</v>
      </c>
      <c r="AU45" s="116">
        <f>AU$22*shipping_manufacturing!$I$28/100</f>
        <v>0</v>
      </c>
      <c r="AV45" s="116">
        <f>AV$22*shipping_manufacturing!$I$28/100</f>
        <v>0</v>
      </c>
      <c r="AW45" s="116">
        <f>AW$22*shipping_manufacturing!$I$28/100</f>
        <v>0</v>
      </c>
      <c r="AX45" s="116">
        <f>AX$22*shipping_manufacturing!$I$28/100</f>
        <v>0</v>
      </c>
      <c r="AY45" s="116">
        <f>AY$22*shipping_manufacturing!$I$28/100</f>
        <v>0</v>
      </c>
    </row>
    <row r="46" spans="1:52" x14ac:dyDescent="0.2">
      <c r="A46" s="116">
        <v>495</v>
      </c>
      <c r="B46" s="171" t="s">
        <v>343</v>
      </c>
      <c r="C46" s="116"/>
      <c r="D46" s="116">
        <f>SUM(D44:D45)</f>
        <v>3411.6093849829113</v>
      </c>
      <c r="E46" s="116">
        <f t="shared" ref="E46:AY46" si="14">SUM(E44:E45)</f>
        <v>0</v>
      </c>
      <c r="F46" s="116">
        <f t="shared" si="14"/>
        <v>3800</v>
      </c>
      <c r="G46" s="116">
        <f t="shared" si="14"/>
        <v>3800</v>
      </c>
      <c r="H46" s="116">
        <f t="shared" si="14"/>
        <v>3800</v>
      </c>
      <c r="I46" s="116">
        <f t="shared" si="14"/>
        <v>3411.6093849829113</v>
      </c>
      <c r="J46" s="116">
        <f t="shared" si="14"/>
        <v>3411.6093849829113</v>
      </c>
      <c r="K46" s="116">
        <f t="shared" si="14"/>
        <v>3411.6093849829113</v>
      </c>
      <c r="L46" s="116">
        <f t="shared" si="14"/>
        <v>3411.6093849829113</v>
      </c>
      <c r="M46" s="116">
        <f t="shared" si="14"/>
        <v>3411.6093849829113</v>
      </c>
      <c r="N46" s="116">
        <f t="shared" si="14"/>
        <v>3411.6093849829113</v>
      </c>
      <c r="O46" s="116">
        <f t="shared" si="14"/>
        <v>3411.6093849829113</v>
      </c>
      <c r="P46" s="116">
        <f t="shared" si="14"/>
        <v>0</v>
      </c>
      <c r="Q46" s="116">
        <f t="shared" si="14"/>
        <v>3800</v>
      </c>
      <c r="R46" s="116">
        <f t="shared" si="14"/>
        <v>3800</v>
      </c>
      <c r="S46" s="116">
        <f t="shared" si="14"/>
        <v>3800</v>
      </c>
      <c r="T46" s="116">
        <f t="shared" si="14"/>
        <v>0</v>
      </c>
      <c r="U46" s="116">
        <f t="shared" si="14"/>
        <v>3800</v>
      </c>
      <c r="V46" s="116">
        <f t="shared" si="14"/>
        <v>3411.6093849829113</v>
      </c>
      <c r="W46" s="116">
        <f t="shared" si="14"/>
        <v>3411.6093849829113</v>
      </c>
      <c r="X46" s="116">
        <f t="shared" si="14"/>
        <v>0</v>
      </c>
      <c r="Y46" s="116">
        <f t="shared" si="14"/>
        <v>3800</v>
      </c>
      <c r="Z46" s="116">
        <f t="shared" si="14"/>
        <v>3411.6093849829113</v>
      </c>
      <c r="AA46" s="116">
        <f t="shared" si="14"/>
        <v>3411.6093849829113</v>
      </c>
      <c r="AB46" s="116">
        <f t="shared" si="14"/>
        <v>3411.6093849829113</v>
      </c>
      <c r="AC46" s="116">
        <f t="shared" si="14"/>
        <v>3800</v>
      </c>
      <c r="AD46" s="116">
        <f t="shared" si="14"/>
        <v>3800</v>
      </c>
      <c r="AE46" s="116">
        <f t="shared" si="14"/>
        <v>3800</v>
      </c>
      <c r="AF46" s="116">
        <f t="shared" si="14"/>
        <v>3800</v>
      </c>
      <c r="AG46" s="116">
        <f t="shared" si="14"/>
        <v>3411.6093849829113</v>
      </c>
      <c r="AH46" s="116">
        <f t="shared" si="14"/>
        <v>3411.6093849829113</v>
      </c>
      <c r="AI46" s="116">
        <f t="shared" si="14"/>
        <v>3411.6093849829113</v>
      </c>
      <c r="AJ46" s="116">
        <f t="shared" si="14"/>
        <v>3411.6093849829113</v>
      </c>
      <c r="AK46" s="116">
        <f t="shared" si="14"/>
        <v>0</v>
      </c>
      <c r="AL46" s="116">
        <f t="shared" si="14"/>
        <v>3800</v>
      </c>
      <c r="AM46" s="116">
        <f t="shared" si="14"/>
        <v>3411.6093849829113</v>
      </c>
      <c r="AN46" s="116">
        <f t="shared" si="14"/>
        <v>0</v>
      </c>
      <c r="AO46" s="116">
        <f t="shared" si="14"/>
        <v>3800</v>
      </c>
      <c r="AP46" s="116">
        <f t="shared" si="14"/>
        <v>3800</v>
      </c>
      <c r="AQ46" s="116">
        <f t="shared" si="14"/>
        <v>3800</v>
      </c>
      <c r="AR46" s="116">
        <f t="shared" si="14"/>
        <v>3800</v>
      </c>
      <c r="AS46" s="116">
        <f t="shared" si="14"/>
        <v>3411.6093849829113</v>
      </c>
      <c r="AT46" s="116">
        <f t="shared" si="14"/>
        <v>3411.6093849829113</v>
      </c>
      <c r="AU46" s="116">
        <f t="shared" si="14"/>
        <v>3411.6093849829113</v>
      </c>
      <c r="AV46" s="116">
        <f t="shared" si="14"/>
        <v>3411.6093849829113</v>
      </c>
      <c r="AW46" s="116">
        <f t="shared" si="14"/>
        <v>3411.6093849829113</v>
      </c>
      <c r="AX46" s="116">
        <f t="shared" si="14"/>
        <v>0</v>
      </c>
      <c r="AY46" s="116">
        <f t="shared" si="14"/>
        <v>3800</v>
      </c>
    </row>
    <row r="47" spans="1:52" x14ac:dyDescent="0.2">
      <c r="A47" s="116"/>
      <c r="B47" s="171" t="s">
        <v>344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2" x14ac:dyDescent="0.2">
      <c r="A48" s="116"/>
      <c r="B48" s="171" t="s">
        <v>345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2" x14ac:dyDescent="0.2">
      <c r="A49" s="116"/>
      <c r="B49" s="171" t="s">
        <v>346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2" x14ac:dyDescent="0.2">
      <c r="A50" s="116"/>
      <c r="B50" s="171" t="s">
        <v>347</v>
      </c>
      <c r="C50" s="116"/>
      <c r="D50" s="116">
        <f>D44-D47</f>
        <v>3411.6093849829113</v>
      </c>
      <c r="E50" s="116">
        <f t="shared" ref="E50:AY50" si="15">E44-E47</f>
        <v>0</v>
      </c>
      <c r="F50" s="116">
        <f t="shared" si="15"/>
        <v>3800</v>
      </c>
      <c r="G50" s="116">
        <f t="shared" si="15"/>
        <v>3800</v>
      </c>
      <c r="H50" s="116">
        <f t="shared" si="15"/>
        <v>3800</v>
      </c>
      <c r="I50" s="116">
        <f t="shared" si="15"/>
        <v>3411.6093849829113</v>
      </c>
      <c r="J50" s="116">
        <f t="shared" si="15"/>
        <v>3411.6093849829113</v>
      </c>
      <c r="K50" s="116">
        <f t="shared" si="15"/>
        <v>3411.6093849829113</v>
      </c>
      <c r="L50" s="116">
        <f t="shared" si="15"/>
        <v>3411.6093849829113</v>
      </c>
      <c r="M50" s="116">
        <f t="shared" si="15"/>
        <v>3411.6093849829113</v>
      </c>
      <c r="N50" s="116">
        <f t="shared" si="15"/>
        <v>3411.6093849829113</v>
      </c>
      <c r="O50" s="116">
        <f t="shared" si="15"/>
        <v>3411.6093849829113</v>
      </c>
      <c r="P50" s="116">
        <f t="shared" si="15"/>
        <v>0</v>
      </c>
      <c r="Q50" s="116">
        <f t="shared" si="15"/>
        <v>3800</v>
      </c>
      <c r="R50" s="116">
        <f t="shared" si="15"/>
        <v>3800</v>
      </c>
      <c r="S50" s="116">
        <f t="shared" si="15"/>
        <v>3800</v>
      </c>
      <c r="T50" s="116">
        <f t="shared" si="15"/>
        <v>0</v>
      </c>
      <c r="U50" s="116">
        <f t="shared" si="15"/>
        <v>3800</v>
      </c>
      <c r="V50" s="116">
        <f t="shared" si="15"/>
        <v>3411.6093849829113</v>
      </c>
      <c r="W50" s="116">
        <f t="shared" si="15"/>
        <v>3411.6093849829113</v>
      </c>
      <c r="X50" s="116">
        <f t="shared" si="15"/>
        <v>0</v>
      </c>
      <c r="Y50" s="116">
        <f t="shared" si="15"/>
        <v>3800</v>
      </c>
      <c r="Z50" s="116">
        <f t="shared" si="15"/>
        <v>3411.6093849829113</v>
      </c>
      <c r="AA50" s="116">
        <f t="shared" si="15"/>
        <v>3411.6093849829113</v>
      </c>
      <c r="AB50" s="116">
        <f t="shared" si="15"/>
        <v>3411.6093849829113</v>
      </c>
      <c r="AC50" s="116">
        <f t="shared" si="15"/>
        <v>3800</v>
      </c>
      <c r="AD50" s="116">
        <f t="shared" si="15"/>
        <v>3800</v>
      </c>
      <c r="AE50" s="116">
        <f t="shared" si="15"/>
        <v>3800</v>
      </c>
      <c r="AF50" s="116">
        <f t="shared" si="15"/>
        <v>3800</v>
      </c>
      <c r="AG50" s="116">
        <f t="shared" si="15"/>
        <v>3411.6093849829113</v>
      </c>
      <c r="AH50" s="116">
        <f t="shared" si="15"/>
        <v>3411.6093849829113</v>
      </c>
      <c r="AI50" s="116">
        <f t="shared" si="15"/>
        <v>3411.6093849829113</v>
      </c>
      <c r="AJ50" s="116">
        <f t="shared" si="15"/>
        <v>3411.6093849829113</v>
      </c>
      <c r="AK50" s="116">
        <f t="shared" si="15"/>
        <v>0</v>
      </c>
      <c r="AL50" s="116">
        <f t="shared" si="15"/>
        <v>3800</v>
      </c>
      <c r="AM50" s="116">
        <f t="shared" si="15"/>
        <v>3411.6093849829113</v>
      </c>
      <c r="AN50" s="116">
        <f t="shared" si="15"/>
        <v>0</v>
      </c>
      <c r="AO50" s="116">
        <f t="shared" si="15"/>
        <v>3800</v>
      </c>
      <c r="AP50" s="116">
        <f t="shared" si="15"/>
        <v>3800</v>
      </c>
      <c r="AQ50" s="116">
        <f t="shared" si="15"/>
        <v>3800</v>
      </c>
      <c r="AR50" s="116">
        <f t="shared" si="15"/>
        <v>3800</v>
      </c>
      <c r="AS50" s="116">
        <f t="shared" si="15"/>
        <v>3411.6093849829113</v>
      </c>
      <c r="AT50" s="116">
        <f t="shared" si="15"/>
        <v>3411.6093849829113</v>
      </c>
      <c r="AU50" s="116">
        <f t="shared" si="15"/>
        <v>3411.6093849829113</v>
      </c>
      <c r="AV50" s="116">
        <f t="shared" si="15"/>
        <v>3411.6093849829113</v>
      </c>
      <c r="AW50" s="116">
        <f t="shared" si="15"/>
        <v>3411.6093849829113</v>
      </c>
      <c r="AX50" s="116">
        <f t="shared" si="15"/>
        <v>0</v>
      </c>
      <c r="AY50" s="116">
        <f t="shared" si="15"/>
        <v>3800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3</v>
      </c>
      <c r="E52" s="116">
        <v>1</v>
      </c>
      <c r="F52" s="116">
        <v>1</v>
      </c>
      <c r="G52" s="116">
        <v>1</v>
      </c>
      <c r="H52" s="116">
        <v>2</v>
      </c>
      <c r="I52" s="116">
        <v>1</v>
      </c>
      <c r="J52" s="116">
        <v>1</v>
      </c>
      <c r="K52" s="116">
        <v>2</v>
      </c>
      <c r="L52" s="116">
        <v>1</v>
      </c>
      <c r="M52" s="116">
        <v>3</v>
      </c>
      <c r="N52" s="116">
        <v>2</v>
      </c>
      <c r="O52" s="116">
        <v>1</v>
      </c>
      <c r="P52" s="116">
        <v>1</v>
      </c>
      <c r="Q52" s="116">
        <v>1</v>
      </c>
      <c r="R52" s="116">
        <v>1</v>
      </c>
      <c r="S52" s="116">
        <v>3</v>
      </c>
      <c r="T52" s="116">
        <v>1</v>
      </c>
      <c r="U52" s="116">
        <v>2</v>
      </c>
      <c r="V52" s="116">
        <v>2</v>
      </c>
      <c r="W52" s="116">
        <v>2</v>
      </c>
      <c r="X52" s="116">
        <v>2</v>
      </c>
      <c r="Y52" s="116">
        <v>2</v>
      </c>
      <c r="Z52" s="116">
        <v>1</v>
      </c>
      <c r="AA52" s="116">
        <v>3</v>
      </c>
      <c r="AB52" s="116">
        <v>1</v>
      </c>
      <c r="AC52" s="116">
        <v>1</v>
      </c>
      <c r="AD52" s="116">
        <v>1</v>
      </c>
      <c r="AE52" s="116">
        <v>2</v>
      </c>
      <c r="AF52" s="116">
        <v>1</v>
      </c>
      <c r="AG52" s="116">
        <v>1</v>
      </c>
      <c r="AH52" s="116">
        <v>3</v>
      </c>
      <c r="AI52" s="116">
        <v>2</v>
      </c>
      <c r="AJ52" s="116">
        <v>1</v>
      </c>
      <c r="AK52" s="116">
        <v>2</v>
      </c>
      <c r="AL52" s="116">
        <v>1</v>
      </c>
      <c r="AM52" s="116">
        <v>1</v>
      </c>
      <c r="AN52" s="116">
        <v>2</v>
      </c>
      <c r="AO52" s="116">
        <v>1</v>
      </c>
      <c r="AP52" s="116">
        <v>1</v>
      </c>
      <c r="AQ52" s="116">
        <v>1</v>
      </c>
      <c r="AR52" s="116">
        <v>1</v>
      </c>
      <c r="AS52" s="116">
        <v>1</v>
      </c>
      <c r="AT52" s="116">
        <v>2</v>
      </c>
      <c r="AU52" s="116">
        <v>2</v>
      </c>
      <c r="AV52" s="116">
        <v>3</v>
      </c>
      <c r="AW52" s="116">
        <v>1</v>
      </c>
      <c r="AX52" s="116">
        <v>2</v>
      </c>
      <c r="AY52" s="116">
        <v>1</v>
      </c>
    </row>
    <row r="53" spans="1:52" x14ac:dyDescent="0.2">
      <c r="A53" s="116"/>
      <c r="B53" s="184" t="s">
        <v>350</v>
      </c>
      <c r="C53" s="116"/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  <c r="AZ53" s="106">
        <f>SUM($D$53:$AY$53)</f>
        <v>0</v>
      </c>
    </row>
    <row r="54" spans="1:52" x14ac:dyDescent="0.2">
      <c r="A54" s="131"/>
      <c r="B54" s="146" t="s">
        <v>351</v>
      </c>
      <c r="C54" s="131"/>
      <c r="D54" s="131">
        <v>1097685.3196182516</v>
      </c>
      <c r="E54" s="131">
        <v>0</v>
      </c>
      <c r="F54" s="131">
        <v>1222650</v>
      </c>
      <c r="G54" s="131">
        <v>1222650</v>
      </c>
      <c r="H54" s="131">
        <v>1222650</v>
      </c>
      <c r="I54" s="131">
        <v>1097685.3196182516</v>
      </c>
      <c r="J54" s="131">
        <v>1097685.3196182516</v>
      </c>
      <c r="K54" s="131">
        <v>1097685.3196182516</v>
      </c>
      <c r="L54" s="131">
        <v>1097685.3196182516</v>
      </c>
      <c r="M54" s="131">
        <v>1097685.3196182516</v>
      </c>
      <c r="N54" s="131">
        <v>1097685.3196182516</v>
      </c>
      <c r="O54" s="131">
        <v>1097685.3196182516</v>
      </c>
      <c r="P54" s="131">
        <v>0</v>
      </c>
      <c r="Q54" s="131">
        <v>1222650</v>
      </c>
      <c r="R54" s="131">
        <v>1222650</v>
      </c>
      <c r="S54" s="131">
        <v>1222650</v>
      </c>
      <c r="T54" s="131">
        <v>0</v>
      </c>
      <c r="U54" s="131">
        <v>1222650</v>
      </c>
      <c r="V54" s="131">
        <v>1097685.3196182516</v>
      </c>
      <c r="W54" s="131">
        <v>1097685.3196182516</v>
      </c>
      <c r="X54" s="131">
        <v>0</v>
      </c>
      <c r="Y54" s="131">
        <v>1222650</v>
      </c>
      <c r="Z54" s="131">
        <v>1097685.3196182516</v>
      </c>
      <c r="AA54" s="131">
        <v>1097685.3196182516</v>
      </c>
      <c r="AB54" s="131">
        <v>1097685.3196182516</v>
      </c>
      <c r="AC54" s="131">
        <v>1222650</v>
      </c>
      <c r="AD54" s="131">
        <v>1222650</v>
      </c>
      <c r="AE54" s="131">
        <v>1222650</v>
      </c>
      <c r="AF54" s="131">
        <v>1222650</v>
      </c>
      <c r="AG54" s="131">
        <v>1097685.3196182516</v>
      </c>
      <c r="AH54" s="131">
        <v>1097685.3196182516</v>
      </c>
      <c r="AI54" s="131">
        <v>1097685.3196182516</v>
      </c>
      <c r="AJ54" s="131">
        <v>1097685.3196182516</v>
      </c>
      <c r="AK54" s="131">
        <v>0</v>
      </c>
      <c r="AL54" s="131">
        <v>1222650</v>
      </c>
      <c r="AM54" s="131">
        <v>1097685.3196182516</v>
      </c>
      <c r="AN54" s="131">
        <v>0</v>
      </c>
      <c r="AO54" s="131">
        <v>1222650</v>
      </c>
      <c r="AP54" s="131">
        <v>1222650</v>
      </c>
      <c r="AQ54" s="131">
        <v>1222650</v>
      </c>
      <c r="AR54" s="131">
        <v>1222650</v>
      </c>
      <c r="AS54" s="131">
        <v>1097685.3196182516</v>
      </c>
      <c r="AT54" s="131">
        <v>1097685.3196182516</v>
      </c>
      <c r="AU54" s="131">
        <v>1097685.3196182516</v>
      </c>
      <c r="AV54" s="131">
        <v>1097685.3196182516</v>
      </c>
      <c r="AW54" s="131">
        <v>1097685.3196182516</v>
      </c>
      <c r="AX54" s="131">
        <v>0</v>
      </c>
      <c r="AY54" s="131">
        <v>1222650</v>
      </c>
      <c r="AZ54" s="106">
        <f>SUM($D$54:$AY$54)</f>
        <v>47254462.351219803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4" x14ac:dyDescent="0.2">
      <c r="A1" s="108" t="s">
        <v>284</v>
      </c>
    </row>
    <row r="2" spans="1:54" x14ac:dyDescent="0.2">
      <c r="A2" s="106" t="s">
        <v>285</v>
      </c>
      <c r="B2" s="113" t="s">
        <v>22</v>
      </c>
    </row>
    <row r="3" spans="1:54" x14ac:dyDescent="0.2">
      <c r="A3" s="106" t="s">
        <v>286</v>
      </c>
      <c r="B3" s="114">
        <v>50000</v>
      </c>
      <c r="C3" s="115"/>
    </row>
    <row r="4" spans="1:54" x14ac:dyDescent="0.2">
      <c r="B4" s="116"/>
      <c r="C4" s="116"/>
    </row>
    <row r="5" spans="1:54" x14ac:dyDescent="0.2">
      <c r="C5" s="117" t="s">
        <v>287</v>
      </c>
    </row>
    <row r="6" spans="1:54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4" x14ac:dyDescent="0.2">
      <c r="B7" s="116"/>
      <c r="C7" s="119" t="s">
        <v>288</v>
      </c>
      <c r="D7" s="118" t="s">
        <v>289</v>
      </c>
      <c r="E7" s="118" t="s">
        <v>289</v>
      </c>
      <c r="F7" s="118" t="s">
        <v>289</v>
      </c>
      <c r="G7" s="118" t="s">
        <v>289</v>
      </c>
      <c r="H7" s="118" t="s">
        <v>289</v>
      </c>
      <c r="I7" s="118" t="s">
        <v>289</v>
      </c>
      <c r="J7" s="118" t="s">
        <v>289</v>
      </c>
      <c r="K7" s="118" t="s">
        <v>289</v>
      </c>
      <c r="L7" s="118" t="s">
        <v>289</v>
      </c>
      <c r="M7" s="118" t="s">
        <v>289</v>
      </c>
      <c r="N7" s="118" t="s">
        <v>289</v>
      </c>
      <c r="O7" s="118" t="s">
        <v>289</v>
      </c>
      <c r="P7" s="118" t="s">
        <v>289</v>
      </c>
      <c r="Q7" s="118" t="s">
        <v>289</v>
      </c>
      <c r="R7" s="118" t="s">
        <v>289</v>
      </c>
      <c r="S7" s="118" t="s">
        <v>289</v>
      </c>
      <c r="T7" s="118" t="s">
        <v>289</v>
      </c>
      <c r="U7" s="118" t="s">
        <v>289</v>
      </c>
      <c r="V7" s="118" t="s">
        <v>289</v>
      </c>
      <c r="W7" s="118" t="s">
        <v>289</v>
      </c>
      <c r="X7" s="118" t="s">
        <v>289</v>
      </c>
      <c r="Y7" s="118" t="s">
        <v>289</v>
      </c>
      <c r="Z7" s="118" t="s">
        <v>289</v>
      </c>
      <c r="AA7" s="118" t="s">
        <v>289</v>
      </c>
      <c r="AB7" s="118" t="s">
        <v>289</v>
      </c>
      <c r="AC7" s="118" t="s">
        <v>289</v>
      </c>
      <c r="AD7" s="118" t="s">
        <v>289</v>
      </c>
      <c r="AE7" s="118" t="s">
        <v>289</v>
      </c>
      <c r="AF7" s="118" t="s">
        <v>289</v>
      </c>
      <c r="AG7" s="118" t="s">
        <v>289</v>
      </c>
      <c r="AH7" s="118" t="s">
        <v>289</v>
      </c>
      <c r="AI7" s="118" t="s">
        <v>289</v>
      </c>
      <c r="AJ7" s="118" t="s">
        <v>289</v>
      </c>
      <c r="AK7" s="118" t="s">
        <v>289</v>
      </c>
      <c r="AL7" s="118" t="s">
        <v>289</v>
      </c>
      <c r="AM7" s="118" t="s">
        <v>289</v>
      </c>
      <c r="AN7" s="118" t="s">
        <v>289</v>
      </c>
      <c r="AO7" s="118" t="s">
        <v>289</v>
      </c>
      <c r="AP7" s="118" t="s">
        <v>289</v>
      </c>
      <c r="AQ7" s="118" t="s">
        <v>289</v>
      </c>
      <c r="AR7" s="118" t="s">
        <v>289</v>
      </c>
      <c r="AS7" s="118" t="s">
        <v>289</v>
      </c>
      <c r="AT7" s="118" t="s">
        <v>289</v>
      </c>
      <c r="AU7" s="118" t="s">
        <v>289</v>
      </c>
      <c r="AV7" s="118" t="s">
        <v>289</v>
      </c>
      <c r="AW7" s="118" t="s">
        <v>289</v>
      </c>
      <c r="AX7" s="118" t="s">
        <v>289</v>
      </c>
      <c r="AY7" s="117" t="s">
        <v>290</v>
      </c>
      <c r="AZ7" s="117" t="s">
        <v>291</v>
      </c>
    </row>
    <row r="8" spans="1:54" x14ac:dyDescent="0.2">
      <c r="A8" s="108" t="s">
        <v>292</v>
      </c>
      <c r="B8" s="120"/>
      <c r="AY8" s="116"/>
    </row>
    <row r="9" spans="1:54" x14ac:dyDescent="0.2">
      <c r="A9" s="121" t="s">
        <v>125</v>
      </c>
      <c r="B9" s="122">
        <v>1</v>
      </c>
      <c r="C9" s="123" t="s">
        <v>293</v>
      </c>
      <c r="D9" s="123">
        <v>9225.486563508528</v>
      </c>
      <c r="E9" s="123">
        <v>9225.486563508528</v>
      </c>
      <c r="F9" s="123">
        <v>9225.486563508528</v>
      </c>
      <c r="G9" s="123">
        <v>9225.486563508528</v>
      </c>
      <c r="H9" s="123">
        <v>7969.9139331113547</v>
      </c>
      <c r="I9" s="123">
        <v>8353.9665635085294</v>
      </c>
      <c r="J9" s="123">
        <v>8353.9665635085294</v>
      </c>
      <c r="K9" s="123">
        <v>8353.9665635085294</v>
      </c>
      <c r="L9" s="123">
        <v>8353.9665635085294</v>
      </c>
      <c r="M9" s="123">
        <v>8353.9665635085294</v>
      </c>
      <c r="N9" s="123">
        <v>8353.9665635085294</v>
      </c>
      <c r="O9" s="123">
        <v>8353.9665635085294</v>
      </c>
      <c r="P9" s="123">
        <v>9225.486563508528</v>
      </c>
      <c r="Q9" s="123">
        <v>9225.486563508528</v>
      </c>
      <c r="R9" s="123">
        <v>9225.486563508528</v>
      </c>
      <c r="S9" s="123">
        <v>9225.486563508528</v>
      </c>
      <c r="T9" s="123">
        <v>8353.9665635085294</v>
      </c>
      <c r="U9" s="123">
        <v>8353.9665635085294</v>
      </c>
      <c r="V9" s="123">
        <v>8353.9665635085294</v>
      </c>
      <c r="W9" s="123">
        <v>8353.9665635085294</v>
      </c>
      <c r="X9" s="123">
        <v>8353.9665635085294</v>
      </c>
      <c r="Y9" s="123">
        <v>8353.9665635085294</v>
      </c>
      <c r="Z9" s="123">
        <v>8353.9665635085294</v>
      </c>
      <c r="AA9" s="123">
        <v>8353.9665635085294</v>
      </c>
      <c r="AB9" s="123">
        <v>9225.486563508528</v>
      </c>
      <c r="AC9" s="123">
        <v>8228.6440724997392</v>
      </c>
      <c r="AD9" s="123">
        <v>8229.0736405475436</v>
      </c>
      <c r="AE9" s="123">
        <v>8229.5014479394704</v>
      </c>
      <c r="AF9" s="123">
        <v>8353.9665635085294</v>
      </c>
      <c r="AG9" s="123">
        <v>8353.9665635085294</v>
      </c>
      <c r="AH9" s="123">
        <v>8353.9665635085294</v>
      </c>
      <c r="AI9" s="123">
        <v>8353.9665635085294</v>
      </c>
      <c r="AJ9" s="123">
        <v>8353.9665635085294</v>
      </c>
      <c r="AK9" s="123">
        <v>8353.9665635085294</v>
      </c>
      <c r="AL9" s="123">
        <v>8353.9665635085294</v>
      </c>
      <c r="AM9" s="123">
        <v>8353.9665635085294</v>
      </c>
      <c r="AN9" s="123">
        <v>9225.486563508528</v>
      </c>
      <c r="AO9" s="123">
        <v>9225.486563508528</v>
      </c>
      <c r="AP9" s="123">
        <v>9225.486563508528</v>
      </c>
      <c r="AQ9" s="123">
        <v>9225.486563508528</v>
      </c>
      <c r="AR9" s="123">
        <v>8353.9665635085294</v>
      </c>
      <c r="AS9" s="123">
        <v>8353.9665635085294</v>
      </c>
      <c r="AT9" s="123">
        <v>8353.9665635085294</v>
      </c>
      <c r="AU9" s="123">
        <v>8353.9665635085294</v>
      </c>
      <c r="AV9" s="123">
        <v>8353.9665635085294</v>
      </c>
      <c r="AW9" s="123">
        <v>8353.9665635085294</v>
      </c>
      <c r="AX9" s="123">
        <v>8353.9665635085294</v>
      </c>
      <c r="AY9" s="123">
        <v>8353.9665635085294</v>
      </c>
    </row>
    <row r="10" spans="1:54" x14ac:dyDescent="0.2">
      <c r="A10" s="124" t="s">
        <v>133</v>
      </c>
      <c r="B10" s="125">
        <v>1</v>
      </c>
      <c r="C10" s="112" t="s">
        <v>293</v>
      </c>
      <c r="D10" s="106">
        <v>21</v>
      </c>
      <c r="E10" s="106">
        <v>0</v>
      </c>
      <c r="F10" s="106">
        <v>11</v>
      </c>
      <c r="G10" s="106">
        <v>11</v>
      </c>
      <c r="H10" s="106">
        <v>11</v>
      </c>
      <c r="I10" s="106">
        <v>11</v>
      </c>
      <c r="J10" s="106">
        <v>11</v>
      </c>
      <c r="K10" s="106">
        <v>11</v>
      </c>
      <c r="L10" s="106">
        <v>11</v>
      </c>
      <c r="M10" s="106">
        <v>11</v>
      </c>
      <c r="N10" s="106">
        <v>0</v>
      </c>
      <c r="O10" s="106">
        <v>11</v>
      </c>
      <c r="P10" s="106">
        <v>0</v>
      </c>
      <c r="Q10" s="106">
        <v>0</v>
      </c>
      <c r="R10" s="106">
        <v>11</v>
      </c>
      <c r="S10" s="106">
        <v>0</v>
      </c>
      <c r="T10" s="106">
        <v>11</v>
      </c>
      <c r="U10" s="106">
        <v>11</v>
      </c>
      <c r="V10" s="106">
        <v>11</v>
      </c>
      <c r="W10" s="106">
        <v>0</v>
      </c>
      <c r="X10" s="106">
        <v>0</v>
      </c>
      <c r="Y10" s="106">
        <v>11</v>
      </c>
      <c r="Z10" s="106">
        <v>0</v>
      </c>
      <c r="AA10" s="106">
        <v>11</v>
      </c>
      <c r="AB10" s="106">
        <v>11</v>
      </c>
      <c r="AC10" s="106">
        <v>11</v>
      </c>
      <c r="AD10" s="106">
        <v>11</v>
      </c>
      <c r="AE10" s="106">
        <v>11</v>
      </c>
      <c r="AF10" s="106">
        <v>11</v>
      </c>
      <c r="AG10" s="106">
        <v>11</v>
      </c>
      <c r="AH10" s="106">
        <v>0</v>
      </c>
      <c r="AI10" s="106">
        <v>11</v>
      </c>
      <c r="AJ10" s="106">
        <v>11</v>
      </c>
      <c r="AK10" s="106">
        <v>0</v>
      </c>
      <c r="AL10" s="106">
        <v>11</v>
      </c>
      <c r="AM10" s="106">
        <v>0</v>
      </c>
      <c r="AN10" s="106">
        <v>11</v>
      </c>
      <c r="AO10" s="106">
        <v>11</v>
      </c>
      <c r="AP10" s="106">
        <v>0</v>
      </c>
      <c r="AQ10" s="106">
        <v>11</v>
      </c>
      <c r="AR10" s="106">
        <v>11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</row>
    <row r="11" spans="1:54" x14ac:dyDescent="0.2">
      <c r="B11" s="125">
        <v>2</v>
      </c>
      <c r="C11" s="112" t="s">
        <v>293</v>
      </c>
      <c r="D11" s="106">
        <v>0</v>
      </c>
      <c r="E11" s="106">
        <v>0</v>
      </c>
      <c r="F11" s="106">
        <v>21</v>
      </c>
      <c r="I11" s="106">
        <v>0</v>
      </c>
      <c r="K11" s="106">
        <v>0</v>
      </c>
      <c r="N11" s="106">
        <v>0</v>
      </c>
      <c r="O11" s="106">
        <v>11</v>
      </c>
      <c r="Q11" s="106">
        <v>11</v>
      </c>
      <c r="R11" s="106">
        <v>0</v>
      </c>
      <c r="S11" s="106">
        <v>0</v>
      </c>
      <c r="U11" s="106">
        <v>0</v>
      </c>
      <c r="V11" s="106">
        <v>0</v>
      </c>
      <c r="Y11" s="106">
        <v>11</v>
      </c>
      <c r="Z11" s="106">
        <v>0</v>
      </c>
      <c r="AA11" s="106">
        <v>0</v>
      </c>
      <c r="AB11" s="106">
        <v>0</v>
      </c>
      <c r="AC11" s="106">
        <v>0</v>
      </c>
      <c r="AF11" s="106">
        <v>0</v>
      </c>
      <c r="AI11" s="106">
        <v>11</v>
      </c>
      <c r="AL11" s="106">
        <v>11</v>
      </c>
      <c r="AN11" s="106">
        <v>0</v>
      </c>
      <c r="AO11" s="106">
        <v>0</v>
      </c>
      <c r="AR11" s="106">
        <v>0</v>
      </c>
      <c r="AS11" s="106">
        <v>0</v>
      </c>
      <c r="AT11" s="106">
        <v>11</v>
      </c>
      <c r="AU11" s="106">
        <v>0</v>
      </c>
      <c r="AV11" s="106">
        <v>0</v>
      </c>
      <c r="AW11" s="106">
        <v>11</v>
      </c>
      <c r="AX11" s="106">
        <v>11</v>
      </c>
      <c r="AY11" s="106">
        <v>11</v>
      </c>
      <c r="AZ11" s="106">
        <v>11</v>
      </c>
      <c r="BA11" s="106">
        <v>0</v>
      </c>
    </row>
    <row r="12" spans="1:54" x14ac:dyDescent="0.2">
      <c r="B12" s="126">
        <v>3</v>
      </c>
      <c r="C12" s="112" t="s">
        <v>293</v>
      </c>
      <c r="I12" s="106">
        <v>0</v>
      </c>
      <c r="J12" s="106">
        <v>0</v>
      </c>
      <c r="S12" s="106">
        <v>11</v>
      </c>
      <c r="U12" s="106">
        <v>11</v>
      </c>
      <c r="Y12" s="106">
        <v>11</v>
      </c>
      <c r="AA12" s="106">
        <v>0</v>
      </c>
      <c r="AB12" s="106">
        <v>11</v>
      </c>
      <c r="AI12" s="106">
        <v>0</v>
      </c>
      <c r="AR12" s="106">
        <v>11</v>
      </c>
      <c r="AV12" s="106">
        <v>11</v>
      </c>
      <c r="AW12" s="106">
        <v>11</v>
      </c>
      <c r="BB12" s="106">
        <v>11</v>
      </c>
    </row>
    <row r="13" spans="1:54" x14ac:dyDescent="0.2">
      <c r="B13" s="126">
        <v>4</v>
      </c>
      <c r="C13" s="112" t="s">
        <v>293</v>
      </c>
    </row>
    <row r="14" spans="1:54" x14ac:dyDescent="0.2">
      <c r="A14" s="121" t="s">
        <v>134</v>
      </c>
      <c r="B14" s="127">
        <v>1</v>
      </c>
      <c r="C14" s="123" t="s">
        <v>293</v>
      </c>
      <c r="D14" s="123">
        <v>3380.6676020090999</v>
      </c>
      <c r="E14" s="123">
        <f t="shared" ref="E14:AZ14" si="0">D$172*SUM(D$122:D$169)</f>
        <v>3506.2671028178538</v>
      </c>
      <c r="F14" s="123">
        <f t="shared" si="0"/>
        <v>3582.0690247036514</v>
      </c>
      <c r="G14" s="123">
        <f t="shared" si="0"/>
        <v>3645.2897134387431</v>
      </c>
      <c r="H14" s="123">
        <f t="shared" si="0"/>
        <v>3708.3920767346049</v>
      </c>
      <c r="I14" s="123">
        <f t="shared" si="0"/>
        <v>3614.9371620694637</v>
      </c>
      <c r="J14" s="123">
        <f t="shared" si="0"/>
        <v>3528.4896961419267</v>
      </c>
      <c r="K14" s="123">
        <f t="shared" si="0"/>
        <v>3452.0812165469392</v>
      </c>
      <c r="L14" s="123">
        <f t="shared" si="0"/>
        <v>3431.9655293217488</v>
      </c>
      <c r="M14" s="123">
        <f t="shared" si="0"/>
        <v>3381.587130033372</v>
      </c>
      <c r="N14" s="123">
        <f t="shared" si="0"/>
        <v>3399.8880135341942</v>
      </c>
      <c r="O14" s="123">
        <f t="shared" si="0"/>
        <v>3413.700740977808</v>
      </c>
      <c r="P14" s="123">
        <f t="shared" si="0"/>
        <v>3441.9356691331604</v>
      </c>
      <c r="Q14" s="123">
        <f t="shared" si="0"/>
        <v>3562.937414863412</v>
      </c>
      <c r="R14" s="123">
        <f t="shared" si="0"/>
        <v>3639.1383127218378</v>
      </c>
      <c r="S14" s="123">
        <f t="shared" si="0"/>
        <v>3675.8603156037689</v>
      </c>
      <c r="T14" s="123">
        <f t="shared" si="0"/>
        <v>3705.2198281305191</v>
      </c>
      <c r="U14" s="123">
        <f t="shared" si="0"/>
        <v>3602.1773821917864</v>
      </c>
      <c r="V14" s="123">
        <f t="shared" si="0"/>
        <v>3539.8993225207605</v>
      </c>
      <c r="W14" s="123">
        <f t="shared" si="0"/>
        <v>3436.0767931853816</v>
      </c>
      <c r="X14" s="123">
        <f t="shared" si="0"/>
        <v>3403.2952000788673</v>
      </c>
      <c r="Y14" s="123">
        <f t="shared" si="0"/>
        <v>3349.2961766391404</v>
      </c>
      <c r="Z14" s="123">
        <f t="shared" si="0"/>
        <v>3167.5096719400481</v>
      </c>
      <c r="AA14" s="123">
        <f t="shared" si="0"/>
        <v>3067.3323857566056</v>
      </c>
      <c r="AB14" s="123">
        <f t="shared" si="0"/>
        <v>3009.4674726046933</v>
      </c>
      <c r="AC14" s="123">
        <f t="shared" si="0"/>
        <v>3048.5664986793249</v>
      </c>
      <c r="AD14" s="123">
        <f t="shared" si="0"/>
        <v>2996.4681377672155</v>
      </c>
      <c r="AE14" s="123">
        <f t="shared" si="0"/>
        <v>2934.2271277946988</v>
      </c>
      <c r="AF14" s="123">
        <f t="shared" si="0"/>
        <v>2924.3778855515234</v>
      </c>
      <c r="AG14" s="123">
        <f t="shared" si="0"/>
        <v>2779.1535304253384</v>
      </c>
      <c r="AH14" s="123">
        <f t="shared" si="0"/>
        <v>2979.6177176974802</v>
      </c>
      <c r="AI14" s="123">
        <f t="shared" si="0"/>
        <v>3123.2208394479135</v>
      </c>
      <c r="AJ14" s="123">
        <f t="shared" si="0"/>
        <v>3228.1501001490046</v>
      </c>
      <c r="AK14" s="123">
        <f t="shared" si="0"/>
        <v>3300.5120461487809</v>
      </c>
      <c r="AL14" s="123">
        <f t="shared" si="0"/>
        <v>3365.6569818311327</v>
      </c>
      <c r="AM14" s="123">
        <f t="shared" si="0"/>
        <v>3415.6608359174279</v>
      </c>
      <c r="AN14" s="123">
        <f t="shared" si="0"/>
        <v>3430.8824160142881</v>
      </c>
      <c r="AO14" s="123">
        <f t="shared" si="0"/>
        <v>3582.2836093696706</v>
      </c>
      <c r="AP14" s="123">
        <f t="shared" si="0"/>
        <v>3650.9029029549765</v>
      </c>
      <c r="AQ14" s="123">
        <f t="shared" si="0"/>
        <v>3667.0258821066759</v>
      </c>
      <c r="AR14" s="123">
        <f t="shared" si="0"/>
        <v>3704.6459293056714</v>
      </c>
      <c r="AS14" s="123">
        <f t="shared" si="0"/>
        <v>3592.1146701682883</v>
      </c>
      <c r="AT14" s="123">
        <f t="shared" si="0"/>
        <v>3481.6351456019279</v>
      </c>
      <c r="AU14" s="123">
        <f t="shared" si="0"/>
        <v>3393.9432760572336</v>
      </c>
      <c r="AV14" s="123">
        <f t="shared" si="0"/>
        <v>3331.736330932431</v>
      </c>
      <c r="AW14" s="123">
        <f t="shared" si="0"/>
        <v>3284.5009053930066</v>
      </c>
      <c r="AX14" s="123">
        <f t="shared" si="0"/>
        <v>3322.1092931427511</v>
      </c>
      <c r="AY14" s="123">
        <f t="shared" si="0"/>
        <v>3357.8677345697893</v>
      </c>
      <c r="AZ14" s="116">
        <f t="shared" si="0"/>
        <v>3381.3284558561354</v>
      </c>
      <c r="BA14" s="113">
        <f>SUM($E14:$AZ14)</f>
        <v>162541.40160457292</v>
      </c>
    </row>
    <row r="15" spans="1:54" x14ac:dyDescent="0.2">
      <c r="A15" s="128" t="s">
        <v>123</v>
      </c>
      <c r="B15" s="129">
        <v>1</v>
      </c>
      <c r="C15" s="130" t="s">
        <v>293</v>
      </c>
      <c r="D15" s="130">
        <v>4206.6256371573927</v>
      </c>
      <c r="E15" s="130">
        <v>4206.6256371573927</v>
      </c>
      <c r="F15" s="130">
        <v>4206.6256371573927</v>
      </c>
      <c r="G15" s="130">
        <v>4206.6256371573927</v>
      </c>
      <c r="H15" s="130">
        <v>3739.222788584349</v>
      </c>
      <c r="I15" s="130">
        <v>3739.222788584349</v>
      </c>
      <c r="J15" s="130">
        <v>3739.222788584349</v>
      </c>
      <c r="K15" s="130">
        <v>3739.222788584349</v>
      </c>
      <c r="L15" s="130">
        <v>3739.222788584349</v>
      </c>
      <c r="M15" s="130">
        <v>3739.222788584349</v>
      </c>
      <c r="N15" s="130">
        <v>3739.222788584349</v>
      </c>
      <c r="O15" s="130">
        <v>3739.222788584349</v>
      </c>
      <c r="P15" s="130">
        <v>4206.6256371573927</v>
      </c>
      <c r="Q15" s="130">
        <v>4206.6256371573927</v>
      </c>
      <c r="R15" s="130">
        <v>4206.6256371573927</v>
      </c>
      <c r="S15" s="130">
        <v>4206.6256371573927</v>
      </c>
      <c r="T15" s="130">
        <v>3739.222788584349</v>
      </c>
      <c r="U15" s="130">
        <v>3739.222788584349</v>
      </c>
      <c r="V15" s="130">
        <v>3739.222788584349</v>
      </c>
      <c r="W15" s="130">
        <v>3739.222788584349</v>
      </c>
      <c r="X15" s="130">
        <v>3739.222788584349</v>
      </c>
      <c r="Y15" s="130">
        <v>3739.222788584349</v>
      </c>
      <c r="Z15" s="130">
        <v>3739.222788584349</v>
      </c>
      <c r="AA15" s="130">
        <v>3739.222788584349</v>
      </c>
      <c r="AB15" s="130">
        <v>4206.6256371573927</v>
      </c>
      <c r="AC15" s="130">
        <v>4206.6256371573927</v>
      </c>
      <c r="AD15" s="130">
        <v>4206.6256371573927</v>
      </c>
      <c r="AE15" s="130">
        <v>4206.6256371573927</v>
      </c>
      <c r="AF15" s="130">
        <v>3739.222788584349</v>
      </c>
      <c r="AG15" s="130">
        <v>3739.222788584349</v>
      </c>
      <c r="AH15" s="130">
        <v>3739.222788584349</v>
      </c>
      <c r="AI15" s="130">
        <v>3739.222788584349</v>
      </c>
      <c r="AJ15" s="130">
        <v>3739.222788584349</v>
      </c>
      <c r="AK15" s="130">
        <v>3739.222788584349</v>
      </c>
      <c r="AL15" s="130">
        <v>3739.222788584349</v>
      </c>
      <c r="AM15" s="130">
        <v>3739.222788584349</v>
      </c>
      <c r="AN15" s="130">
        <v>4206.6256371573927</v>
      </c>
      <c r="AO15" s="130">
        <v>4206.6256371573927</v>
      </c>
      <c r="AP15" s="130">
        <v>4206.6256371573927</v>
      </c>
      <c r="AQ15" s="130">
        <v>4206.6256371573927</v>
      </c>
      <c r="AR15" s="130">
        <v>3739.222788584349</v>
      </c>
      <c r="AS15" s="130">
        <v>3739.222788584349</v>
      </c>
      <c r="AT15" s="130">
        <v>3739.222788584349</v>
      </c>
      <c r="AU15" s="130">
        <v>3739.222788584349</v>
      </c>
      <c r="AV15" s="130">
        <v>3739.222788584349</v>
      </c>
      <c r="AW15" s="130">
        <v>3739.222788584349</v>
      </c>
      <c r="AX15" s="130">
        <v>3739.222788584349</v>
      </c>
      <c r="AY15" s="130">
        <v>3739.222788584349</v>
      </c>
      <c r="AZ15" s="106">
        <v>0</v>
      </c>
    </row>
    <row r="16" spans="1:54" x14ac:dyDescent="0.2">
      <c r="A16" s="116"/>
      <c r="B16" s="125">
        <v>2</v>
      </c>
      <c r="C16" s="115" t="s">
        <v>293</v>
      </c>
      <c r="D16" s="112">
        <v>0</v>
      </c>
      <c r="E16" s="116">
        <v>0</v>
      </c>
      <c r="F16" s="116">
        <v>0</v>
      </c>
      <c r="G16" s="116"/>
      <c r="H16" s="116"/>
      <c r="I16" s="116">
        <v>0</v>
      </c>
      <c r="J16" s="116"/>
      <c r="K16" s="116">
        <v>0</v>
      </c>
      <c r="L16" s="116"/>
      <c r="M16" s="116"/>
      <c r="N16" s="116">
        <v>0</v>
      </c>
      <c r="O16" s="116">
        <v>0</v>
      </c>
      <c r="P16" s="116"/>
      <c r="Q16" s="116">
        <v>0</v>
      </c>
      <c r="R16" s="116">
        <v>0</v>
      </c>
      <c r="S16" s="116">
        <v>0</v>
      </c>
      <c r="T16" s="116"/>
      <c r="U16" s="116">
        <v>0</v>
      </c>
      <c r="V16" s="116">
        <v>0</v>
      </c>
      <c r="W16" s="116"/>
      <c r="X16" s="116"/>
      <c r="Y16" s="116">
        <v>0</v>
      </c>
      <c r="Z16" s="116">
        <v>0</v>
      </c>
      <c r="AA16" s="116">
        <v>0</v>
      </c>
      <c r="AB16" s="116">
        <v>0</v>
      </c>
      <c r="AC16" s="116">
        <v>0</v>
      </c>
      <c r="AD16" s="116"/>
      <c r="AE16" s="116"/>
      <c r="AF16" s="116">
        <v>0</v>
      </c>
      <c r="AG16" s="116"/>
      <c r="AH16" s="116"/>
      <c r="AI16" s="116">
        <v>0</v>
      </c>
      <c r="AJ16" s="116"/>
      <c r="AK16" s="116"/>
      <c r="AL16" s="116">
        <v>0</v>
      </c>
      <c r="AM16" s="116"/>
      <c r="AN16" s="116">
        <v>0</v>
      </c>
      <c r="AO16" s="116">
        <v>0</v>
      </c>
      <c r="AP16" s="116"/>
      <c r="AQ16" s="116"/>
      <c r="AR16" s="116">
        <v>0</v>
      </c>
      <c r="AS16" s="116">
        <v>0</v>
      </c>
      <c r="AT16" s="116">
        <v>0</v>
      </c>
      <c r="AU16" s="116">
        <v>0</v>
      </c>
      <c r="AV16" s="116">
        <v>0</v>
      </c>
      <c r="AW16" s="116">
        <v>0</v>
      </c>
      <c r="AX16" s="116">
        <v>0</v>
      </c>
      <c r="AY16" s="116">
        <v>0</v>
      </c>
      <c r="AZ16" s="106">
        <v>0</v>
      </c>
      <c r="BA16" s="106">
        <v>0</v>
      </c>
    </row>
    <row r="17" spans="1:54" x14ac:dyDescent="0.2">
      <c r="A17" s="116"/>
      <c r="B17" s="125">
        <v>3</v>
      </c>
      <c r="C17" s="115" t="s">
        <v>293</v>
      </c>
      <c r="D17" s="112"/>
      <c r="E17" s="116"/>
      <c r="F17" s="116"/>
      <c r="G17" s="116"/>
      <c r="H17" s="116"/>
      <c r="I17" s="116">
        <v>0</v>
      </c>
      <c r="J17" s="116">
        <v>0</v>
      </c>
      <c r="K17" s="116"/>
      <c r="L17" s="116"/>
      <c r="M17" s="116"/>
      <c r="N17" s="116"/>
      <c r="O17" s="116"/>
      <c r="P17" s="116"/>
      <c r="Q17" s="116"/>
      <c r="R17" s="116"/>
      <c r="S17" s="116">
        <v>0</v>
      </c>
      <c r="T17" s="116"/>
      <c r="U17" s="116">
        <v>0</v>
      </c>
      <c r="V17" s="116"/>
      <c r="W17" s="116"/>
      <c r="X17" s="116"/>
      <c r="Y17" s="116">
        <v>0</v>
      </c>
      <c r="Z17" s="116"/>
      <c r="AA17" s="116">
        <v>0</v>
      </c>
      <c r="AB17" s="116">
        <v>0</v>
      </c>
      <c r="AC17" s="116"/>
      <c r="AD17" s="116"/>
      <c r="AE17" s="116"/>
      <c r="AF17" s="116"/>
      <c r="AG17" s="116"/>
      <c r="AH17" s="116"/>
      <c r="AI17" s="116">
        <v>0</v>
      </c>
      <c r="AJ17" s="116"/>
      <c r="AK17" s="116"/>
      <c r="AL17" s="116"/>
      <c r="AM17" s="116"/>
      <c r="AN17" s="116"/>
      <c r="AO17" s="116"/>
      <c r="AP17" s="116"/>
      <c r="AQ17" s="116"/>
      <c r="AR17" s="116">
        <v>0</v>
      </c>
      <c r="AS17" s="116"/>
      <c r="AT17" s="116"/>
      <c r="AU17" s="116"/>
      <c r="AV17" s="116">
        <v>0</v>
      </c>
      <c r="AW17" s="116">
        <v>0</v>
      </c>
      <c r="AX17" s="116"/>
      <c r="AY17" s="116"/>
      <c r="BB17" s="106">
        <v>0</v>
      </c>
    </row>
    <row r="18" spans="1:54" x14ac:dyDescent="0.2">
      <c r="A18" s="131"/>
      <c r="B18" s="122">
        <v>4</v>
      </c>
      <c r="C18" s="131" t="s">
        <v>293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4" x14ac:dyDescent="0.2">
      <c r="A20" s="108" t="s">
        <v>294</v>
      </c>
    </row>
    <row r="21" spans="1:54" x14ac:dyDescent="0.2">
      <c r="A21" s="132" t="s">
        <v>125</v>
      </c>
      <c r="B21" s="129">
        <v>1</v>
      </c>
      <c r="C21" s="130" t="s">
        <v>293</v>
      </c>
      <c r="D21" s="130">
        <v>1981.4598406862115</v>
      </c>
      <c r="E21" s="130">
        <v>2042.125067573638</v>
      </c>
      <c r="F21" s="130">
        <v>2255.5648944318195</v>
      </c>
      <c r="G21" s="130">
        <v>2553.7797581751115</v>
      </c>
      <c r="H21" s="130">
        <v>1576.0683073632229</v>
      </c>
      <c r="I21" s="130">
        <v>1871.0658726533004</v>
      </c>
      <c r="J21" s="130">
        <v>1832.3237279181822</v>
      </c>
      <c r="K21" s="130">
        <v>1859.89242068456</v>
      </c>
      <c r="L21" s="130">
        <v>1775.3470160064035</v>
      </c>
      <c r="M21" s="130">
        <v>1803.9998976190602</v>
      </c>
      <c r="N21" s="130">
        <v>1745.4931590958306</v>
      </c>
      <c r="O21" s="130">
        <v>1705.770591365321</v>
      </c>
      <c r="P21" s="130">
        <v>2521.8887343629031</v>
      </c>
      <c r="Q21" s="130">
        <v>2642.4343433011777</v>
      </c>
      <c r="R21" s="130">
        <v>2774.3003242853729</v>
      </c>
      <c r="S21" s="130">
        <v>2975.8400020282825</v>
      </c>
      <c r="T21" s="130">
        <v>2195.0631974754438</v>
      </c>
      <c r="U21" s="130">
        <v>2172.5083653113511</v>
      </c>
      <c r="V21" s="130">
        <v>2005.8886299951805</v>
      </c>
      <c r="W21" s="130">
        <v>1936.9146507090402</v>
      </c>
      <c r="X21" s="130">
        <v>1786.0488227880558</v>
      </c>
      <c r="Y21" s="130">
        <v>1263.3818300647511</v>
      </c>
      <c r="Z21" s="130">
        <v>703.5538956212348</v>
      </c>
      <c r="AA21" s="130">
        <v>166.05335757575068</v>
      </c>
      <c r="AB21" s="130">
        <v>426.08736203306682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>
        <v>600.70398966687173</v>
      </c>
      <c r="AO21" s="130">
        <v>1305.0442712982226</v>
      </c>
      <c r="AP21" s="130">
        <v>1978.4761179412712</v>
      </c>
      <c r="AQ21" s="130">
        <v>2579.2870977835278</v>
      </c>
      <c r="AR21" s="130">
        <v>1994.188900261252</v>
      </c>
      <c r="AS21" s="130">
        <v>1939.3791050500279</v>
      </c>
      <c r="AT21" s="130">
        <v>1838.5774916265773</v>
      </c>
      <c r="AU21" s="130">
        <v>1682.7114993326511</v>
      </c>
      <c r="AV21" s="130">
        <v>1507.2624286038181</v>
      </c>
      <c r="AW21" s="130">
        <v>1488.9670823646113</v>
      </c>
      <c r="AX21" s="130">
        <v>1382.1044147488208</v>
      </c>
      <c r="AY21" s="130">
        <v>1235.8067976327577</v>
      </c>
    </row>
    <row r="22" spans="1:54" x14ac:dyDescent="0.2">
      <c r="A22" s="115"/>
      <c r="B22" s="126">
        <v>2</v>
      </c>
      <c r="C22" s="116" t="s">
        <v>293</v>
      </c>
      <c r="D22" s="116">
        <v>6870.9984107310165</v>
      </c>
      <c r="E22" s="116">
        <v>6759.0267228223165</v>
      </c>
      <c r="F22" s="116">
        <v>6721.3614959348897</v>
      </c>
      <c r="G22" s="116">
        <v>6422.921669076708</v>
      </c>
      <c r="H22" s="116">
        <v>5998.7068053334169</v>
      </c>
      <c r="I22" s="116">
        <v>5577.8456257481321</v>
      </c>
      <c r="J22" s="116">
        <v>5765.9006908552292</v>
      </c>
      <c r="K22" s="116">
        <v>5802.6428355903472</v>
      </c>
      <c r="L22" s="116">
        <v>5657.0741428239689</v>
      </c>
      <c r="M22" s="116">
        <v>5944.6195475021259</v>
      </c>
      <c r="N22" s="116">
        <v>5937.9666658894694</v>
      </c>
      <c r="O22" s="116">
        <v>6056.473404412699</v>
      </c>
      <c r="P22" s="116">
        <v>6191.1959721432086</v>
      </c>
      <c r="Q22" s="116">
        <v>6432.5978291456249</v>
      </c>
      <c r="R22" s="116">
        <v>6214.0522202073498</v>
      </c>
      <c r="S22" s="116">
        <v>6056.1862392231551</v>
      </c>
      <c r="T22" s="116">
        <v>5837.6465614802455</v>
      </c>
      <c r="U22" s="116">
        <v>5682.9033660330861</v>
      </c>
      <c r="V22" s="116">
        <v>5706.4581981971787</v>
      </c>
      <c r="W22" s="116">
        <v>5895.0779335133484</v>
      </c>
      <c r="X22" s="116">
        <v>5832.0519127994894</v>
      </c>
      <c r="Y22" s="116">
        <v>5977.9177407204734</v>
      </c>
      <c r="Z22" s="116">
        <v>6237.5847334437785</v>
      </c>
      <c r="AA22" s="116">
        <v>6800.4126678872944</v>
      </c>
      <c r="AB22" s="116">
        <v>7634.9132059327785</v>
      </c>
      <c r="AC22" s="116">
        <v>7686.308707154164</v>
      </c>
      <c r="AD22" s="116">
        <v>6748.448694678128</v>
      </c>
      <c r="AE22" s="116">
        <v>6312.3587586955628</v>
      </c>
      <c r="AF22" s="116">
        <v>5659.339551045151</v>
      </c>
      <c r="AG22" s="116">
        <v>5838.997145135033</v>
      </c>
      <c r="AH22" s="116">
        <v>5927.8622987156359</v>
      </c>
      <c r="AI22" s="116">
        <v>6149.6780032121715</v>
      </c>
      <c r="AJ22" s="116">
        <v>6432.1106445154683</v>
      </c>
      <c r="AK22" s="116">
        <v>6796.5470714212679</v>
      </c>
      <c r="AL22" s="116">
        <v>7164.6246824394193</v>
      </c>
      <c r="AM22" s="116">
        <v>7498.3474039239727</v>
      </c>
      <c r="AN22" s="116">
        <v>8353.9665635085294</v>
      </c>
      <c r="AO22" s="116">
        <v>8094.7825738416559</v>
      </c>
      <c r="AP22" s="116">
        <v>7384.4422922103058</v>
      </c>
      <c r="AQ22" s="116">
        <v>6695.0104455672572</v>
      </c>
      <c r="AR22" s="116">
        <v>6205.1994657249998</v>
      </c>
      <c r="AS22" s="116">
        <v>6060.7776632472778</v>
      </c>
      <c r="AT22" s="116">
        <v>6169.5874584585017</v>
      </c>
      <c r="AU22" s="116">
        <v>6242.3890718819521</v>
      </c>
      <c r="AV22" s="116">
        <v>6355.255064175878</v>
      </c>
      <c r="AW22" s="116">
        <v>6589.7041349047113</v>
      </c>
      <c r="AX22" s="116">
        <v>6595.9994811439183</v>
      </c>
      <c r="AY22" s="116">
        <v>6737.8621487597084</v>
      </c>
    </row>
    <row r="23" spans="1:54" x14ac:dyDescent="0.2">
      <c r="A23" s="115"/>
      <c r="B23" s="133">
        <v>3</v>
      </c>
      <c r="C23" s="116" t="s">
        <v>293</v>
      </c>
      <c r="D23" s="116">
        <v>0</v>
      </c>
      <c r="E23" s="116">
        <v>0</v>
      </c>
      <c r="F23" s="116">
        <v>0</v>
      </c>
      <c r="G23" s="116">
        <v>0</v>
      </c>
      <c r="H23" s="116">
        <v>0</v>
      </c>
      <c r="I23" s="116">
        <v>0</v>
      </c>
      <c r="J23" s="116">
        <v>0</v>
      </c>
      <c r="K23" s="116">
        <v>0</v>
      </c>
      <c r="L23" s="116">
        <v>0</v>
      </c>
      <c r="M23" s="116">
        <v>0</v>
      </c>
      <c r="N23" s="116">
        <v>0</v>
      </c>
      <c r="O23" s="116">
        <v>0</v>
      </c>
      <c r="P23" s="116">
        <v>0</v>
      </c>
      <c r="Q23" s="116">
        <v>0</v>
      </c>
      <c r="R23" s="116">
        <v>0</v>
      </c>
      <c r="S23" s="116">
        <v>0</v>
      </c>
      <c r="T23" s="116">
        <v>0</v>
      </c>
      <c r="U23" s="116">
        <v>0</v>
      </c>
      <c r="V23" s="116">
        <v>0</v>
      </c>
      <c r="W23" s="116">
        <v>0</v>
      </c>
      <c r="X23" s="116">
        <v>0</v>
      </c>
      <c r="Y23" s="116">
        <v>0</v>
      </c>
      <c r="Z23" s="116">
        <v>0</v>
      </c>
      <c r="AA23" s="116">
        <v>0</v>
      </c>
      <c r="AB23" s="116">
        <v>0</v>
      </c>
      <c r="AC23" s="116">
        <v>0</v>
      </c>
      <c r="AD23" s="116">
        <v>758.09049432129632</v>
      </c>
      <c r="AE23" s="116">
        <v>1305.1953778216111</v>
      </c>
      <c r="AF23" s="116">
        <v>1742.7148818519809</v>
      </c>
      <c r="AG23" s="116">
        <v>2365.1618968943194</v>
      </c>
      <c r="AH23" s="116">
        <v>2261.9694183734964</v>
      </c>
      <c r="AI23" s="116">
        <v>2209.1042647928934</v>
      </c>
      <c r="AJ23" s="116">
        <v>2015.2885602963579</v>
      </c>
      <c r="AK23" s="116">
        <v>1661.8559189930611</v>
      </c>
      <c r="AL23" s="116">
        <v>1276.4194920872615</v>
      </c>
      <c r="AM23" s="116">
        <v>905.34188106911006</v>
      </c>
      <c r="AN23" s="116">
        <v>569.61915958455666</v>
      </c>
      <c r="AO23" s="116">
        <v>0</v>
      </c>
      <c r="AP23" s="116">
        <v>0</v>
      </c>
      <c r="AQ23" s="116">
        <v>0</v>
      </c>
      <c r="AR23" s="116">
        <v>0</v>
      </c>
      <c r="AS23" s="116">
        <v>0</v>
      </c>
      <c r="AT23" s="116">
        <v>0</v>
      </c>
      <c r="AU23" s="116">
        <v>0</v>
      </c>
      <c r="AV23" s="116">
        <v>0</v>
      </c>
      <c r="AW23" s="116">
        <v>0</v>
      </c>
      <c r="AX23" s="116">
        <v>0</v>
      </c>
      <c r="AY23" s="116">
        <v>0</v>
      </c>
    </row>
    <row r="24" spans="1:54" x14ac:dyDescent="0.2">
      <c r="A24" s="134"/>
      <c r="B24" s="135">
        <v>4</v>
      </c>
      <c r="C24" s="134" t="s">
        <v>293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4" x14ac:dyDescent="0.2">
      <c r="A25" s="132" t="s">
        <v>133</v>
      </c>
      <c r="B25" s="129">
        <v>1</v>
      </c>
      <c r="C25" s="115" t="s">
        <v>293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4" x14ac:dyDescent="0.2">
      <c r="A26" s="115"/>
      <c r="B26" s="125">
        <v>2</v>
      </c>
      <c r="C26" s="115" t="s">
        <v>293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</row>
    <row r="27" spans="1:54" x14ac:dyDescent="0.2">
      <c r="A27" s="115"/>
      <c r="B27" s="126">
        <v>3</v>
      </c>
      <c r="C27" s="115" t="s">
        <v>293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</row>
    <row r="28" spans="1:54" x14ac:dyDescent="0.2">
      <c r="A28" s="115"/>
      <c r="B28" s="126">
        <v>4</v>
      </c>
      <c r="C28" s="115" t="s">
        <v>293</v>
      </c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</row>
    <row r="29" spans="1:54" x14ac:dyDescent="0.2">
      <c r="A29" s="115"/>
      <c r="B29" s="133">
        <v>5</v>
      </c>
      <c r="C29" s="115" t="s">
        <v>293</v>
      </c>
      <c r="D29" s="116">
        <v>0</v>
      </c>
      <c r="E29" s="116">
        <v>0</v>
      </c>
      <c r="F29" s="116">
        <v>0</v>
      </c>
      <c r="G29" s="116">
        <v>0</v>
      </c>
      <c r="H29" s="116">
        <v>0</v>
      </c>
      <c r="I29" s="116">
        <v>0</v>
      </c>
      <c r="J29" s="116">
        <v>0</v>
      </c>
      <c r="K29" s="116">
        <v>0</v>
      </c>
      <c r="L29" s="116">
        <v>0</v>
      </c>
      <c r="M29" s="116">
        <v>0</v>
      </c>
      <c r="N29" s="116">
        <v>0</v>
      </c>
      <c r="O29" s="116">
        <v>0</v>
      </c>
      <c r="P29" s="116">
        <v>0</v>
      </c>
      <c r="Q29" s="116">
        <v>0</v>
      </c>
      <c r="R29" s="116">
        <v>0</v>
      </c>
      <c r="S29" s="116">
        <v>0</v>
      </c>
      <c r="T29" s="116">
        <v>0</v>
      </c>
      <c r="U29" s="116">
        <v>0</v>
      </c>
      <c r="V29" s="116">
        <v>0</v>
      </c>
      <c r="W29" s="116">
        <v>0</v>
      </c>
      <c r="X29" s="116">
        <v>0</v>
      </c>
      <c r="Y29" s="116">
        <v>0</v>
      </c>
      <c r="Z29" s="116">
        <v>0</v>
      </c>
      <c r="AA29" s="116">
        <v>0</v>
      </c>
      <c r="AB29" s="116">
        <v>0</v>
      </c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>
        <v>0</v>
      </c>
      <c r="AO29" s="116">
        <v>0</v>
      </c>
      <c r="AP29" s="116">
        <v>0</v>
      </c>
      <c r="AQ29" s="116">
        <v>0</v>
      </c>
      <c r="AR29" s="116">
        <v>0</v>
      </c>
      <c r="AS29" s="116">
        <v>0</v>
      </c>
      <c r="AT29" s="116">
        <v>0</v>
      </c>
      <c r="AU29" s="116">
        <v>0</v>
      </c>
      <c r="AV29" s="116">
        <v>0</v>
      </c>
      <c r="AW29" s="116">
        <v>0</v>
      </c>
      <c r="AX29" s="116">
        <v>0</v>
      </c>
      <c r="AY29" s="116">
        <v>0</v>
      </c>
    </row>
    <row r="30" spans="1:54" x14ac:dyDescent="0.2">
      <c r="A30" s="115"/>
      <c r="B30" s="133">
        <v>6</v>
      </c>
      <c r="C30" s="115" t="s">
        <v>293</v>
      </c>
      <c r="D30" s="116">
        <v>0</v>
      </c>
      <c r="E30" s="116">
        <v>0</v>
      </c>
      <c r="F30" s="116">
        <v>0</v>
      </c>
      <c r="G30" s="116">
        <v>0</v>
      </c>
      <c r="H30" s="116">
        <v>0</v>
      </c>
      <c r="I30" s="116">
        <v>0</v>
      </c>
      <c r="J30" s="116">
        <v>0</v>
      </c>
      <c r="K30" s="116">
        <v>0</v>
      </c>
      <c r="L30" s="116">
        <v>0</v>
      </c>
      <c r="M30" s="116">
        <v>0</v>
      </c>
      <c r="N30" s="116">
        <v>0</v>
      </c>
      <c r="O30" s="116">
        <v>0</v>
      </c>
      <c r="P30" s="116">
        <v>0</v>
      </c>
      <c r="Q30" s="116">
        <v>0</v>
      </c>
      <c r="R30" s="116">
        <v>0</v>
      </c>
      <c r="S30" s="116">
        <v>0</v>
      </c>
      <c r="T30" s="116">
        <v>0</v>
      </c>
      <c r="U30" s="116">
        <v>0</v>
      </c>
      <c r="V30" s="116">
        <v>0</v>
      </c>
      <c r="W30" s="116">
        <v>0</v>
      </c>
      <c r="X30" s="116">
        <v>0</v>
      </c>
      <c r="Y30" s="116">
        <v>0</v>
      </c>
      <c r="Z30" s="116">
        <v>0</v>
      </c>
      <c r="AA30" s="116">
        <v>0</v>
      </c>
      <c r="AB30" s="116">
        <v>0</v>
      </c>
      <c r="AC30" s="116">
        <v>0</v>
      </c>
      <c r="AD30" s="116">
        <v>0</v>
      </c>
      <c r="AE30" s="116">
        <v>0</v>
      </c>
      <c r="AF30" s="116">
        <v>0</v>
      </c>
      <c r="AG30" s="116">
        <v>0</v>
      </c>
      <c r="AH30" s="116">
        <v>0</v>
      </c>
      <c r="AI30" s="116">
        <v>0</v>
      </c>
      <c r="AJ30" s="116">
        <v>0</v>
      </c>
      <c r="AK30" s="116">
        <v>0</v>
      </c>
      <c r="AL30" s="116">
        <v>0</v>
      </c>
      <c r="AM30" s="116">
        <v>0</v>
      </c>
      <c r="AN30" s="116">
        <v>0</v>
      </c>
      <c r="AO30" s="116">
        <v>0</v>
      </c>
      <c r="AP30" s="116">
        <v>0</v>
      </c>
      <c r="AQ30" s="116">
        <v>0</v>
      </c>
      <c r="AR30" s="116">
        <v>0</v>
      </c>
      <c r="AS30" s="116">
        <v>0</v>
      </c>
      <c r="AT30" s="116">
        <v>0</v>
      </c>
      <c r="AU30" s="116">
        <v>0</v>
      </c>
      <c r="AV30" s="116">
        <v>0</v>
      </c>
      <c r="AW30" s="116">
        <v>0</v>
      </c>
      <c r="AX30" s="116">
        <v>0</v>
      </c>
      <c r="AY30" s="116">
        <v>0</v>
      </c>
    </row>
    <row r="31" spans="1:54" x14ac:dyDescent="0.2">
      <c r="A31" s="115"/>
      <c r="B31" s="136">
        <v>7</v>
      </c>
      <c r="C31" s="115" t="s">
        <v>293</v>
      </c>
      <c r="D31" s="116">
        <v>0</v>
      </c>
      <c r="E31" s="116">
        <v>0</v>
      </c>
      <c r="F31" s="116">
        <v>0</v>
      </c>
      <c r="G31" s="116">
        <v>0</v>
      </c>
      <c r="H31" s="116">
        <v>0</v>
      </c>
      <c r="I31" s="116">
        <v>0</v>
      </c>
      <c r="J31" s="116">
        <v>0</v>
      </c>
      <c r="K31" s="116">
        <v>0</v>
      </c>
      <c r="L31" s="116">
        <v>0</v>
      </c>
      <c r="M31" s="116">
        <v>0</v>
      </c>
      <c r="N31" s="116">
        <v>0</v>
      </c>
      <c r="O31" s="116">
        <v>0</v>
      </c>
      <c r="P31" s="116">
        <v>0</v>
      </c>
      <c r="Q31" s="116">
        <v>0</v>
      </c>
      <c r="R31" s="116">
        <v>0</v>
      </c>
      <c r="S31" s="116">
        <v>0</v>
      </c>
      <c r="T31" s="116">
        <v>0</v>
      </c>
      <c r="U31" s="116">
        <v>0</v>
      </c>
      <c r="V31" s="116">
        <v>0</v>
      </c>
      <c r="W31" s="116">
        <v>0</v>
      </c>
      <c r="X31" s="116">
        <v>0</v>
      </c>
      <c r="Y31" s="116">
        <v>0</v>
      </c>
      <c r="Z31" s="116">
        <v>0</v>
      </c>
      <c r="AA31" s="116">
        <v>0</v>
      </c>
      <c r="AB31" s="116">
        <v>0</v>
      </c>
      <c r="AC31" s="116">
        <v>0</v>
      </c>
      <c r="AD31" s="116">
        <v>0</v>
      </c>
      <c r="AE31" s="116">
        <v>0</v>
      </c>
      <c r="AF31" s="116">
        <v>0</v>
      </c>
      <c r="AG31" s="116">
        <v>0</v>
      </c>
      <c r="AH31" s="116">
        <v>0</v>
      </c>
      <c r="AI31" s="116">
        <v>0</v>
      </c>
      <c r="AJ31" s="116">
        <v>0</v>
      </c>
      <c r="AK31" s="116">
        <v>0</v>
      </c>
      <c r="AL31" s="116">
        <v>0</v>
      </c>
      <c r="AM31" s="116">
        <v>0</v>
      </c>
      <c r="AN31" s="116">
        <v>0</v>
      </c>
      <c r="AO31" s="116">
        <v>0</v>
      </c>
      <c r="AP31" s="116">
        <v>0</v>
      </c>
      <c r="AQ31" s="116">
        <v>0</v>
      </c>
      <c r="AR31" s="116">
        <v>0</v>
      </c>
      <c r="AS31" s="116">
        <v>0</v>
      </c>
      <c r="AT31" s="116">
        <v>0</v>
      </c>
      <c r="AU31" s="116">
        <v>0</v>
      </c>
      <c r="AV31" s="116">
        <v>0</v>
      </c>
      <c r="AW31" s="116">
        <v>0</v>
      </c>
      <c r="AX31" s="116">
        <v>0</v>
      </c>
      <c r="AY31" s="116">
        <v>0</v>
      </c>
    </row>
    <row r="32" spans="1:54" x14ac:dyDescent="0.2">
      <c r="A32" s="134"/>
      <c r="B32" s="135">
        <v>8</v>
      </c>
      <c r="C32" s="134" t="s">
        <v>293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293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293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293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293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293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293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</row>
    <row r="39" spans="1:51" x14ac:dyDescent="0.2">
      <c r="A39" s="115"/>
      <c r="B39" s="133">
        <v>7</v>
      </c>
      <c r="C39" s="115" t="s">
        <v>293</v>
      </c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</row>
    <row r="40" spans="1:51" x14ac:dyDescent="0.2">
      <c r="A40" s="115"/>
      <c r="B40" s="133">
        <v>8</v>
      </c>
      <c r="C40" s="115" t="s">
        <v>293</v>
      </c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</row>
    <row r="41" spans="1:51" x14ac:dyDescent="0.2">
      <c r="A41" s="115"/>
      <c r="B41" s="133">
        <v>9</v>
      </c>
      <c r="C41" s="115" t="s">
        <v>293</v>
      </c>
      <c r="D41" s="112">
        <v>795.71773494288982</v>
      </c>
      <c r="E41" s="112">
        <v>790.77384616056906</v>
      </c>
      <c r="F41" s="112">
        <v>848.56656047951901</v>
      </c>
      <c r="G41" s="112">
        <v>933.04606814253941</v>
      </c>
      <c r="H41" s="112">
        <v>653.62550344725446</v>
      </c>
      <c r="I41" s="112">
        <v>738.44895462579211</v>
      </c>
      <c r="J41" s="112">
        <v>731.19945047192232</v>
      </c>
      <c r="K41" s="112">
        <v>748.9721951098403</v>
      </c>
      <c r="L41" s="112">
        <v>718.44411797785529</v>
      </c>
      <c r="M41" s="112">
        <v>757.16193576096407</v>
      </c>
      <c r="N41" s="112">
        <v>748.44409903926635</v>
      </c>
      <c r="O41" s="112">
        <v>744.32043065047367</v>
      </c>
      <c r="P41" s="112">
        <v>1013.7299682284671</v>
      </c>
      <c r="Q41" s="112">
        <v>1035.4179197129799</v>
      </c>
      <c r="R41" s="112">
        <v>1061.0920129638423</v>
      </c>
      <c r="S41" s="112">
        <v>1113.52840890638</v>
      </c>
      <c r="T41" s="112">
        <v>901.77296870273869</v>
      </c>
      <c r="U41" s="112">
        <v>879.40576158366662</v>
      </c>
      <c r="V41" s="112">
        <v>816.35432195708211</v>
      </c>
      <c r="W41" s="112">
        <v>791.48592804030466</v>
      </c>
      <c r="X41" s="112">
        <v>735.87380356783058</v>
      </c>
      <c r="Y41" s="112">
        <v>538.82791574231737</v>
      </c>
      <c r="Z41" s="112">
        <v>306.48074985167761</v>
      </c>
      <c r="AA41" s="112">
        <v>73.065763759666154</v>
      </c>
      <c r="AB41" s="112">
        <v>171.12889726223131</v>
      </c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>
        <v>190.41656513738269</v>
      </c>
      <c r="AO41" s="112">
        <v>393.14114968050768</v>
      </c>
      <c r="AP41" s="112">
        <v>639.00179730110472</v>
      </c>
      <c r="AQ41" s="112">
        <v>873.19873691876035</v>
      </c>
      <c r="AR41" s="112">
        <v>770.59694327897</v>
      </c>
      <c r="AS41" s="112">
        <v>766.2161500893734</v>
      </c>
      <c r="AT41" s="112">
        <v>740.72850594839974</v>
      </c>
      <c r="AU41" s="112">
        <v>688.00511981036038</v>
      </c>
      <c r="AV41" s="112">
        <v>619.01614320610759</v>
      </c>
      <c r="AW41" s="112">
        <v>638.48739799188002</v>
      </c>
      <c r="AX41" s="112">
        <v>604.015946393033</v>
      </c>
      <c r="AY41" s="112">
        <v>542.46512453114667</v>
      </c>
    </row>
    <row r="42" spans="1:51" x14ac:dyDescent="0.2">
      <c r="A42" s="115"/>
      <c r="B42" s="136">
        <v>10</v>
      </c>
      <c r="C42" s="115" t="s">
        <v>293</v>
      </c>
      <c r="D42" s="112">
        <v>2220.1328244752881</v>
      </c>
      <c r="E42" s="112">
        <v>2559.9485475804759</v>
      </c>
      <c r="F42" s="112">
        <v>2428.6192498196924</v>
      </c>
      <c r="G42" s="112">
        <v>2252.9467948238025</v>
      </c>
      <c r="H42" s="112">
        <v>2178.3983163487296</v>
      </c>
      <c r="I42" s="112">
        <v>2199.469881284112</v>
      </c>
      <c r="J42" s="112">
        <v>2141.4153797547579</v>
      </c>
      <c r="K42" s="112">
        <v>2285.3171776760601</v>
      </c>
      <c r="L42" s="112">
        <v>2221.9579688420749</v>
      </c>
      <c r="M42" s="112">
        <v>1816.0389968517577</v>
      </c>
      <c r="N42" s="112">
        <v>1843.9249060454704</v>
      </c>
      <c r="O42" s="112">
        <v>1985.624925664385</v>
      </c>
      <c r="P42" s="112">
        <v>1901.6410396452006</v>
      </c>
      <c r="Q42" s="112">
        <v>2038.6621085061379</v>
      </c>
      <c r="R42" s="112">
        <v>1784.3708415036056</v>
      </c>
      <c r="S42" s="112">
        <v>1742.2378158480681</v>
      </c>
      <c r="T42" s="112">
        <v>1470.3989908466658</v>
      </c>
      <c r="U42" s="112">
        <v>2131.0132620732447</v>
      </c>
      <c r="V42" s="112">
        <v>2114.8745349559617</v>
      </c>
      <c r="W42" s="112">
        <v>2167.3565433240433</v>
      </c>
      <c r="X42" s="112">
        <v>2327.2148129375032</v>
      </c>
      <c r="Y42" s="112">
        <v>1862.0618655653298</v>
      </c>
      <c r="Z42" s="112">
        <v>2277.6490250660017</v>
      </c>
      <c r="AA42" s="112">
        <v>2476.6575628701603</v>
      </c>
      <c r="AB42" s="112">
        <v>2844.6063682503527</v>
      </c>
      <c r="AC42" s="112">
        <v>2630.5006516257736</v>
      </c>
      <c r="AD42" s="112">
        <v>2769.8463632153266</v>
      </c>
      <c r="AE42" s="112">
        <v>2674.2500186433817</v>
      </c>
      <c r="AF42" s="112">
        <v>2362.9530195867887</v>
      </c>
      <c r="AG42" s="112">
        <v>2378.7300088218717</v>
      </c>
      <c r="AH42" s="112">
        <v>2376.6155133368361</v>
      </c>
      <c r="AI42" s="112">
        <v>2331.7264207855033</v>
      </c>
      <c r="AJ42" s="112">
        <v>2361.6830566300537</v>
      </c>
      <c r="AK42" s="112">
        <v>2415.4521225481103</v>
      </c>
      <c r="AL42" s="112">
        <v>2415.1451775662044</v>
      </c>
      <c r="AM42" s="112">
        <v>2472.916379948952</v>
      </c>
      <c r="AN42" s="112">
        <v>2405.4059227685811</v>
      </c>
      <c r="AO42" s="112">
        <v>2037.7784349827402</v>
      </c>
      <c r="AP42" s="112">
        <v>1709.8327682764229</v>
      </c>
      <c r="AQ42" s="112">
        <v>1814.6159203963753</v>
      </c>
      <c r="AR42" s="112">
        <v>1675.8401622306455</v>
      </c>
      <c r="AS42" s="112">
        <v>1769.2898800338762</v>
      </c>
      <c r="AT42" s="112">
        <v>2002.2958960594074</v>
      </c>
      <c r="AU42" s="112">
        <v>1947.773290697548</v>
      </c>
      <c r="AV42" s="112">
        <v>2121.6557161070677</v>
      </c>
      <c r="AW42" s="112">
        <v>1757.7018087846855</v>
      </c>
      <c r="AX42" s="112">
        <v>1740.522912948471</v>
      </c>
      <c r="AY42" s="112">
        <v>2092.7186319546136</v>
      </c>
    </row>
    <row r="43" spans="1:51" x14ac:dyDescent="0.2">
      <c r="A43" s="115"/>
      <c r="B43" s="136">
        <v>11</v>
      </c>
      <c r="C43" s="115" t="s">
        <v>293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0</v>
      </c>
      <c r="J43" s="112">
        <v>0</v>
      </c>
      <c r="K43" s="112">
        <v>0</v>
      </c>
      <c r="L43" s="112">
        <v>0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112">
        <v>0</v>
      </c>
      <c r="U43" s="112">
        <v>0</v>
      </c>
      <c r="V43" s="112">
        <v>0</v>
      </c>
      <c r="W43" s="112">
        <v>0</v>
      </c>
      <c r="X43" s="112">
        <v>0</v>
      </c>
      <c r="Y43" s="112">
        <v>0</v>
      </c>
      <c r="Z43" s="112">
        <v>0</v>
      </c>
      <c r="AA43" s="112">
        <v>0</v>
      </c>
      <c r="AB43" s="112">
        <v>0</v>
      </c>
      <c r="AC43" s="112">
        <v>0</v>
      </c>
      <c r="AD43" s="112">
        <v>0</v>
      </c>
      <c r="AE43" s="112">
        <v>0</v>
      </c>
      <c r="AF43" s="112">
        <v>281.86229828005378</v>
      </c>
      <c r="AG43" s="112">
        <v>162.94724595552782</v>
      </c>
      <c r="AH43" s="112">
        <v>240.38826084708137</v>
      </c>
      <c r="AI43" s="112">
        <v>345.68066330230431</v>
      </c>
      <c r="AJ43" s="112">
        <v>1.4594116580852869</v>
      </c>
      <c r="AK43" s="112">
        <v>0</v>
      </c>
      <c r="AL43" s="112">
        <v>0</v>
      </c>
      <c r="AM43" s="112">
        <v>0</v>
      </c>
      <c r="AN43" s="112">
        <v>0</v>
      </c>
      <c r="AO43" s="112">
        <v>0</v>
      </c>
      <c r="AP43" s="112">
        <v>0</v>
      </c>
      <c r="AQ43" s="112">
        <v>0</v>
      </c>
      <c r="AR43" s="112">
        <v>0</v>
      </c>
      <c r="AS43" s="112">
        <v>0</v>
      </c>
      <c r="AT43" s="112">
        <v>0</v>
      </c>
      <c r="AU43" s="112">
        <v>0</v>
      </c>
      <c r="AV43" s="112">
        <v>0</v>
      </c>
      <c r="AW43" s="112">
        <v>0</v>
      </c>
      <c r="AX43" s="112">
        <v>0</v>
      </c>
      <c r="AY43" s="112">
        <v>0</v>
      </c>
    </row>
    <row r="44" spans="1:51" x14ac:dyDescent="0.2">
      <c r="A44" s="115"/>
      <c r="B44" s="136">
        <v>12</v>
      </c>
      <c r="C44" s="134" t="s">
        <v>293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293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293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293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293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293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293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293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293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293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293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293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293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293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293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293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293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293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293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293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293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293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293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293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293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293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293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293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293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293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293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293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293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293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293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293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293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293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293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293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293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293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293</v>
      </c>
      <c r="D86" s="116"/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</row>
    <row r="87" spans="1:52" x14ac:dyDescent="0.2">
      <c r="A87" s="115"/>
      <c r="B87" s="136">
        <v>43</v>
      </c>
      <c r="C87" s="115" t="s">
        <v>293</v>
      </c>
      <c r="D87" s="116"/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</row>
    <row r="88" spans="1:52" x14ac:dyDescent="0.2">
      <c r="A88" s="115"/>
      <c r="B88" s="136">
        <v>44</v>
      </c>
      <c r="C88" s="115" t="s">
        <v>293</v>
      </c>
      <c r="D88" s="116"/>
      <c r="E88" s="116"/>
      <c r="F88" s="116"/>
      <c r="G88" s="116"/>
      <c r="H88" s="116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  <c r="AG88" s="116"/>
      <c r="AH88" s="116"/>
      <c r="AI88" s="116"/>
      <c r="AJ88" s="116"/>
      <c r="AK88" s="116"/>
      <c r="AL88" s="116"/>
      <c r="AM88" s="116"/>
      <c r="AN88" s="116"/>
      <c r="AO88" s="116"/>
      <c r="AP88" s="116"/>
      <c r="AQ88" s="116"/>
      <c r="AR88" s="116"/>
      <c r="AS88" s="116"/>
      <c r="AT88" s="116"/>
      <c r="AU88" s="116"/>
      <c r="AV88" s="116"/>
      <c r="AW88" s="116"/>
      <c r="AX88" s="116"/>
      <c r="AY88" s="116"/>
    </row>
    <row r="89" spans="1:52" x14ac:dyDescent="0.2">
      <c r="A89" s="115"/>
      <c r="B89" s="136">
        <v>45</v>
      </c>
      <c r="C89" s="115" t="s">
        <v>293</v>
      </c>
      <c r="D89" s="116">
        <v>0</v>
      </c>
      <c r="E89" s="116">
        <v>0</v>
      </c>
      <c r="F89" s="116">
        <v>0</v>
      </c>
      <c r="G89" s="116">
        <v>0</v>
      </c>
      <c r="H89" s="116">
        <v>0</v>
      </c>
      <c r="I89" s="116">
        <v>0</v>
      </c>
      <c r="J89" s="116">
        <v>0</v>
      </c>
      <c r="K89" s="116">
        <v>0</v>
      </c>
      <c r="L89" s="116">
        <v>0</v>
      </c>
      <c r="M89" s="116">
        <v>0</v>
      </c>
      <c r="N89" s="116">
        <v>0</v>
      </c>
      <c r="O89" s="116">
        <v>0</v>
      </c>
      <c r="P89" s="116">
        <v>0</v>
      </c>
      <c r="Q89" s="116">
        <v>0</v>
      </c>
      <c r="R89" s="116">
        <v>0</v>
      </c>
      <c r="S89" s="116">
        <v>0</v>
      </c>
      <c r="T89" s="116">
        <v>0</v>
      </c>
      <c r="U89" s="116">
        <v>0</v>
      </c>
      <c r="V89" s="116">
        <v>0</v>
      </c>
      <c r="W89" s="116">
        <v>0</v>
      </c>
      <c r="X89" s="116">
        <v>0</v>
      </c>
      <c r="Y89" s="116">
        <v>0</v>
      </c>
      <c r="Z89" s="116">
        <v>0</v>
      </c>
      <c r="AA89" s="116">
        <v>0</v>
      </c>
      <c r="AB89" s="116">
        <v>0</v>
      </c>
      <c r="AC89" s="116"/>
      <c r="AD89" s="116"/>
      <c r="AE89" s="116"/>
      <c r="AF89" s="116"/>
      <c r="AG89" s="116"/>
      <c r="AH89" s="116"/>
      <c r="AI89" s="116"/>
      <c r="AJ89" s="116"/>
      <c r="AK89" s="116"/>
      <c r="AL89" s="116"/>
      <c r="AM89" s="116"/>
      <c r="AN89" s="116">
        <v>0</v>
      </c>
      <c r="AO89" s="116">
        <v>0</v>
      </c>
      <c r="AP89" s="116">
        <v>0</v>
      </c>
      <c r="AQ89" s="116">
        <v>0</v>
      </c>
      <c r="AR89" s="116">
        <v>0</v>
      </c>
      <c r="AS89" s="116">
        <v>0</v>
      </c>
      <c r="AT89" s="116">
        <v>0</v>
      </c>
      <c r="AU89" s="116">
        <v>0</v>
      </c>
      <c r="AV89" s="116">
        <v>0</v>
      </c>
      <c r="AW89" s="116">
        <v>0</v>
      </c>
      <c r="AX89" s="116">
        <v>0</v>
      </c>
      <c r="AY89" s="116">
        <v>0</v>
      </c>
    </row>
    <row r="90" spans="1:52" x14ac:dyDescent="0.2">
      <c r="A90" s="115"/>
      <c r="B90" s="136">
        <v>46</v>
      </c>
      <c r="C90" s="115" t="s">
        <v>293</v>
      </c>
      <c r="D90" s="116">
        <v>0</v>
      </c>
      <c r="E90" s="116">
        <v>0</v>
      </c>
      <c r="F90" s="116">
        <v>0</v>
      </c>
      <c r="G90" s="116">
        <v>0</v>
      </c>
      <c r="H90" s="116">
        <v>0</v>
      </c>
      <c r="I90" s="116">
        <v>0</v>
      </c>
      <c r="J90" s="116">
        <v>0</v>
      </c>
      <c r="K90" s="116">
        <v>0</v>
      </c>
      <c r="L90" s="116">
        <v>0</v>
      </c>
      <c r="M90" s="116">
        <v>0</v>
      </c>
      <c r="N90" s="116">
        <v>0</v>
      </c>
      <c r="O90" s="116">
        <v>0</v>
      </c>
      <c r="P90" s="116">
        <v>0</v>
      </c>
      <c r="Q90" s="116">
        <v>0</v>
      </c>
      <c r="R90" s="116">
        <v>0</v>
      </c>
      <c r="S90" s="116">
        <v>0</v>
      </c>
      <c r="T90" s="116">
        <v>0</v>
      </c>
      <c r="U90" s="116">
        <v>0</v>
      </c>
      <c r="V90" s="116">
        <v>0</v>
      </c>
      <c r="W90" s="116">
        <v>0</v>
      </c>
      <c r="X90" s="116">
        <v>0</v>
      </c>
      <c r="Y90" s="116">
        <v>0</v>
      </c>
      <c r="Z90" s="116">
        <v>0</v>
      </c>
      <c r="AA90" s="116">
        <v>0</v>
      </c>
      <c r="AB90" s="116">
        <v>0</v>
      </c>
      <c r="AC90" s="116">
        <v>0</v>
      </c>
      <c r="AD90" s="116">
        <v>0</v>
      </c>
      <c r="AE90" s="116">
        <v>0</v>
      </c>
      <c r="AF90" s="116">
        <v>0</v>
      </c>
      <c r="AG90" s="116">
        <v>0</v>
      </c>
      <c r="AH90" s="116">
        <v>0</v>
      </c>
      <c r="AI90" s="116">
        <v>0</v>
      </c>
      <c r="AJ90" s="116">
        <v>0</v>
      </c>
      <c r="AK90" s="116">
        <v>0</v>
      </c>
      <c r="AL90" s="116">
        <v>0</v>
      </c>
      <c r="AM90" s="116">
        <v>0</v>
      </c>
      <c r="AN90" s="116">
        <v>0</v>
      </c>
      <c r="AO90" s="116">
        <v>0</v>
      </c>
      <c r="AP90" s="116">
        <v>0</v>
      </c>
      <c r="AQ90" s="116">
        <v>0</v>
      </c>
      <c r="AR90" s="116">
        <v>0</v>
      </c>
      <c r="AS90" s="116">
        <v>0</v>
      </c>
      <c r="AT90" s="116">
        <v>0</v>
      </c>
      <c r="AU90" s="116">
        <v>0</v>
      </c>
      <c r="AV90" s="116">
        <v>0</v>
      </c>
      <c r="AW90" s="116">
        <v>0</v>
      </c>
      <c r="AX90" s="116">
        <v>0</v>
      </c>
      <c r="AY90" s="116">
        <v>0</v>
      </c>
    </row>
    <row r="91" spans="1:52" x14ac:dyDescent="0.2">
      <c r="A91" s="115"/>
      <c r="B91" s="136">
        <v>47</v>
      </c>
      <c r="C91" s="115" t="s">
        <v>293</v>
      </c>
      <c r="D91" s="116">
        <v>0</v>
      </c>
      <c r="E91" s="116">
        <v>0</v>
      </c>
      <c r="F91" s="116">
        <v>0</v>
      </c>
      <c r="G91" s="116">
        <v>0</v>
      </c>
      <c r="H91" s="116">
        <v>0</v>
      </c>
      <c r="I91" s="116">
        <v>0</v>
      </c>
      <c r="J91" s="116">
        <v>0</v>
      </c>
      <c r="K91" s="116">
        <v>0</v>
      </c>
      <c r="L91" s="116">
        <v>0</v>
      </c>
      <c r="M91" s="116">
        <v>0</v>
      </c>
      <c r="N91" s="116">
        <v>0</v>
      </c>
      <c r="O91" s="116">
        <v>0</v>
      </c>
      <c r="P91" s="116">
        <v>0</v>
      </c>
      <c r="Q91" s="116">
        <v>0</v>
      </c>
      <c r="R91" s="116">
        <v>0</v>
      </c>
      <c r="S91" s="116">
        <v>0</v>
      </c>
      <c r="T91" s="116">
        <v>0</v>
      </c>
      <c r="U91" s="116">
        <v>0</v>
      </c>
      <c r="V91" s="116">
        <v>0</v>
      </c>
      <c r="W91" s="116">
        <v>0</v>
      </c>
      <c r="X91" s="116">
        <v>0</v>
      </c>
      <c r="Y91" s="116">
        <v>0</v>
      </c>
      <c r="Z91" s="116">
        <v>0</v>
      </c>
      <c r="AA91" s="116">
        <v>0</v>
      </c>
      <c r="AB91" s="116">
        <v>0</v>
      </c>
      <c r="AC91" s="116">
        <v>0</v>
      </c>
      <c r="AD91" s="116">
        <v>0</v>
      </c>
      <c r="AE91" s="116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0</v>
      </c>
      <c r="AM91" s="116">
        <v>0</v>
      </c>
      <c r="AN91" s="116">
        <v>0</v>
      </c>
      <c r="AO91" s="116">
        <v>0</v>
      </c>
      <c r="AP91" s="116">
        <v>0</v>
      </c>
      <c r="AQ91" s="116">
        <v>0</v>
      </c>
      <c r="AR91" s="116">
        <v>0</v>
      </c>
      <c r="AS91" s="116">
        <v>0</v>
      </c>
      <c r="AT91" s="116">
        <v>0</v>
      </c>
      <c r="AU91" s="116">
        <v>0</v>
      </c>
      <c r="AV91" s="116">
        <v>0</v>
      </c>
      <c r="AW91" s="116">
        <v>0</v>
      </c>
      <c r="AX91" s="116">
        <v>0</v>
      </c>
      <c r="AY91" s="116">
        <v>0</v>
      </c>
    </row>
    <row r="92" spans="1:52" x14ac:dyDescent="0.2">
      <c r="A92" s="134"/>
      <c r="B92" s="135">
        <v>48</v>
      </c>
      <c r="C92" s="134" t="s">
        <v>293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521572.56312925468</v>
      </c>
    </row>
    <row r="94" spans="1:52" x14ac:dyDescent="0.2">
      <c r="A94" s="108" t="s">
        <v>295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7119.9984107310165</v>
      </c>
      <c r="D95" s="116">
        <v>7244.0267228223165</v>
      </c>
      <c r="E95" s="116">
        <v>7183.3614959348897</v>
      </c>
      <c r="F95" s="116">
        <v>6969.921669076708</v>
      </c>
      <c r="G95" s="116">
        <v>6671.7068053334169</v>
      </c>
      <c r="H95" s="116">
        <v>6393.8456257481321</v>
      </c>
      <c r="I95" s="116">
        <v>6482.9006908552292</v>
      </c>
      <c r="J95" s="116">
        <v>6521.6428355903472</v>
      </c>
      <c r="K95" s="116">
        <v>6494.0741428239689</v>
      </c>
      <c r="L95" s="116">
        <v>6578.6195475021259</v>
      </c>
      <c r="M95" s="116">
        <v>6549.9666658894694</v>
      </c>
      <c r="N95" s="116">
        <v>6608.473404412699</v>
      </c>
      <c r="O95" s="116">
        <v>6648.1959721432086</v>
      </c>
      <c r="P95" s="116">
        <v>6703.5978291456249</v>
      </c>
      <c r="Q95" s="116">
        <v>6583.0522202073498</v>
      </c>
      <c r="R95" s="116">
        <v>6451.1862392231551</v>
      </c>
      <c r="S95" s="116">
        <v>6249.6465614802455</v>
      </c>
      <c r="T95" s="116">
        <v>6158.9033660330861</v>
      </c>
      <c r="U95" s="116">
        <v>6181.4581981971787</v>
      </c>
      <c r="V95" s="116">
        <v>6348.0779335133484</v>
      </c>
      <c r="W95" s="116">
        <v>6417.0519127994894</v>
      </c>
      <c r="X95" s="116">
        <v>6567.9177407204734</v>
      </c>
      <c r="Y95" s="116">
        <v>7090.5847334437785</v>
      </c>
      <c r="Z95" s="116">
        <v>7650.4126678872944</v>
      </c>
      <c r="AA95" s="116">
        <v>8187.9132059327785</v>
      </c>
      <c r="AB95" s="116">
        <v>8799.3992014754604</v>
      </c>
      <c r="AC95" s="116">
        <v>8228.6440724997392</v>
      </c>
      <c r="AD95" s="116">
        <v>8229.0736405475436</v>
      </c>
      <c r="AE95" s="116">
        <v>8229.5014479394704</v>
      </c>
      <c r="AF95" s="116">
        <v>8353.9665635085294</v>
      </c>
      <c r="AG95" s="116">
        <v>8353.9665635085294</v>
      </c>
      <c r="AH95" s="116">
        <v>8353.9665635085294</v>
      </c>
      <c r="AI95" s="116">
        <v>8353.9665635085294</v>
      </c>
      <c r="AJ95" s="116">
        <v>8353.9665635085294</v>
      </c>
      <c r="AK95" s="116">
        <v>8353.9665635085294</v>
      </c>
      <c r="AL95" s="116">
        <v>8353.9665635085294</v>
      </c>
      <c r="AM95" s="116">
        <v>8353.9665635085294</v>
      </c>
      <c r="AN95" s="116">
        <v>8624.7825738416559</v>
      </c>
      <c r="AO95" s="116">
        <v>7920.4422922103058</v>
      </c>
      <c r="AP95" s="116">
        <v>7247.0104455672572</v>
      </c>
      <c r="AQ95" s="116">
        <v>6646.1994657249998</v>
      </c>
      <c r="AR95" s="116">
        <v>6359.7776632472778</v>
      </c>
      <c r="AS95" s="116">
        <v>6414.5874584585017</v>
      </c>
      <c r="AT95" s="116">
        <v>6515.3890718819521</v>
      </c>
      <c r="AU95" s="116">
        <v>6671.255064175878</v>
      </c>
      <c r="AV95" s="116">
        <v>6846.7041349047113</v>
      </c>
      <c r="AW95" s="116">
        <v>6864.9994811439183</v>
      </c>
      <c r="AX95" s="116">
        <v>6971.8621487597084</v>
      </c>
      <c r="AY95" s="116">
        <v>7118.1597658757719</v>
      </c>
    </row>
    <row r="96" spans="1:52" x14ac:dyDescent="0.2">
      <c r="A96" s="115"/>
      <c r="B96" s="126">
        <v>2</v>
      </c>
      <c r="C96" s="116">
        <v>0</v>
      </c>
      <c r="D96" s="116">
        <v>0</v>
      </c>
      <c r="E96" s="116">
        <v>0</v>
      </c>
      <c r="F96" s="116">
        <v>0</v>
      </c>
      <c r="G96" s="116">
        <v>0</v>
      </c>
      <c r="H96" s="116">
        <v>0</v>
      </c>
      <c r="I96" s="116">
        <v>0</v>
      </c>
      <c r="J96" s="116">
        <v>0</v>
      </c>
      <c r="K96" s="116">
        <v>0</v>
      </c>
      <c r="L96" s="116">
        <v>0</v>
      </c>
      <c r="M96" s="116">
        <v>0</v>
      </c>
      <c r="N96" s="116">
        <v>0</v>
      </c>
      <c r="O96" s="116">
        <v>0</v>
      </c>
      <c r="P96" s="116">
        <v>0</v>
      </c>
      <c r="Q96" s="116">
        <v>0</v>
      </c>
      <c r="R96" s="116">
        <v>0</v>
      </c>
      <c r="S96" s="116">
        <v>0</v>
      </c>
      <c r="T96" s="116">
        <v>0</v>
      </c>
      <c r="U96" s="116">
        <v>0</v>
      </c>
      <c r="V96" s="116">
        <v>0</v>
      </c>
      <c r="W96" s="116">
        <v>0</v>
      </c>
      <c r="X96" s="116">
        <v>0</v>
      </c>
      <c r="Y96" s="116">
        <v>0</v>
      </c>
      <c r="Z96" s="116">
        <v>0</v>
      </c>
      <c r="AA96" s="116">
        <v>0</v>
      </c>
      <c r="AB96" s="116">
        <v>0</v>
      </c>
      <c r="AC96" s="116">
        <v>936.09049432129632</v>
      </c>
      <c r="AD96" s="116">
        <v>1480.1953778216111</v>
      </c>
      <c r="AE96" s="116">
        <v>1916.7148818519809</v>
      </c>
      <c r="AF96" s="116">
        <v>2570.1618968943194</v>
      </c>
      <c r="AG96" s="116">
        <v>2514.9694183734964</v>
      </c>
      <c r="AH96" s="116">
        <v>2426.1042647928934</v>
      </c>
      <c r="AI96" s="116">
        <v>2204.2885602963579</v>
      </c>
      <c r="AJ96" s="116">
        <v>1921.8559189930611</v>
      </c>
      <c r="AK96" s="116">
        <v>1557.4194920872615</v>
      </c>
      <c r="AL96" s="116">
        <v>1189.3418810691101</v>
      </c>
      <c r="AM96" s="116">
        <v>855.61915958455666</v>
      </c>
      <c r="AN96" s="116">
        <v>0</v>
      </c>
      <c r="AO96" s="116">
        <v>0</v>
      </c>
      <c r="AP96" s="116">
        <v>0</v>
      </c>
      <c r="AQ96" s="116">
        <v>0</v>
      </c>
      <c r="AR96" s="116">
        <v>0</v>
      </c>
      <c r="AS96" s="116">
        <v>0</v>
      </c>
      <c r="AT96" s="116">
        <v>0</v>
      </c>
      <c r="AU96" s="116">
        <v>0</v>
      </c>
      <c r="AV96" s="116">
        <v>0</v>
      </c>
      <c r="AW96" s="116">
        <v>0</v>
      </c>
      <c r="AX96" s="116">
        <v>0</v>
      </c>
      <c r="AY96" s="116">
        <v>0</v>
      </c>
    </row>
    <row r="97" spans="1:52" x14ac:dyDescent="0.2">
      <c r="A97" s="115"/>
      <c r="B97" s="133">
        <v>3</v>
      </c>
      <c r="C97" s="116">
        <v>0</v>
      </c>
      <c r="D97" s="116">
        <v>0</v>
      </c>
      <c r="E97" s="116">
        <v>0</v>
      </c>
      <c r="F97" s="116">
        <v>0</v>
      </c>
      <c r="G97" s="116">
        <v>0</v>
      </c>
      <c r="H97" s="116">
        <v>0</v>
      </c>
      <c r="I97" s="116">
        <v>0</v>
      </c>
      <c r="J97" s="116">
        <v>0</v>
      </c>
      <c r="K97" s="116">
        <v>0</v>
      </c>
      <c r="L97" s="116">
        <v>0</v>
      </c>
      <c r="M97" s="116">
        <v>0</v>
      </c>
      <c r="N97" s="116">
        <v>0</v>
      </c>
      <c r="O97" s="116">
        <v>0</v>
      </c>
      <c r="P97" s="116">
        <v>0</v>
      </c>
      <c r="Q97" s="116">
        <v>0</v>
      </c>
      <c r="R97" s="116">
        <v>0</v>
      </c>
      <c r="S97" s="116">
        <v>0</v>
      </c>
      <c r="T97" s="116">
        <v>0</v>
      </c>
      <c r="U97" s="116">
        <v>0</v>
      </c>
      <c r="V97" s="116">
        <v>0</v>
      </c>
      <c r="W97" s="116">
        <v>0</v>
      </c>
      <c r="X97" s="116">
        <v>0</v>
      </c>
      <c r="Y97" s="116">
        <v>0</v>
      </c>
      <c r="Z97" s="116">
        <v>0</v>
      </c>
      <c r="AA97" s="116">
        <v>0</v>
      </c>
      <c r="AB97" s="116">
        <v>0</v>
      </c>
      <c r="AC97" s="116">
        <v>0</v>
      </c>
      <c r="AD97" s="116">
        <v>0</v>
      </c>
      <c r="AE97" s="116">
        <v>0</v>
      </c>
      <c r="AF97" s="116">
        <v>0</v>
      </c>
      <c r="AG97" s="116">
        <v>0</v>
      </c>
      <c r="AH97" s="116">
        <v>0</v>
      </c>
      <c r="AI97" s="116">
        <v>0</v>
      </c>
      <c r="AJ97" s="116">
        <v>0</v>
      </c>
      <c r="AK97" s="116">
        <v>0</v>
      </c>
      <c r="AL97" s="116">
        <v>0</v>
      </c>
      <c r="AM97" s="116">
        <v>0</v>
      </c>
      <c r="AN97" s="116">
        <v>0</v>
      </c>
      <c r="AO97" s="116">
        <v>0</v>
      </c>
      <c r="AP97" s="116">
        <v>0</v>
      </c>
      <c r="AQ97" s="116">
        <v>0</v>
      </c>
      <c r="AR97" s="116">
        <v>0</v>
      </c>
      <c r="AS97" s="116">
        <v>0</v>
      </c>
      <c r="AT97" s="116">
        <v>0</v>
      </c>
      <c r="AU97" s="116">
        <v>0</v>
      </c>
      <c r="AV97" s="116">
        <v>0</v>
      </c>
      <c r="AW97" s="116">
        <v>0</v>
      </c>
      <c r="AX97" s="116">
        <v>0</v>
      </c>
      <c r="AY97" s="116">
        <v>0</v>
      </c>
    </row>
    <row r="98" spans="1:52" x14ac:dyDescent="0.2">
      <c r="A98" s="115"/>
      <c r="B98" s="136">
        <v>4</v>
      </c>
      <c r="C98" s="112">
        <v>0</v>
      </c>
      <c r="D98" s="116">
        <v>0</v>
      </c>
      <c r="E98" s="116">
        <v>0</v>
      </c>
      <c r="F98" s="116">
        <v>0</v>
      </c>
      <c r="G98" s="116">
        <v>0</v>
      </c>
      <c r="H98" s="116">
        <v>0</v>
      </c>
      <c r="I98" s="116">
        <v>0</v>
      </c>
      <c r="J98" s="116">
        <v>0</v>
      </c>
      <c r="K98" s="116">
        <v>0</v>
      </c>
      <c r="L98" s="116">
        <v>0</v>
      </c>
      <c r="M98" s="116">
        <v>0</v>
      </c>
      <c r="N98" s="116">
        <v>0</v>
      </c>
      <c r="O98" s="116">
        <v>0</v>
      </c>
      <c r="P98" s="116">
        <v>0</v>
      </c>
      <c r="Q98" s="116">
        <v>0</v>
      </c>
      <c r="R98" s="116">
        <v>0</v>
      </c>
      <c r="S98" s="116">
        <v>0</v>
      </c>
      <c r="T98" s="116">
        <v>0</v>
      </c>
      <c r="U98" s="116">
        <v>0</v>
      </c>
      <c r="V98" s="116">
        <v>0</v>
      </c>
      <c r="W98" s="116">
        <v>0</v>
      </c>
      <c r="X98" s="116">
        <v>0</v>
      </c>
      <c r="Y98" s="116">
        <v>0</v>
      </c>
      <c r="Z98" s="116">
        <v>0</v>
      </c>
      <c r="AA98" s="116">
        <v>0</v>
      </c>
      <c r="AB98" s="116">
        <v>0</v>
      </c>
      <c r="AC98" s="116">
        <v>0</v>
      </c>
      <c r="AD98" s="116">
        <v>0</v>
      </c>
      <c r="AE98" s="116">
        <v>0</v>
      </c>
      <c r="AF98" s="116">
        <v>0</v>
      </c>
      <c r="AG98" s="116">
        <v>0</v>
      </c>
      <c r="AH98" s="116">
        <v>0</v>
      </c>
      <c r="AI98" s="116">
        <v>0</v>
      </c>
      <c r="AJ98" s="116">
        <v>0</v>
      </c>
      <c r="AK98" s="116">
        <v>0</v>
      </c>
      <c r="AL98" s="116">
        <v>0</v>
      </c>
      <c r="AM98" s="116">
        <v>0</v>
      </c>
      <c r="AN98" s="116">
        <v>0</v>
      </c>
      <c r="AO98" s="116">
        <v>0</v>
      </c>
      <c r="AP98" s="116">
        <v>0</v>
      </c>
      <c r="AQ98" s="116">
        <v>0</v>
      </c>
      <c r="AR98" s="116">
        <v>0</v>
      </c>
      <c r="AS98" s="116">
        <v>0</v>
      </c>
      <c r="AT98" s="116">
        <v>0</v>
      </c>
      <c r="AU98" s="116">
        <v>0</v>
      </c>
      <c r="AV98" s="116">
        <v>0</v>
      </c>
      <c r="AW98" s="116">
        <v>0</v>
      </c>
      <c r="AX98" s="116">
        <v>0</v>
      </c>
      <c r="AY98" s="116">
        <v>0</v>
      </c>
    </row>
    <row r="99" spans="1:52" x14ac:dyDescent="0.2">
      <c r="A99" s="134"/>
      <c r="B99" s="138" t="s">
        <v>296</v>
      </c>
      <c r="C99" s="131">
        <v>0</v>
      </c>
      <c r="D99" s="131">
        <v>0</v>
      </c>
      <c r="E99" s="131">
        <v>0</v>
      </c>
      <c r="F99" s="131">
        <v>0</v>
      </c>
      <c r="G99" s="131">
        <v>0</v>
      </c>
      <c r="H99" s="131">
        <v>0</v>
      </c>
      <c r="I99" s="131">
        <v>0</v>
      </c>
      <c r="J99" s="131">
        <v>0</v>
      </c>
      <c r="K99" s="131">
        <v>0</v>
      </c>
      <c r="L99" s="131">
        <v>0</v>
      </c>
      <c r="M99" s="131">
        <v>0</v>
      </c>
      <c r="N99" s="131">
        <v>0</v>
      </c>
      <c r="O99" s="131">
        <v>0</v>
      </c>
      <c r="P99" s="131">
        <v>0</v>
      </c>
      <c r="Q99" s="131">
        <v>0</v>
      </c>
      <c r="R99" s="131">
        <v>0</v>
      </c>
      <c r="S99" s="131">
        <v>0</v>
      </c>
      <c r="T99" s="131">
        <v>0</v>
      </c>
      <c r="U99" s="131">
        <v>0</v>
      </c>
      <c r="V99" s="131">
        <v>0</v>
      </c>
      <c r="W99" s="131">
        <v>0</v>
      </c>
      <c r="X99" s="131">
        <v>0</v>
      </c>
      <c r="Y99" s="131">
        <v>0</v>
      </c>
      <c r="Z99" s="131">
        <v>0</v>
      </c>
      <c r="AA99" s="131">
        <v>0</v>
      </c>
      <c r="AB99" s="131">
        <v>0</v>
      </c>
      <c r="AC99" s="131">
        <v>0</v>
      </c>
      <c r="AD99" s="131">
        <v>0</v>
      </c>
      <c r="AE99" s="131">
        <v>0</v>
      </c>
      <c r="AF99" s="131">
        <v>0</v>
      </c>
      <c r="AG99" s="131">
        <v>0</v>
      </c>
      <c r="AH99" s="131">
        <v>0</v>
      </c>
      <c r="AI99" s="131">
        <v>0</v>
      </c>
      <c r="AJ99" s="131">
        <v>0</v>
      </c>
      <c r="AK99" s="131">
        <v>0</v>
      </c>
      <c r="AL99" s="131">
        <v>0</v>
      </c>
      <c r="AM99" s="131">
        <v>0</v>
      </c>
      <c r="AN99" s="131">
        <v>0</v>
      </c>
      <c r="AO99" s="131">
        <v>0</v>
      </c>
      <c r="AP99" s="131">
        <v>0</v>
      </c>
      <c r="AQ99" s="131">
        <v>0</v>
      </c>
      <c r="AR99" s="131">
        <v>0</v>
      </c>
      <c r="AS99" s="131">
        <v>0</v>
      </c>
      <c r="AT99" s="131">
        <v>0</v>
      </c>
      <c r="AU99" s="131">
        <v>0</v>
      </c>
      <c r="AV99" s="131">
        <v>0</v>
      </c>
      <c r="AW99" s="131">
        <v>0</v>
      </c>
      <c r="AX99" s="131">
        <v>0</v>
      </c>
      <c r="AY99" s="131">
        <v>0</v>
      </c>
      <c r="AZ99" s="113">
        <f>SUM($D99:$AY99)</f>
        <v>0</v>
      </c>
    </row>
    <row r="100" spans="1:52" x14ac:dyDescent="0.2">
      <c r="A100" s="137" t="s">
        <v>133</v>
      </c>
      <c r="B100" s="125">
        <v>1</v>
      </c>
      <c r="C100" s="112">
        <v>21</v>
      </c>
      <c r="D100" s="112">
        <v>21</v>
      </c>
      <c r="E100" s="112">
        <v>0</v>
      </c>
      <c r="F100" s="112">
        <v>11</v>
      </c>
      <c r="G100" s="112">
        <v>11</v>
      </c>
      <c r="H100" s="112">
        <v>11</v>
      </c>
      <c r="I100" s="112">
        <v>11</v>
      </c>
      <c r="J100" s="112">
        <v>11</v>
      </c>
      <c r="K100" s="112">
        <v>11</v>
      </c>
      <c r="L100" s="112">
        <v>11</v>
      </c>
      <c r="M100" s="112">
        <v>11</v>
      </c>
      <c r="N100" s="112">
        <v>0</v>
      </c>
      <c r="O100" s="112">
        <v>11</v>
      </c>
      <c r="P100" s="112">
        <v>0</v>
      </c>
      <c r="Q100" s="112">
        <v>0</v>
      </c>
      <c r="R100" s="112">
        <v>11</v>
      </c>
      <c r="S100" s="112">
        <v>0</v>
      </c>
      <c r="T100" s="112">
        <v>11</v>
      </c>
      <c r="U100" s="112">
        <v>11</v>
      </c>
      <c r="V100" s="112">
        <v>11</v>
      </c>
      <c r="W100" s="112">
        <v>0</v>
      </c>
      <c r="X100" s="112">
        <v>0</v>
      </c>
      <c r="Y100" s="112">
        <v>11</v>
      </c>
      <c r="Z100" s="112">
        <v>0</v>
      </c>
      <c r="AA100" s="112">
        <v>11</v>
      </c>
      <c r="AB100" s="112">
        <v>11</v>
      </c>
      <c r="AC100" s="112">
        <v>11</v>
      </c>
      <c r="AD100" s="112">
        <v>11</v>
      </c>
      <c r="AE100" s="112">
        <v>11</v>
      </c>
      <c r="AF100" s="112">
        <v>11</v>
      </c>
      <c r="AG100" s="112">
        <v>11</v>
      </c>
      <c r="AH100" s="112">
        <v>0</v>
      </c>
      <c r="AI100" s="112">
        <v>11</v>
      </c>
      <c r="AJ100" s="112">
        <v>11</v>
      </c>
      <c r="AK100" s="112">
        <v>0</v>
      </c>
      <c r="AL100" s="112">
        <v>11</v>
      </c>
      <c r="AM100" s="112">
        <v>0</v>
      </c>
      <c r="AN100" s="112">
        <v>11</v>
      </c>
      <c r="AO100" s="112">
        <v>11</v>
      </c>
      <c r="AP100" s="112">
        <v>0</v>
      </c>
      <c r="AQ100" s="112">
        <v>11</v>
      </c>
      <c r="AR100" s="112">
        <v>11</v>
      </c>
      <c r="AS100" s="112">
        <v>0</v>
      </c>
      <c r="AT100" s="112">
        <v>0</v>
      </c>
      <c r="AU100" s="112">
        <v>0</v>
      </c>
      <c r="AV100" s="112">
        <v>0</v>
      </c>
      <c r="AW100" s="112">
        <v>0</v>
      </c>
      <c r="AX100" s="112">
        <v>0</v>
      </c>
      <c r="AY100" s="112">
        <v>0</v>
      </c>
    </row>
    <row r="101" spans="1:52" x14ac:dyDescent="0.2">
      <c r="A101" s="115"/>
      <c r="B101" s="125">
        <v>2</v>
      </c>
      <c r="C101" s="112">
        <v>21</v>
      </c>
      <c r="D101" s="112">
        <v>0</v>
      </c>
      <c r="E101" s="112">
        <v>0</v>
      </c>
      <c r="F101" s="112">
        <v>21</v>
      </c>
      <c r="G101" s="112">
        <v>0</v>
      </c>
      <c r="H101" s="112">
        <v>0</v>
      </c>
      <c r="I101" s="112">
        <v>0</v>
      </c>
      <c r="J101" s="112">
        <v>0</v>
      </c>
      <c r="K101" s="112">
        <v>0</v>
      </c>
      <c r="L101" s="112">
        <v>0</v>
      </c>
      <c r="M101" s="112">
        <v>0</v>
      </c>
      <c r="N101" s="112">
        <v>0</v>
      </c>
      <c r="O101" s="112">
        <v>11</v>
      </c>
      <c r="P101" s="112">
        <v>0</v>
      </c>
      <c r="Q101" s="112">
        <v>11</v>
      </c>
      <c r="R101" s="112">
        <v>0</v>
      </c>
      <c r="S101" s="112">
        <v>0</v>
      </c>
      <c r="T101" s="112">
        <v>0</v>
      </c>
      <c r="U101" s="112">
        <v>0</v>
      </c>
      <c r="V101" s="112">
        <v>0</v>
      </c>
      <c r="W101" s="112">
        <v>0</v>
      </c>
      <c r="X101" s="112">
        <v>0</v>
      </c>
      <c r="Y101" s="112">
        <v>11</v>
      </c>
      <c r="Z101" s="112">
        <v>0</v>
      </c>
      <c r="AA101" s="112">
        <v>0</v>
      </c>
      <c r="AB101" s="112">
        <v>0</v>
      </c>
      <c r="AC101" s="112">
        <v>0</v>
      </c>
      <c r="AD101" s="112">
        <v>0</v>
      </c>
      <c r="AE101" s="112">
        <v>0</v>
      </c>
      <c r="AF101" s="112">
        <v>0</v>
      </c>
      <c r="AG101" s="112">
        <v>0</v>
      </c>
      <c r="AH101" s="112">
        <v>0</v>
      </c>
      <c r="AI101" s="112">
        <v>11</v>
      </c>
      <c r="AJ101" s="112">
        <v>0</v>
      </c>
      <c r="AK101" s="112">
        <v>0</v>
      </c>
      <c r="AL101" s="112">
        <v>11</v>
      </c>
      <c r="AM101" s="112">
        <v>0</v>
      </c>
      <c r="AN101" s="112">
        <v>0</v>
      </c>
      <c r="AO101" s="112">
        <v>0</v>
      </c>
      <c r="AP101" s="112">
        <v>0</v>
      </c>
      <c r="AQ101" s="112">
        <v>0</v>
      </c>
      <c r="AR101" s="112">
        <v>0</v>
      </c>
      <c r="AS101" s="112">
        <v>0</v>
      </c>
      <c r="AT101" s="112">
        <v>11</v>
      </c>
      <c r="AU101" s="112">
        <v>0</v>
      </c>
      <c r="AV101" s="112">
        <v>0</v>
      </c>
      <c r="AW101" s="112">
        <v>11</v>
      </c>
      <c r="AX101" s="112">
        <v>11</v>
      </c>
      <c r="AY101" s="112">
        <v>11</v>
      </c>
    </row>
    <row r="102" spans="1:52" x14ac:dyDescent="0.2">
      <c r="A102" s="115"/>
      <c r="B102" s="126">
        <v>3</v>
      </c>
      <c r="C102" s="112">
        <v>0</v>
      </c>
      <c r="D102" s="112">
        <v>0</v>
      </c>
      <c r="E102" s="112">
        <v>0</v>
      </c>
      <c r="F102" s="112">
        <v>0</v>
      </c>
      <c r="G102" s="112">
        <v>0</v>
      </c>
      <c r="H102" s="112">
        <v>0</v>
      </c>
      <c r="I102" s="112">
        <v>0</v>
      </c>
      <c r="J102" s="112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112">
        <v>0</v>
      </c>
      <c r="R102" s="112">
        <v>0</v>
      </c>
      <c r="S102" s="112">
        <v>11</v>
      </c>
      <c r="T102" s="112">
        <v>0</v>
      </c>
      <c r="U102" s="112">
        <v>11</v>
      </c>
      <c r="V102" s="112">
        <v>0</v>
      </c>
      <c r="W102" s="112">
        <v>0</v>
      </c>
      <c r="X102" s="112">
        <v>0</v>
      </c>
      <c r="Y102" s="112">
        <v>11</v>
      </c>
      <c r="Z102" s="112">
        <v>0</v>
      </c>
      <c r="AA102" s="112">
        <v>0</v>
      </c>
      <c r="AB102" s="112">
        <v>11</v>
      </c>
      <c r="AC102" s="112">
        <v>0</v>
      </c>
      <c r="AD102" s="112">
        <v>0</v>
      </c>
      <c r="AE102" s="112">
        <v>0</v>
      </c>
      <c r="AF102" s="112">
        <v>0</v>
      </c>
      <c r="AG102" s="112">
        <v>0</v>
      </c>
      <c r="AH102" s="112">
        <v>0</v>
      </c>
      <c r="AI102" s="112">
        <v>0</v>
      </c>
      <c r="AJ102" s="112">
        <v>0</v>
      </c>
      <c r="AK102" s="112">
        <v>0</v>
      </c>
      <c r="AL102" s="112">
        <v>0</v>
      </c>
      <c r="AM102" s="112">
        <v>0</v>
      </c>
      <c r="AN102" s="112">
        <v>0</v>
      </c>
      <c r="AO102" s="112">
        <v>0</v>
      </c>
      <c r="AP102" s="112">
        <v>0</v>
      </c>
      <c r="AQ102" s="112">
        <v>0</v>
      </c>
      <c r="AR102" s="112">
        <v>11</v>
      </c>
      <c r="AS102" s="112">
        <v>0</v>
      </c>
      <c r="AT102" s="112">
        <v>0</v>
      </c>
      <c r="AU102" s="112">
        <v>0</v>
      </c>
      <c r="AV102" s="112">
        <v>11</v>
      </c>
      <c r="AW102" s="112">
        <v>11</v>
      </c>
      <c r="AX102" s="112">
        <v>0</v>
      </c>
      <c r="AY102" s="112">
        <v>0</v>
      </c>
    </row>
    <row r="103" spans="1:52" x14ac:dyDescent="0.2">
      <c r="A103" s="115"/>
      <c r="B103" s="126">
        <v>4</v>
      </c>
      <c r="C103" s="112">
        <v>0</v>
      </c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>
        <v>0</v>
      </c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296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3364.1132171732038</v>
      </c>
      <c r="D109" s="112">
        <v>3380.6676020090999</v>
      </c>
      <c r="E109" s="112">
        <v>3506.2671028178538</v>
      </c>
      <c r="F109" s="112">
        <v>3582.0690247036514</v>
      </c>
      <c r="G109" s="112">
        <v>3645.2897134387431</v>
      </c>
      <c r="H109" s="112">
        <v>3708.3920767346049</v>
      </c>
      <c r="I109" s="112">
        <v>3614.9371620694637</v>
      </c>
      <c r="J109" s="112">
        <v>3528.4896961419267</v>
      </c>
      <c r="K109" s="112">
        <v>3452.0812165469392</v>
      </c>
      <c r="L109" s="112">
        <v>3431.9655293217488</v>
      </c>
      <c r="M109" s="112">
        <v>3381.587130033372</v>
      </c>
      <c r="N109" s="112">
        <v>3399.8880135341942</v>
      </c>
      <c r="O109" s="112">
        <v>3413.700740977808</v>
      </c>
      <c r="P109" s="112">
        <v>3441.9356691331604</v>
      </c>
      <c r="Q109" s="112">
        <v>3562.937414863412</v>
      </c>
      <c r="R109" s="112">
        <v>3639.1383127218378</v>
      </c>
      <c r="S109" s="112">
        <v>3675.8603156037689</v>
      </c>
      <c r="T109" s="112">
        <v>3705.2198281305191</v>
      </c>
      <c r="U109" s="112">
        <v>3602.1773821917864</v>
      </c>
      <c r="V109" s="112">
        <v>3539.8993225207605</v>
      </c>
      <c r="W109" s="112">
        <v>3436.0767931853816</v>
      </c>
      <c r="X109" s="112">
        <v>3403.2952000788673</v>
      </c>
      <c r="Y109" s="112">
        <v>3349.2961766391404</v>
      </c>
      <c r="Z109" s="112">
        <v>3167.5096719400481</v>
      </c>
      <c r="AA109" s="112">
        <v>3067.3323857566056</v>
      </c>
      <c r="AB109" s="112">
        <v>3009.4674726046933</v>
      </c>
      <c r="AC109" s="112">
        <v>3048.5664986793249</v>
      </c>
      <c r="AD109" s="112">
        <v>2996.4681377672155</v>
      </c>
      <c r="AE109" s="112">
        <v>2934.2271277946988</v>
      </c>
      <c r="AF109" s="112">
        <v>2924.3778855515234</v>
      </c>
      <c r="AG109" s="112">
        <v>2779.1535304253384</v>
      </c>
      <c r="AH109" s="112">
        <v>2979.6177176974802</v>
      </c>
      <c r="AI109" s="112">
        <v>3123.2208394479135</v>
      </c>
      <c r="AJ109" s="112">
        <v>3228.1501001490046</v>
      </c>
      <c r="AK109" s="112">
        <v>3300.5120461487809</v>
      </c>
      <c r="AL109" s="112">
        <v>3365.6569818311327</v>
      </c>
      <c r="AM109" s="112">
        <v>3415.6608359174279</v>
      </c>
      <c r="AN109" s="112">
        <v>3430.8824160142881</v>
      </c>
      <c r="AO109" s="112">
        <v>3582.2836093696706</v>
      </c>
      <c r="AP109" s="112">
        <v>3650.9029029549765</v>
      </c>
      <c r="AQ109" s="112">
        <v>3667.0258821066759</v>
      </c>
      <c r="AR109" s="112">
        <v>3704.6459293056714</v>
      </c>
      <c r="AS109" s="112">
        <v>3592.1146701682883</v>
      </c>
      <c r="AT109" s="112">
        <v>3481.6351456019279</v>
      </c>
      <c r="AU109" s="112">
        <v>3393.9432760572336</v>
      </c>
      <c r="AV109" s="112">
        <v>3331.736330932431</v>
      </c>
      <c r="AW109" s="112">
        <v>3284.5009053930066</v>
      </c>
      <c r="AX109" s="112">
        <v>3322.1092931427511</v>
      </c>
      <c r="AY109" s="112">
        <v>3357.8677345697893</v>
      </c>
    </row>
    <row r="110" spans="1:52" x14ac:dyDescent="0.2">
      <c r="A110" s="115"/>
      <c r="B110" s="125">
        <v>2</v>
      </c>
      <c r="C110" s="112">
        <v>3333.6989896640175</v>
      </c>
      <c r="D110" s="112">
        <v>3364.1132171732038</v>
      </c>
      <c r="E110" s="112">
        <v>3380.6676020090999</v>
      </c>
      <c r="F110" s="112">
        <v>3506.2671028178538</v>
      </c>
      <c r="G110" s="112">
        <v>3582.0690247036514</v>
      </c>
      <c r="H110" s="112">
        <v>3645.2897134387431</v>
      </c>
      <c r="I110" s="112">
        <v>3708.3920767346049</v>
      </c>
      <c r="J110" s="112">
        <v>3614.9371620694637</v>
      </c>
      <c r="K110" s="112">
        <v>3528.4896961419267</v>
      </c>
      <c r="L110" s="112">
        <v>3452.0812165469392</v>
      </c>
      <c r="M110" s="112">
        <v>3431.9655293217488</v>
      </c>
      <c r="N110" s="112">
        <v>3381.587130033372</v>
      </c>
      <c r="O110" s="112">
        <v>3399.8880135341942</v>
      </c>
      <c r="P110" s="112">
        <v>3413.700740977808</v>
      </c>
      <c r="Q110" s="112">
        <v>3441.9356691331604</v>
      </c>
      <c r="R110" s="112">
        <v>3562.937414863412</v>
      </c>
      <c r="S110" s="112">
        <v>3639.1383127218378</v>
      </c>
      <c r="T110" s="112">
        <v>3675.8603156037689</v>
      </c>
      <c r="U110" s="112">
        <v>3705.2198281305191</v>
      </c>
      <c r="V110" s="112">
        <v>3602.1773821917864</v>
      </c>
      <c r="W110" s="112">
        <v>3539.8993225207605</v>
      </c>
      <c r="X110" s="112">
        <v>3436.0767931853816</v>
      </c>
      <c r="Y110" s="112">
        <v>3403.2952000788673</v>
      </c>
      <c r="Z110" s="112">
        <v>3349.2961766391404</v>
      </c>
      <c r="AA110" s="112">
        <v>3167.5096719400481</v>
      </c>
      <c r="AB110" s="112">
        <v>3067.3323857566056</v>
      </c>
      <c r="AC110" s="112">
        <v>3009.4674726046933</v>
      </c>
      <c r="AD110" s="112">
        <v>3048.5664986793249</v>
      </c>
      <c r="AE110" s="112">
        <v>2996.4681377672155</v>
      </c>
      <c r="AF110" s="112">
        <v>2934.2271277946988</v>
      </c>
      <c r="AG110" s="112">
        <v>2924.3778855515234</v>
      </c>
      <c r="AH110" s="112">
        <v>2779.1535304253384</v>
      </c>
      <c r="AI110" s="112">
        <v>2979.6177176974802</v>
      </c>
      <c r="AJ110" s="112">
        <v>3123.2208394479135</v>
      </c>
      <c r="AK110" s="112">
        <v>3228.1501001490046</v>
      </c>
      <c r="AL110" s="112">
        <v>3300.5120461487809</v>
      </c>
      <c r="AM110" s="112">
        <v>3365.6569818311327</v>
      </c>
      <c r="AN110" s="112">
        <v>3415.6608359174279</v>
      </c>
      <c r="AO110" s="112">
        <v>3430.8824160142881</v>
      </c>
      <c r="AP110" s="112">
        <v>3582.2836093696706</v>
      </c>
      <c r="AQ110" s="112">
        <v>3650.9029029549765</v>
      </c>
      <c r="AR110" s="112">
        <v>3667.0258821066759</v>
      </c>
      <c r="AS110" s="112">
        <v>3704.6459293056714</v>
      </c>
      <c r="AT110" s="112">
        <v>3592.1146701682883</v>
      </c>
      <c r="AU110" s="112">
        <v>3481.6351456019279</v>
      </c>
      <c r="AV110" s="112">
        <v>3393.9432760572336</v>
      </c>
      <c r="AW110" s="112">
        <v>3331.736330932431</v>
      </c>
      <c r="AX110" s="112">
        <v>3284.5009053930066</v>
      </c>
      <c r="AY110" s="112">
        <v>3322.1092931427511</v>
      </c>
    </row>
    <row r="111" spans="1:52" x14ac:dyDescent="0.2">
      <c r="A111" s="115"/>
      <c r="B111" s="125">
        <v>3</v>
      </c>
      <c r="C111" s="112">
        <v>3297.0393859269416</v>
      </c>
      <c r="D111" s="112">
        <v>3333.6989896640175</v>
      </c>
      <c r="E111" s="112">
        <v>3364.1132171732038</v>
      </c>
      <c r="F111" s="112">
        <v>3380.6676020090999</v>
      </c>
      <c r="G111" s="112">
        <v>3506.2671028178538</v>
      </c>
      <c r="H111" s="112">
        <v>3582.0690247036514</v>
      </c>
      <c r="I111" s="112">
        <v>3645.2897134387431</v>
      </c>
      <c r="J111" s="112">
        <v>3708.3920767346049</v>
      </c>
      <c r="K111" s="112">
        <v>3614.9371620694637</v>
      </c>
      <c r="L111" s="112">
        <v>3528.4896961419267</v>
      </c>
      <c r="M111" s="112">
        <v>3452.0812165469392</v>
      </c>
      <c r="N111" s="112">
        <v>3431.9655293217488</v>
      </c>
      <c r="O111" s="112">
        <v>3381.587130033372</v>
      </c>
      <c r="P111" s="112">
        <v>3399.8880135341942</v>
      </c>
      <c r="Q111" s="112">
        <v>3413.700740977808</v>
      </c>
      <c r="R111" s="112">
        <v>3441.9356691331604</v>
      </c>
      <c r="S111" s="112">
        <v>3562.937414863412</v>
      </c>
      <c r="T111" s="112">
        <v>3639.1383127218378</v>
      </c>
      <c r="U111" s="112">
        <v>3675.8603156037689</v>
      </c>
      <c r="V111" s="112">
        <v>3705.2198281305191</v>
      </c>
      <c r="W111" s="112">
        <v>3602.1773821917864</v>
      </c>
      <c r="X111" s="112">
        <v>3539.8993225207605</v>
      </c>
      <c r="Y111" s="112">
        <v>3436.0767931853816</v>
      </c>
      <c r="Z111" s="112">
        <v>3403.2952000788673</v>
      </c>
      <c r="AA111" s="112">
        <v>3349.2961766391404</v>
      </c>
      <c r="AB111" s="112">
        <v>3167.5096719400481</v>
      </c>
      <c r="AC111" s="112">
        <v>3067.3323857566056</v>
      </c>
      <c r="AD111" s="112">
        <v>3009.4674726046933</v>
      </c>
      <c r="AE111" s="112">
        <v>3048.5664986793249</v>
      </c>
      <c r="AF111" s="112">
        <v>2996.4681377672155</v>
      </c>
      <c r="AG111" s="112">
        <v>2934.2271277946988</v>
      </c>
      <c r="AH111" s="112">
        <v>2924.3778855515234</v>
      </c>
      <c r="AI111" s="112">
        <v>2779.1535304253384</v>
      </c>
      <c r="AJ111" s="112">
        <v>2979.6177176974802</v>
      </c>
      <c r="AK111" s="112">
        <v>3123.2208394479135</v>
      </c>
      <c r="AL111" s="112">
        <v>3228.1501001490046</v>
      </c>
      <c r="AM111" s="112">
        <v>3300.5120461487809</v>
      </c>
      <c r="AN111" s="112">
        <v>3365.6569818311327</v>
      </c>
      <c r="AO111" s="112">
        <v>3415.6608359174279</v>
      </c>
      <c r="AP111" s="112">
        <v>3430.8824160142881</v>
      </c>
      <c r="AQ111" s="112">
        <v>3582.2836093696706</v>
      </c>
      <c r="AR111" s="112">
        <v>3650.9029029549765</v>
      </c>
      <c r="AS111" s="112">
        <v>3667.0258821066759</v>
      </c>
      <c r="AT111" s="112">
        <v>3704.6459293056714</v>
      </c>
      <c r="AU111" s="112">
        <v>3592.1146701682883</v>
      </c>
      <c r="AV111" s="112">
        <v>3481.6351456019279</v>
      </c>
      <c r="AW111" s="112">
        <v>3393.9432760572336</v>
      </c>
      <c r="AX111" s="112">
        <v>3331.736330932431</v>
      </c>
      <c r="AY111" s="112">
        <v>3284.5009053930066</v>
      </c>
    </row>
    <row r="112" spans="1:52" x14ac:dyDescent="0.2">
      <c r="A112" s="115"/>
      <c r="B112" s="126">
        <v>4</v>
      </c>
      <c r="C112" s="112">
        <v>3305.2748936221369</v>
      </c>
      <c r="D112" s="112">
        <v>3297.0393859269416</v>
      </c>
      <c r="E112" s="112">
        <v>3333.6989896640175</v>
      </c>
      <c r="F112" s="112">
        <v>3364.1132171732038</v>
      </c>
      <c r="G112" s="112">
        <v>3380.6676020090999</v>
      </c>
      <c r="H112" s="112">
        <v>3506.2671028178538</v>
      </c>
      <c r="I112" s="112">
        <v>3582.0690247036514</v>
      </c>
      <c r="J112" s="112">
        <v>3645.2897134387431</v>
      </c>
      <c r="K112" s="112">
        <v>3708.3920767346049</v>
      </c>
      <c r="L112" s="112">
        <v>3614.9371620694637</v>
      </c>
      <c r="M112" s="112">
        <v>3528.4896961419267</v>
      </c>
      <c r="N112" s="112">
        <v>3452.0812165469392</v>
      </c>
      <c r="O112" s="112">
        <v>3431.9655293217488</v>
      </c>
      <c r="P112" s="112">
        <v>3381.587130033372</v>
      </c>
      <c r="Q112" s="112">
        <v>3399.8880135341942</v>
      </c>
      <c r="R112" s="112">
        <v>3413.700740977808</v>
      </c>
      <c r="S112" s="112">
        <v>3441.9356691331604</v>
      </c>
      <c r="T112" s="112">
        <v>3562.937414863412</v>
      </c>
      <c r="U112" s="112">
        <v>3639.1383127218378</v>
      </c>
      <c r="V112" s="112">
        <v>3675.8603156037689</v>
      </c>
      <c r="W112" s="112">
        <v>3705.2198281305191</v>
      </c>
      <c r="X112" s="112">
        <v>3602.1773821917864</v>
      </c>
      <c r="Y112" s="112">
        <v>3539.8993225207605</v>
      </c>
      <c r="Z112" s="112">
        <v>3436.0767931853816</v>
      </c>
      <c r="AA112" s="112">
        <v>3403.2952000788673</v>
      </c>
      <c r="AB112" s="112">
        <v>3349.2961766391404</v>
      </c>
      <c r="AC112" s="112">
        <v>3167.5096719400481</v>
      </c>
      <c r="AD112" s="112">
        <v>3067.3323857566056</v>
      </c>
      <c r="AE112" s="112">
        <v>3009.4674726046933</v>
      </c>
      <c r="AF112" s="112">
        <v>3048.5664986793249</v>
      </c>
      <c r="AG112" s="112">
        <v>2996.4681377672155</v>
      </c>
      <c r="AH112" s="112">
        <v>2934.2271277946988</v>
      </c>
      <c r="AI112" s="112">
        <v>2924.3778855515234</v>
      </c>
      <c r="AJ112" s="112">
        <v>2779.1535304253384</v>
      </c>
      <c r="AK112" s="112">
        <v>2979.6177176974802</v>
      </c>
      <c r="AL112" s="112">
        <v>3123.2208394479135</v>
      </c>
      <c r="AM112" s="112">
        <v>3228.1501001490046</v>
      </c>
      <c r="AN112" s="112">
        <v>3300.5120461487809</v>
      </c>
      <c r="AO112" s="112">
        <v>3365.6569818311327</v>
      </c>
      <c r="AP112" s="112">
        <v>3415.6608359174279</v>
      </c>
      <c r="AQ112" s="112">
        <v>3430.8824160142881</v>
      </c>
      <c r="AR112" s="112">
        <v>3582.2836093696706</v>
      </c>
      <c r="AS112" s="112">
        <v>3650.9029029549765</v>
      </c>
      <c r="AT112" s="112">
        <v>3667.0258821066759</v>
      </c>
      <c r="AU112" s="112">
        <v>3704.6459293056714</v>
      </c>
      <c r="AV112" s="112">
        <v>3592.1146701682883</v>
      </c>
      <c r="AW112" s="112">
        <v>3481.6351456019279</v>
      </c>
      <c r="AX112" s="112">
        <v>3393.9432760572336</v>
      </c>
      <c r="AY112" s="112">
        <v>3331.736330932431</v>
      </c>
    </row>
    <row r="113" spans="1:52" x14ac:dyDescent="0.2">
      <c r="A113" s="115"/>
      <c r="B113" s="126">
        <v>5</v>
      </c>
      <c r="C113" s="112">
        <v>3370.6132790928114</v>
      </c>
      <c r="D113" s="112">
        <v>3305.2748936221369</v>
      </c>
      <c r="E113" s="112">
        <v>3297.0393859269416</v>
      </c>
      <c r="F113" s="112">
        <v>3333.6989896640175</v>
      </c>
      <c r="G113" s="112">
        <v>3364.1132171732038</v>
      </c>
      <c r="H113" s="112">
        <v>3380.6676020090999</v>
      </c>
      <c r="I113" s="112">
        <v>3506.2671028178538</v>
      </c>
      <c r="J113" s="112">
        <v>3582.0690247036514</v>
      </c>
      <c r="K113" s="112">
        <v>3645.2897134387431</v>
      </c>
      <c r="L113" s="112">
        <v>3708.3920767346049</v>
      </c>
      <c r="M113" s="112">
        <v>3614.9371620694637</v>
      </c>
      <c r="N113" s="112">
        <v>3528.4896961419267</v>
      </c>
      <c r="O113" s="112">
        <v>3452.0812165469392</v>
      </c>
      <c r="P113" s="112">
        <v>3431.9655293217488</v>
      </c>
      <c r="Q113" s="112">
        <v>3381.587130033372</v>
      </c>
      <c r="R113" s="112">
        <v>3399.8880135341942</v>
      </c>
      <c r="S113" s="112">
        <v>3413.700740977808</v>
      </c>
      <c r="T113" s="112">
        <v>3441.9356691331604</v>
      </c>
      <c r="U113" s="112">
        <v>3562.937414863412</v>
      </c>
      <c r="V113" s="112">
        <v>3639.1383127218378</v>
      </c>
      <c r="W113" s="112">
        <v>3675.8603156037689</v>
      </c>
      <c r="X113" s="112">
        <v>3705.2198281305191</v>
      </c>
      <c r="Y113" s="112">
        <v>3602.1773821917864</v>
      </c>
      <c r="Z113" s="112">
        <v>3539.8993225207605</v>
      </c>
      <c r="AA113" s="112">
        <v>3436.0767931853816</v>
      </c>
      <c r="AB113" s="112">
        <v>3403.2952000788673</v>
      </c>
      <c r="AC113" s="112">
        <v>3349.2961766391404</v>
      </c>
      <c r="AD113" s="112">
        <v>3167.5096719400481</v>
      </c>
      <c r="AE113" s="112">
        <v>3067.3323857566056</v>
      </c>
      <c r="AF113" s="112">
        <v>3009.4674726046933</v>
      </c>
      <c r="AG113" s="112">
        <v>3048.5664986793249</v>
      </c>
      <c r="AH113" s="112">
        <v>2996.4681377672155</v>
      </c>
      <c r="AI113" s="112">
        <v>2934.2271277946988</v>
      </c>
      <c r="AJ113" s="112">
        <v>2924.3778855515234</v>
      </c>
      <c r="AK113" s="112">
        <v>2779.1535304253384</v>
      </c>
      <c r="AL113" s="112">
        <v>2979.6177176974802</v>
      </c>
      <c r="AM113" s="112">
        <v>3123.2208394479135</v>
      </c>
      <c r="AN113" s="112">
        <v>3228.1501001490046</v>
      </c>
      <c r="AO113" s="112">
        <v>3300.5120461487809</v>
      </c>
      <c r="AP113" s="112">
        <v>3365.6569818311327</v>
      </c>
      <c r="AQ113" s="112">
        <v>3415.6608359174279</v>
      </c>
      <c r="AR113" s="112">
        <v>3430.8824160142881</v>
      </c>
      <c r="AS113" s="112">
        <v>3582.2836093696706</v>
      </c>
      <c r="AT113" s="112">
        <v>3650.9029029549765</v>
      </c>
      <c r="AU113" s="112">
        <v>3667.0258821066759</v>
      </c>
      <c r="AV113" s="112">
        <v>3704.6459293056714</v>
      </c>
      <c r="AW113" s="112">
        <v>3592.1146701682883</v>
      </c>
      <c r="AX113" s="112">
        <v>3481.6351456019279</v>
      </c>
      <c r="AY113" s="112">
        <v>3393.9432760572336</v>
      </c>
    </row>
    <row r="114" spans="1:52" x14ac:dyDescent="0.2">
      <c r="A114" s="115"/>
      <c r="B114" s="126">
        <v>6</v>
      </c>
      <c r="C114" s="112">
        <v>3470.7223105272024</v>
      </c>
      <c r="D114" s="112">
        <v>3370.6132790928114</v>
      </c>
      <c r="E114" s="112">
        <v>3305.2748936221369</v>
      </c>
      <c r="F114" s="112">
        <v>3297.0393859269416</v>
      </c>
      <c r="G114" s="112">
        <v>3333.6989896640175</v>
      </c>
      <c r="H114" s="112">
        <v>3364.1132171732038</v>
      </c>
      <c r="I114" s="112">
        <v>3380.6676020090999</v>
      </c>
      <c r="J114" s="112">
        <v>3506.2671028178538</v>
      </c>
      <c r="K114" s="112">
        <v>3582.0690247036514</v>
      </c>
      <c r="L114" s="112">
        <v>3645.2897134387431</v>
      </c>
      <c r="M114" s="112">
        <v>3708.3920767346049</v>
      </c>
      <c r="N114" s="112">
        <v>3614.9371620694637</v>
      </c>
      <c r="O114" s="112">
        <v>3528.4896961419267</v>
      </c>
      <c r="P114" s="112">
        <v>3452.0812165469392</v>
      </c>
      <c r="Q114" s="112">
        <v>3431.9655293217488</v>
      </c>
      <c r="R114" s="112">
        <v>3381.587130033372</v>
      </c>
      <c r="S114" s="112">
        <v>3399.8880135341942</v>
      </c>
      <c r="T114" s="112">
        <v>3413.700740977808</v>
      </c>
      <c r="U114" s="112">
        <v>3441.9356691331604</v>
      </c>
      <c r="V114" s="112">
        <v>3562.937414863412</v>
      </c>
      <c r="W114" s="112">
        <v>3639.1383127218378</v>
      </c>
      <c r="X114" s="112">
        <v>3675.8603156037689</v>
      </c>
      <c r="Y114" s="112">
        <v>3705.2198281305191</v>
      </c>
      <c r="Z114" s="112">
        <v>3602.1773821917864</v>
      </c>
      <c r="AA114" s="112">
        <v>3539.8993225207605</v>
      </c>
      <c r="AB114" s="112">
        <v>3436.0767931853816</v>
      </c>
      <c r="AC114" s="112">
        <v>3403.2952000788673</v>
      </c>
      <c r="AD114" s="112">
        <v>3349.2961766391404</v>
      </c>
      <c r="AE114" s="112">
        <v>3167.5096719400481</v>
      </c>
      <c r="AF114" s="112">
        <v>3067.3323857566056</v>
      </c>
      <c r="AG114" s="112">
        <v>3009.4674726046933</v>
      </c>
      <c r="AH114" s="112">
        <v>3048.5664986793249</v>
      </c>
      <c r="AI114" s="112">
        <v>2996.4681377672155</v>
      </c>
      <c r="AJ114" s="112">
        <v>2934.2271277946988</v>
      </c>
      <c r="AK114" s="112">
        <v>2924.3778855515234</v>
      </c>
      <c r="AL114" s="112">
        <v>2779.1535304253384</v>
      </c>
      <c r="AM114" s="112">
        <v>2979.6177176974802</v>
      </c>
      <c r="AN114" s="112">
        <v>3123.2208394479135</v>
      </c>
      <c r="AO114" s="112">
        <v>3228.1501001490046</v>
      </c>
      <c r="AP114" s="112">
        <v>3300.5120461487809</v>
      </c>
      <c r="AQ114" s="112">
        <v>3365.6569818311327</v>
      </c>
      <c r="AR114" s="112">
        <v>3415.6608359174279</v>
      </c>
      <c r="AS114" s="112">
        <v>3430.8824160142881</v>
      </c>
      <c r="AT114" s="112">
        <v>3582.2836093696706</v>
      </c>
      <c r="AU114" s="112">
        <v>3650.9029029549765</v>
      </c>
      <c r="AV114" s="112">
        <v>3667.0258821066759</v>
      </c>
      <c r="AW114" s="112">
        <v>3704.6459293056714</v>
      </c>
      <c r="AX114" s="112">
        <v>3592.1146701682883</v>
      </c>
      <c r="AY114" s="112">
        <v>3481.6351456019279</v>
      </c>
    </row>
    <row r="115" spans="1:52" x14ac:dyDescent="0.2">
      <c r="A115" s="115"/>
      <c r="B115" s="133">
        <v>7</v>
      </c>
      <c r="C115" s="112">
        <v>3572.3930959802615</v>
      </c>
      <c r="D115" s="112">
        <v>3470.7223105272024</v>
      </c>
      <c r="E115" s="112">
        <v>3370.6132790928114</v>
      </c>
      <c r="F115" s="112">
        <v>3305.2748936221369</v>
      </c>
      <c r="G115" s="112">
        <v>3297.0393859269416</v>
      </c>
      <c r="H115" s="112">
        <v>3333.6989896640175</v>
      </c>
      <c r="I115" s="112">
        <v>3364.1132171732038</v>
      </c>
      <c r="J115" s="112">
        <v>3380.6676020090999</v>
      </c>
      <c r="K115" s="112">
        <v>3506.2671028178538</v>
      </c>
      <c r="L115" s="112">
        <v>3582.0690247036514</v>
      </c>
      <c r="M115" s="112">
        <v>3645.2897134387431</v>
      </c>
      <c r="N115" s="112">
        <v>3708.3920767346049</v>
      </c>
      <c r="O115" s="112">
        <v>3614.9371620694637</v>
      </c>
      <c r="P115" s="112">
        <v>3528.4896961419267</v>
      </c>
      <c r="Q115" s="112">
        <v>3452.0812165469392</v>
      </c>
      <c r="R115" s="112">
        <v>3431.9655293217488</v>
      </c>
      <c r="S115" s="112">
        <v>3381.587130033372</v>
      </c>
      <c r="T115" s="112">
        <v>3399.8880135341942</v>
      </c>
      <c r="U115" s="112">
        <v>3413.700740977808</v>
      </c>
      <c r="V115" s="112">
        <v>3441.9356691331604</v>
      </c>
      <c r="W115" s="112">
        <v>3562.937414863412</v>
      </c>
      <c r="X115" s="112">
        <v>3639.1383127218378</v>
      </c>
      <c r="Y115" s="112">
        <v>3675.8603156037689</v>
      </c>
      <c r="Z115" s="112">
        <v>3705.2198281305191</v>
      </c>
      <c r="AA115" s="112">
        <v>3602.1773821917864</v>
      </c>
      <c r="AB115" s="112">
        <v>3539.8993225207605</v>
      </c>
      <c r="AC115" s="112">
        <v>3436.0767931853816</v>
      </c>
      <c r="AD115" s="112">
        <v>3403.2952000788673</v>
      </c>
      <c r="AE115" s="112">
        <v>3349.2961766391404</v>
      </c>
      <c r="AF115" s="112">
        <v>3167.5096719400481</v>
      </c>
      <c r="AG115" s="112">
        <v>3067.3323857566056</v>
      </c>
      <c r="AH115" s="112">
        <v>3009.4674726046933</v>
      </c>
      <c r="AI115" s="112">
        <v>3048.5664986793249</v>
      </c>
      <c r="AJ115" s="112">
        <v>2996.4681377672155</v>
      </c>
      <c r="AK115" s="112">
        <v>2934.2271277946988</v>
      </c>
      <c r="AL115" s="112">
        <v>2924.3778855515234</v>
      </c>
      <c r="AM115" s="112">
        <v>2779.1535304253384</v>
      </c>
      <c r="AN115" s="112">
        <v>2979.6177176974802</v>
      </c>
      <c r="AO115" s="112">
        <v>3123.2208394479135</v>
      </c>
      <c r="AP115" s="112">
        <v>3228.1501001490046</v>
      </c>
      <c r="AQ115" s="112">
        <v>3300.5120461487809</v>
      </c>
      <c r="AR115" s="112">
        <v>3365.6569818311327</v>
      </c>
      <c r="AS115" s="112">
        <v>3415.6608359174279</v>
      </c>
      <c r="AT115" s="112">
        <v>3430.8824160142881</v>
      </c>
      <c r="AU115" s="112">
        <v>3582.2836093696706</v>
      </c>
      <c r="AV115" s="112">
        <v>3650.9029029549765</v>
      </c>
      <c r="AW115" s="112">
        <v>3667.0258821066759</v>
      </c>
      <c r="AX115" s="112">
        <v>3704.6459293056714</v>
      </c>
      <c r="AY115" s="112">
        <v>3592.1146701682883</v>
      </c>
    </row>
    <row r="116" spans="1:52" x14ac:dyDescent="0.2">
      <c r="A116" s="115"/>
      <c r="B116" s="133">
        <v>8</v>
      </c>
      <c r="C116" s="112">
        <v>3704.7852907878287</v>
      </c>
      <c r="D116" s="112">
        <v>3572.3930959802615</v>
      </c>
      <c r="E116" s="112">
        <v>3470.7223105272024</v>
      </c>
      <c r="F116" s="112">
        <v>3370.6132790928114</v>
      </c>
      <c r="G116" s="112">
        <v>3305.2748936221369</v>
      </c>
      <c r="H116" s="112">
        <v>3297.0393859269416</v>
      </c>
      <c r="I116" s="112">
        <v>3333.6989896640175</v>
      </c>
      <c r="J116" s="112">
        <v>3364.1132171732038</v>
      </c>
      <c r="K116" s="112">
        <v>3380.6676020090999</v>
      </c>
      <c r="L116" s="112">
        <v>3506.2671028178538</v>
      </c>
      <c r="M116" s="112">
        <v>3582.0690247036514</v>
      </c>
      <c r="N116" s="112">
        <v>3645.2897134387431</v>
      </c>
      <c r="O116" s="112">
        <v>3708.3920767346049</v>
      </c>
      <c r="P116" s="112">
        <v>3614.9371620694637</v>
      </c>
      <c r="Q116" s="112">
        <v>3528.4896961419267</v>
      </c>
      <c r="R116" s="112">
        <v>3452.0812165469392</v>
      </c>
      <c r="S116" s="112">
        <v>3431.9655293217488</v>
      </c>
      <c r="T116" s="112">
        <v>3381.587130033372</v>
      </c>
      <c r="U116" s="112">
        <v>3399.8880135341942</v>
      </c>
      <c r="V116" s="112">
        <v>3413.700740977808</v>
      </c>
      <c r="W116" s="112">
        <v>3441.9356691331604</v>
      </c>
      <c r="X116" s="112">
        <v>3562.937414863412</v>
      </c>
      <c r="Y116" s="112">
        <v>3639.1383127218378</v>
      </c>
      <c r="Z116" s="112">
        <v>3675.8603156037689</v>
      </c>
      <c r="AA116" s="112">
        <v>3705.2198281305191</v>
      </c>
      <c r="AB116" s="112">
        <v>3602.1773821917864</v>
      </c>
      <c r="AC116" s="112">
        <v>3539.8993225207605</v>
      </c>
      <c r="AD116" s="112">
        <v>3436.0767931853816</v>
      </c>
      <c r="AE116" s="112">
        <v>3403.2952000788673</v>
      </c>
      <c r="AF116" s="112">
        <v>3349.2961766391404</v>
      </c>
      <c r="AG116" s="112">
        <v>3167.5096719400481</v>
      </c>
      <c r="AH116" s="112">
        <v>3067.3323857566056</v>
      </c>
      <c r="AI116" s="112">
        <v>3009.4674726046933</v>
      </c>
      <c r="AJ116" s="112">
        <v>3048.5664986793249</v>
      </c>
      <c r="AK116" s="112">
        <v>2996.4681377672155</v>
      </c>
      <c r="AL116" s="112">
        <v>2934.2271277946988</v>
      </c>
      <c r="AM116" s="112">
        <v>2924.3778855515234</v>
      </c>
      <c r="AN116" s="112">
        <v>2779.1535304253384</v>
      </c>
      <c r="AO116" s="112">
        <v>2979.6177176974802</v>
      </c>
      <c r="AP116" s="112">
        <v>3123.2208394479135</v>
      </c>
      <c r="AQ116" s="112">
        <v>3228.1501001490046</v>
      </c>
      <c r="AR116" s="112">
        <v>3300.5120461487809</v>
      </c>
      <c r="AS116" s="112">
        <v>3365.6569818311327</v>
      </c>
      <c r="AT116" s="112">
        <v>3415.6608359174279</v>
      </c>
      <c r="AU116" s="112">
        <v>3430.8824160142881</v>
      </c>
      <c r="AV116" s="112">
        <v>3582.2836093696706</v>
      </c>
      <c r="AW116" s="112">
        <v>3650.9029029549765</v>
      </c>
      <c r="AX116" s="112">
        <v>3667.0258821066759</v>
      </c>
      <c r="AY116" s="112">
        <v>3704.6459293056714</v>
      </c>
    </row>
    <row r="117" spans="1:52" x14ac:dyDescent="0.2">
      <c r="A117" s="115"/>
      <c r="B117" s="133">
        <v>9</v>
      </c>
      <c r="C117" s="112">
        <v>3144.0345193905423</v>
      </c>
      <c r="D117" s="112">
        <v>2909.0675558449389</v>
      </c>
      <c r="E117" s="112">
        <v>2781.6192498196924</v>
      </c>
      <c r="F117" s="112">
        <v>2622.1557500476833</v>
      </c>
      <c r="G117" s="112">
        <v>2437.5672109502721</v>
      </c>
      <c r="H117" s="112">
        <v>2651.6493901748827</v>
      </c>
      <c r="I117" s="112">
        <v>2558.5904313011497</v>
      </c>
      <c r="J117" s="112">
        <v>2602.4995391920952</v>
      </c>
      <c r="K117" s="112">
        <v>2615.1410220633634</v>
      </c>
      <c r="L117" s="112">
        <v>2662.2234840312449</v>
      </c>
      <c r="M117" s="112">
        <v>2749.1051670568895</v>
      </c>
      <c r="N117" s="112">
        <v>2833.624925664385</v>
      </c>
      <c r="O117" s="112">
        <v>2900.9692827882695</v>
      </c>
      <c r="P117" s="112">
        <v>2694.6621085061379</v>
      </c>
      <c r="Q117" s="112">
        <v>2579.519242356484</v>
      </c>
      <c r="R117" s="112">
        <v>2467.3976831780847</v>
      </c>
      <c r="S117" s="112">
        <v>2338.552807640559</v>
      </c>
      <c r="T117" s="112">
        <v>2530.1925606190102</v>
      </c>
      <c r="U117" s="112">
        <v>2502.1813684497056</v>
      </c>
      <c r="V117" s="112">
        <v>2583.5336915771122</v>
      </c>
      <c r="W117" s="112">
        <v>2622.2148129375032</v>
      </c>
      <c r="X117" s="112">
        <v>2706.0618655653298</v>
      </c>
      <c r="Y117" s="112">
        <v>3024.1094991210948</v>
      </c>
      <c r="Z117" s="112">
        <v>3332.6575628701603</v>
      </c>
      <c r="AA117" s="112">
        <v>3602.7945518441029</v>
      </c>
      <c r="AB117" s="112">
        <v>3534.0909308682876</v>
      </c>
      <c r="AC117" s="112">
        <v>3602.1773821917864</v>
      </c>
      <c r="AD117" s="112">
        <v>3539.8993225207605</v>
      </c>
      <c r="AE117" s="112">
        <v>3436.0767931853816</v>
      </c>
      <c r="AF117" s="112">
        <v>3403.2952000788673</v>
      </c>
      <c r="AG117" s="112">
        <v>3349.2961766391404</v>
      </c>
      <c r="AH117" s="112">
        <v>3167.5096719400481</v>
      </c>
      <c r="AI117" s="112">
        <v>3067.3323857566056</v>
      </c>
      <c r="AJ117" s="112">
        <v>3009.4674726046933</v>
      </c>
      <c r="AK117" s="112">
        <v>3048.5664986793249</v>
      </c>
      <c r="AL117" s="112">
        <v>2996.4681377672155</v>
      </c>
      <c r="AM117" s="112">
        <v>2934.2271277946988</v>
      </c>
      <c r="AN117" s="112">
        <v>2733.9613204141406</v>
      </c>
      <c r="AO117" s="112">
        <v>2386.0123807448308</v>
      </c>
      <c r="AP117" s="112">
        <v>2340.6159203963753</v>
      </c>
      <c r="AQ117" s="112">
        <v>2250.022102529153</v>
      </c>
      <c r="AR117" s="112">
        <v>2457.5531568700344</v>
      </c>
      <c r="AS117" s="112">
        <v>2534.2958960594074</v>
      </c>
      <c r="AT117" s="112">
        <v>2624.928475882733</v>
      </c>
      <c r="AU117" s="112">
        <v>2727.6557161070677</v>
      </c>
      <c r="AV117" s="112">
        <v>2811.8662728081804</v>
      </c>
      <c r="AW117" s="112">
        <v>2943.7962113777903</v>
      </c>
      <c r="AX117" s="112">
        <v>3046.8869565619434</v>
      </c>
      <c r="AY117" s="112">
        <v>3124.5607575755294</v>
      </c>
    </row>
    <row r="118" spans="1:52" x14ac:dyDescent="0.2">
      <c r="A118" s="115"/>
      <c r="B118" s="136">
        <v>10</v>
      </c>
      <c r="C118" s="112">
        <v>0</v>
      </c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320.36010380391781</v>
      </c>
      <c r="AD118" s="112">
        <v>607.53426003527966</v>
      </c>
      <c r="AE118" s="112">
        <v>812.02209894450561</v>
      </c>
      <c r="AF118" s="112">
        <v>1073.1237735985928</v>
      </c>
      <c r="AG118" s="112">
        <v>1024.5651912569956</v>
      </c>
      <c r="AH118" s="112">
        <v>972.68066330230431</v>
      </c>
      <c r="AI118" s="112">
        <v>835.78325115454481</v>
      </c>
      <c r="AJ118" s="112">
        <v>705.64932912655195</v>
      </c>
      <c r="AK118" s="112">
        <v>553.49755961791743</v>
      </c>
      <c r="AL118" s="112">
        <v>400.91888073103792</v>
      </c>
      <c r="AM118" s="112">
        <v>282.1787949738823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>
        <v>0</v>
      </c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>
        <v>0</v>
      </c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296</v>
      </c>
      <c r="C121" s="120">
        <v>0</v>
      </c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0</v>
      </c>
    </row>
    <row r="122" spans="1:52" x14ac:dyDescent="0.2">
      <c r="A122" s="137" t="s">
        <v>123</v>
      </c>
      <c r="B122" s="125">
        <v>1</v>
      </c>
      <c r="C122" s="112">
        <v>3739.222788584349</v>
      </c>
      <c r="D122" s="112">
        <v>4206.6256371573927</v>
      </c>
      <c r="E122" s="112">
        <v>4206.6256371573927</v>
      </c>
      <c r="F122" s="112">
        <v>4206.6256371573927</v>
      </c>
      <c r="G122" s="112">
        <v>4206.6256371573927</v>
      </c>
      <c r="H122" s="112">
        <v>3739.222788584349</v>
      </c>
      <c r="I122" s="112">
        <v>3739.222788584349</v>
      </c>
      <c r="J122" s="112">
        <v>3739.222788584349</v>
      </c>
      <c r="K122" s="112">
        <v>3739.222788584349</v>
      </c>
      <c r="L122" s="112">
        <v>3739.222788584349</v>
      </c>
      <c r="M122" s="112">
        <v>3739.222788584349</v>
      </c>
      <c r="N122" s="112">
        <v>3739.222788584349</v>
      </c>
      <c r="O122" s="112">
        <v>3739.222788584349</v>
      </c>
      <c r="P122" s="112">
        <v>4206.6256371573927</v>
      </c>
      <c r="Q122" s="112">
        <v>4206.6256371573927</v>
      </c>
      <c r="R122" s="112">
        <v>4206.6256371573927</v>
      </c>
      <c r="S122" s="112">
        <v>4206.6256371573927</v>
      </c>
      <c r="T122" s="112">
        <v>3739.222788584349</v>
      </c>
      <c r="U122" s="112">
        <v>3739.222788584349</v>
      </c>
      <c r="V122" s="112">
        <v>3739.222788584349</v>
      </c>
      <c r="W122" s="112">
        <v>3739.222788584349</v>
      </c>
      <c r="X122" s="112">
        <v>3739.222788584349</v>
      </c>
      <c r="Y122" s="112">
        <v>3739.222788584349</v>
      </c>
      <c r="Z122" s="112">
        <v>3739.222788584349</v>
      </c>
      <c r="AA122" s="112">
        <v>3739.222788584349</v>
      </c>
      <c r="AB122" s="112">
        <v>4206.6256371573927</v>
      </c>
      <c r="AC122" s="112">
        <v>4206.6256371573927</v>
      </c>
      <c r="AD122" s="112">
        <v>4206.6256371573927</v>
      </c>
      <c r="AE122" s="112">
        <v>4206.6256371573927</v>
      </c>
      <c r="AF122" s="112">
        <v>3739.222788584349</v>
      </c>
      <c r="AG122" s="112">
        <v>3739.222788584349</v>
      </c>
      <c r="AH122" s="112">
        <v>3739.222788584349</v>
      </c>
      <c r="AI122" s="112">
        <v>3739.222788584349</v>
      </c>
      <c r="AJ122" s="112">
        <v>3739.222788584349</v>
      </c>
      <c r="AK122" s="112">
        <v>3739.222788584349</v>
      </c>
      <c r="AL122" s="112">
        <v>3739.222788584349</v>
      </c>
      <c r="AM122" s="112">
        <v>3739.222788584349</v>
      </c>
      <c r="AN122" s="112">
        <v>4206.6256371573927</v>
      </c>
      <c r="AO122" s="112">
        <v>4206.6256371573927</v>
      </c>
      <c r="AP122" s="112">
        <v>4206.6256371573927</v>
      </c>
      <c r="AQ122" s="112">
        <v>4206.6256371573927</v>
      </c>
      <c r="AR122" s="112">
        <v>3739.222788584349</v>
      </c>
      <c r="AS122" s="112">
        <v>3739.222788584349</v>
      </c>
      <c r="AT122" s="112">
        <v>3739.222788584349</v>
      </c>
      <c r="AU122" s="112">
        <v>3739.222788584349</v>
      </c>
      <c r="AV122" s="112">
        <v>3739.222788584349</v>
      </c>
      <c r="AW122" s="112">
        <v>3739.222788584349</v>
      </c>
      <c r="AX122" s="112">
        <v>3739.222788584349</v>
      </c>
      <c r="AY122" s="112">
        <v>3739.222788584349</v>
      </c>
    </row>
    <row r="123" spans="1:52" x14ac:dyDescent="0.2">
      <c r="A123" s="115"/>
      <c r="B123" s="125">
        <v>2</v>
      </c>
      <c r="C123" s="112">
        <v>2709.4278395240503</v>
      </c>
      <c r="D123" s="112">
        <v>2709.4278395240503</v>
      </c>
      <c r="E123" s="112">
        <v>3048.1063194645562</v>
      </c>
      <c r="F123" s="112">
        <v>3048.1063194645562</v>
      </c>
      <c r="G123" s="112">
        <v>3048.1063194645562</v>
      </c>
      <c r="H123" s="112">
        <v>3048.1063194645562</v>
      </c>
      <c r="I123" s="112">
        <v>2709.4278395240503</v>
      </c>
      <c r="J123" s="112">
        <v>2709.4278395240503</v>
      </c>
      <c r="K123" s="112">
        <v>2709.4278395240503</v>
      </c>
      <c r="L123" s="112">
        <v>2709.4278395240503</v>
      </c>
      <c r="M123" s="112">
        <v>2709.4278395240503</v>
      </c>
      <c r="N123" s="112">
        <v>2709.4278395240503</v>
      </c>
      <c r="O123" s="112">
        <v>2709.4278395240503</v>
      </c>
      <c r="P123" s="112">
        <v>2709.4278395240503</v>
      </c>
      <c r="Q123" s="112">
        <v>3048.1063194645562</v>
      </c>
      <c r="R123" s="112">
        <v>3048.1063194645562</v>
      </c>
      <c r="S123" s="112">
        <v>3048.1063194645562</v>
      </c>
      <c r="T123" s="112">
        <v>3048.1063194645562</v>
      </c>
      <c r="U123" s="112">
        <v>2709.4278395240503</v>
      </c>
      <c r="V123" s="112">
        <v>2709.4278395240503</v>
      </c>
      <c r="W123" s="112">
        <v>2709.4278395240503</v>
      </c>
      <c r="X123" s="112">
        <v>2709.4278395240503</v>
      </c>
      <c r="Y123" s="112">
        <v>2709.4278395240503</v>
      </c>
      <c r="Z123" s="112">
        <v>2709.4278395240503</v>
      </c>
      <c r="AA123" s="112">
        <v>2709.4278395240503</v>
      </c>
      <c r="AB123" s="112">
        <v>2709.4278395240503</v>
      </c>
      <c r="AC123" s="112">
        <v>3048.1063194645562</v>
      </c>
      <c r="AD123" s="112">
        <v>3048.1063194645562</v>
      </c>
      <c r="AE123" s="112">
        <v>3048.1063194645562</v>
      </c>
      <c r="AF123" s="112">
        <v>3048.1063194645562</v>
      </c>
      <c r="AG123" s="112">
        <v>2709.4278395240503</v>
      </c>
      <c r="AH123" s="112">
        <v>2709.4278395240503</v>
      </c>
      <c r="AI123" s="112">
        <v>2709.4278395240503</v>
      </c>
      <c r="AJ123" s="112">
        <v>2709.4278395240503</v>
      </c>
      <c r="AK123" s="112">
        <v>2709.4278395240503</v>
      </c>
      <c r="AL123" s="112">
        <v>2709.4278395240503</v>
      </c>
      <c r="AM123" s="112">
        <v>2709.4278395240503</v>
      </c>
      <c r="AN123" s="112">
        <v>2709.4278395240503</v>
      </c>
      <c r="AO123" s="112">
        <v>3048.1063194645562</v>
      </c>
      <c r="AP123" s="112">
        <v>3048.1063194645562</v>
      </c>
      <c r="AQ123" s="112">
        <v>3048.1063194645562</v>
      </c>
      <c r="AR123" s="112">
        <v>3048.1063194645562</v>
      </c>
      <c r="AS123" s="112">
        <v>2709.4278395240503</v>
      </c>
      <c r="AT123" s="112">
        <v>2709.4278395240503</v>
      </c>
      <c r="AU123" s="112">
        <v>2709.4278395240503</v>
      </c>
      <c r="AV123" s="112">
        <v>2709.4278395240503</v>
      </c>
      <c r="AW123" s="112">
        <v>2709.4278395240503</v>
      </c>
      <c r="AX123" s="112">
        <v>2709.4278395240503</v>
      </c>
      <c r="AY123" s="112">
        <v>2709.4278395240503</v>
      </c>
    </row>
    <row r="124" spans="1:52" x14ac:dyDescent="0.2">
      <c r="A124" s="115"/>
      <c r="B124" s="125">
        <v>3</v>
      </c>
      <c r="C124" s="112">
        <v>1963.2419977754864</v>
      </c>
      <c r="D124" s="112">
        <v>1963.2419977754864</v>
      </c>
      <c r="E124" s="112">
        <v>1963.2419977754864</v>
      </c>
      <c r="F124" s="112">
        <v>2208.6472474974221</v>
      </c>
      <c r="G124" s="112">
        <v>2208.6472474974221</v>
      </c>
      <c r="H124" s="112">
        <v>2208.6472474974221</v>
      </c>
      <c r="I124" s="112">
        <v>2208.6472474974221</v>
      </c>
      <c r="J124" s="112">
        <v>1963.2419977754864</v>
      </c>
      <c r="K124" s="112">
        <v>1963.2419977754864</v>
      </c>
      <c r="L124" s="112">
        <v>1963.2419977754864</v>
      </c>
      <c r="M124" s="112">
        <v>1963.2419977754864</v>
      </c>
      <c r="N124" s="112">
        <v>1963.2419977754864</v>
      </c>
      <c r="O124" s="112">
        <v>1963.2419977754864</v>
      </c>
      <c r="P124" s="112">
        <v>1963.2419977754864</v>
      </c>
      <c r="Q124" s="112">
        <v>1963.2419977754864</v>
      </c>
      <c r="R124" s="112">
        <v>2208.6472474974221</v>
      </c>
      <c r="S124" s="112">
        <v>2208.6472474974221</v>
      </c>
      <c r="T124" s="112">
        <v>2208.6472474974221</v>
      </c>
      <c r="U124" s="112">
        <v>2208.6472474974221</v>
      </c>
      <c r="V124" s="112">
        <v>1963.2419977754864</v>
      </c>
      <c r="W124" s="112">
        <v>1963.2419977754864</v>
      </c>
      <c r="X124" s="112">
        <v>1963.2419977754864</v>
      </c>
      <c r="Y124" s="112">
        <v>1963.2419977754864</v>
      </c>
      <c r="Z124" s="112">
        <v>1963.2419977754864</v>
      </c>
      <c r="AA124" s="112">
        <v>1963.2419977754864</v>
      </c>
      <c r="AB124" s="112">
        <v>1963.2419977754864</v>
      </c>
      <c r="AC124" s="112">
        <v>1963.2419977754864</v>
      </c>
      <c r="AD124" s="112">
        <v>2208.6472474974221</v>
      </c>
      <c r="AE124" s="112">
        <v>2208.6472474974221</v>
      </c>
      <c r="AF124" s="112">
        <v>2208.6472474974221</v>
      </c>
      <c r="AG124" s="112">
        <v>2208.6472474974221</v>
      </c>
      <c r="AH124" s="112">
        <v>1963.2419977754864</v>
      </c>
      <c r="AI124" s="112">
        <v>1963.2419977754864</v>
      </c>
      <c r="AJ124" s="112">
        <v>1963.2419977754864</v>
      </c>
      <c r="AK124" s="112">
        <v>1963.2419977754864</v>
      </c>
      <c r="AL124" s="112">
        <v>1963.2419977754864</v>
      </c>
      <c r="AM124" s="112">
        <v>1963.2419977754864</v>
      </c>
      <c r="AN124" s="112">
        <v>1963.2419977754864</v>
      </c>
      <c r="AO124" s="112">
        <v>1963.2419977754864</v>
      </c>
      <c r="AP124" s="112">
        <v>2208.6472474974221</v>
      </c>
      <c r="AQ124" s="112">
        <v>2208.6472474974221</v>
      </c>
      <c r="AR124" s="112">
        <v>2208.6472474974221</v>
      </c>
      <c r="AS124" s="112">
        <v>2208.6472474974221</v>
      </c>
      <c r="AT124" s="112">
        <v>1963.2419977754864</v>
      </c>
      <c r="AU124" s="112">
        <v>1963.2419977754864</v>
      </c>
      <c r="AV124" s="112">
        <v>1963.2419977754864</v>
      </c>
      <c r="AW124" s="112">
        <v>1963.2419977754864</v>
      </c>
      <c r="AX124" s="112">
        <v>1963.2419977754864</v>
      </c>
      <c r="AY124" s="112">
        <v>1963.2419977754864</v>
      </c>
    </row>
    <row r="125" spans="1:52" x14ac:dyDescent="0.2">
      <c r="A125" s="115"/>
      <c r="B125" s="125">
        <v>4</v>
      </c>
      <c r="C125" s="112">
        <v>1422.5583296975899</v>
      </c>
      <c r="D125" s="112">
        <v>1422.5583296975899</v>
      </c>
      <c r="E125" s="112">
        <v>1422.5583296975899</v>
      </c>
      <c r="F125" s="112">
        <v>1422.5583296975899</v>
      </c>
      <c r="G125" s="112">
        <v>1600.3781209097885</v>
      </c>
      <c r="H125" s="112">
        <v>1600.3781209097885</v>
      </c>
      <c r="I125" s="112">
        <v>1600.3781209097885</v>
      </c>
      <c r="J125" s="112">
        <v>1600.3781209097885</v>
      </c>
      <c r="K125" s="112">
        <v>1422.5583296975899</v>
      </c>
      <c r="L125" s="112">
        <v>1422.5583296975899</v>
      </c>
      <c r="M125" s="112">
        <v>1422.5583296975899</v>
      </c>
      <c r="N125" s="112">
        <v>1422.5583296975899</v>
      </c>
      <c r="O125" s="112">
        <v>1422.5583296975899</v>
      </c>
      <c r="P125" s="112">
        <v>1422.5583296975899</v>
      </c>
      <c r="Q125" s="112">
        <v>1422.5583296975899</v>
      </c>
      <c r="R125" s="112">
        <v>1422.5583296975899</v>
      </c>
      <c r="S125" s="112">
        <v>1600.3781209097885</v>
      </c>
      <c r="T125" s="112">
        <v>1600.3781209097885</v>
      </c>
      <c r="U125" s="112">
        <v>1600.3781209097885</v>
      </c>
      <c r="V125" s="112">
        <v>1600.3781209097885</v>
      </c>
      <c r="W125" s="112">
        <v>1422.5583296975899</v>
      </c>
      <c r="X125" s="112">
        <v>1422.5583296975899</v>
      </c>
      <c r="Y125" s="112">
        <v>1422.5583296975899</v>
      </c>
      <c r="Z125" s="112">
        <v>1422.5583296975899</v>
      </c>
      <c r="AA125" s="112">
        <v>1422.5583296975899</v>
      </c>
      <c r="AB125" s="112">
        <v>1422.5583296975899</v>
      </c>
      <c r="AC125" s="112">
        <v>1422.5583296975899</v>
      </c>
      <c r="AD125" s="112">
        <v>1190.9058583041531</v>
      </c>
      <c r="AE125" s="112">
        <v>1155.1429026986948</v>
      </c>
      <c r="AF125" s="112">
        <v>1095.2308536401129</v>
      </c>
      <c r="AG125" s="112">
        <v>1600.3781209097885</v>
      </c>
      <c r="AH125" s="112">
        <v>1600.3781209097885</v>
      </c>
      <c r="AI125" s="112">
        <v>1422.5583296975899</v>
      </c>
      <c r="AJ125" s="112">
        <v>1422.5583296975899</v>
      </c>
      <c r="AK125" s="112">
        <v>1422.5583296975899</v>
      </c>
      <c r="AL125" s="112">
        <v>1422.5583296975899</v>
      </c>
      <c r="AM125" s="112">
        <v>1422.5583296975899</v>
      </c>
      <c r="AN125" s="112">
        <v>1422.5583296975899</v>
      </c>
      <c r="AO125" s="112">
        <v>1422.5583296975899</v>
      </c>
      <c r="AP125" s="112">
        <v>1422.5583296975899</v>
      </c>
      <c r="AQ125" s="112">
        <v>1600.3781209097885</v>
      </c>
      <c r="AR125" s="112">
        <v>1600.3781209097885</v>
      </c>
      <c r="AS125" s="112">
        <v>1600.3781209097885</v>
      </c>
      <c r="AT125" s="112">
        <v>1600.3781209097885</v>
      </c>
      <c r="AU125" s="112">
        <v>1422.5583296975899</v>
      </c>
      <c r="AV125" s="112">
        <v>1422.5583296975899</v>
      </c>
      <c r="AW125" s="112">
        <v>1422.5583296975899</v>
      </c>
      <c r="AX125" s="112">
        <v>1422.5583296975899</v>
      </c>
      <c r="AY125" s="112">
        <v>1422.5583296975899</v>
      </c>
    </row>
    <row r="126" spans="1:52" x14ac:dyDescent="0.2">
      <c r="A126" s="115"/>
      <c r="B126" s="125">
        <v>5</v>
      </c>
      <c r="C126" s="112">
        <v>1030.7808225807023</v>
      </c>
      <c r="D126" s="112">
        <v>1030.7808225807023</v>
      </c>
      <c r="E126" s="112">
        <v>1030.7808225807023</v>
      </c>
      <c r="F126" s="112">
        <v>1030.7808225807023</v>
      </c>
      <c r="G126" s="112">
        <v>1030.7808225807023</v>
      </c>
      <c r="H126" s="112">
        <v>1159.6284254032898</v>
      </c>
      <c r="I126" s="112">
        <v>1159.6284254032898</v>
      </c>
      <c r="J126" s="112">
        <v>1159.6284254032898</v>
      </c>
      <c r="K126" s="112">
        <v>1159.6284254032898</v>
      </c>
      <c r="L126" s="112">
        <v>1030.7808225807023</v>
      </c>
      <c r="M126" s="112">
        <v>1030.7808225807023</v>
      </c>
      <c r="N126" s="112">
        <v>1030.7808225807023</v>
      </c>
      <c r="O126" s="112">
        <v>1030.7808225807023</v>
      </c>
      <c r="P126" s="112">
        <v>1030.7808225807023</v>
      </c>
      <c r="Q126" s="112">
        <v>1030.7808225807023</v>
      </c>
      <c r="R126" s="112">
        <v>1030.7808225807023</v>
      </c>
      <c r="S126" s="112">
        <v>1030.7808225807023</v>
      </c>
      <c r="T126" s="112">
        <v>1159.6284254032898</v>
      </c>
      <c r="U126" s="112">
        <v>1159.6284254032898</v>
      </c>
      <c r="V126" s="112">
        <v>1159.6284254032898</v>
      </c>
      <c r="W126" s="112">
        <v>1159.6284254032898</v>
      </c>
      <c r="X126" s="112">
        <v>1030.7808225807023</v>
      </c>
      <c r="Y126" s="112">
        <v>1030.7808225807023</v>
      </c>
      <c r="Z126" s="112">
        <v>1030.7808225807023</v>
      </c>
      <c r="AA126" s="112">
        <v>1030.7808225807023</v>
      </c>
      <c r="AB126" s="112">
        <v>767.60165858445282</v>
      </c>
      <c r="AC126" s="112">
        <v>239.75214168341904</v>
      </c>
      <c r="AD126" s="112">
        <v>0</v>
      </c>
      <c r="AE126" s="112">
        <v>0</v>
      </c>
      <c r="AF126" s="112">
        <v>0</v>
      </c>
      <c r="AG126" s="112">
        <v>561.42394318677646</v>
      </c>
      <c r="AH126" s="112">
        <v>1159.6284254032898</v>
      </c>
      <c r="AI126" s="112">
        <v>1159.6284254032898</v>
      </c>
      <c r="AJ126" s="112">
        <v>1030.7808225807023</v>
      </c>
      <c r="AK126" s="112">
        <v>1030.7808225807023</v>
      </c>
      <c r="AL126" s="112">
        <v>1030.7808225807023</v>
      </c>
      <c r="AM126" s="112">
        <v>1030.7808225807023</v>
      </c>
      <c r="AN126" s="112">
        <v>1030.7808225807023</v>
      </c>
      <c r="AO126" s="112">
        <v>1030.7808225807023</v>
      </c>
      <c r="AP126" s="112">
        <v>1030.7808225807023</v>
      </c>
      <c r="AQ126" s="112">
        <v>1030.7808225807023</v>
      </c>
      <c r="AR126" s="112">
        <v>1159.6284254032898</v>
      </c>
      <c r="AS126" s="112">
        <v>1159.6284254032898</v>
      </c>
      <c r="AT126" s="112">
        <v>1159.6284254032898</v>
      </c>
      <c r="AU126" s="112">
        <v>1159.6284254032898</v>
      </c>
      <c r="AV126" s="112">
        <v>1030.7808225807023</v>
      </c>
      <c r="AW126" s="112">
        <v>1030.7808225807023</v>
      </c>
      <c r="AX126" s="112">
        <v>1030.7808225807023</v>
      </c>
      <c r="AY126" s="112">
        <v>1030.7808225807023</v>
      </c>
    </row>
    <row r="127" spans="1:52" x14ac:dyDescent="0.2">
      <c r="A127" s="115"/>
      <c r="B127" s="125">
        <v>6</v>
      </c>
      <c r="C127" s="112">
        <v>746.9002022757262</v>
      </c>
      <c r="D127" s="112">
        <v>746.9002022757262</v>
      </c>
      <c r="E127" s="112">
        <v>746.9002022757262</v>
      </c>
      <c r="F127" s="112">
        <v>746.9002022757262</v>
      </c>
      <c r="G127" s="112">
        <v>746.9002022757262</v>
      </c>
      <c r="H127" s="112">
        <v>746.9002022757262</v>
      </c>
      <c r="I127" s="112">
        <v>840.26272756019182</v>
      </c>
      <c r="J127" s="112">
        <v>840.26272756019182</v>
      </c>
      <c r="K127" s="112">
        <v>840.26272756019182</v>
      </c>
      <c r="L127" s="112">
        <v>840.26272756019182</v>
      </c>
      <c r="M127" s="112">
        <v>746.9002022757262</v>
      </c>
      <c r="N127" s="112">
        <v>746.9002022757262</v>
      </c>
      <c r="O127" s="112">
        <v>746.9002022757262</v>
      </c>
      <c r="P127" s="112">
        <v>746.9002022757262</v>
      </c>
      <c r="Q127" s="112">
        <v>746.9002022757262</v>
      </c>
      <c r="R127" s="112">
        <v>746.9002022757262</v>
      </c>
      <c r="S127" s="112">
        <v>746.9002022757262</v>
      </c>
      <c r="T127" s="112">
        <v>746.9002022757262</v>
      </c>
      <c r="U127" s="112">
        <v>840.26272756019182</v>
      </c>
      <c r="V127" s="112">
        <v>840.26272756019182</v>
      </c>
      <c r="W127" s="112">
        <v>840.26272756019182</v>
      </c>
      <c r="X127" s="112">
        <v>840.26272756019182</v>
      </c>
      <c r="Y127" s="112">
        <v>636.11065820089163</v>
      </c>
      <c r="Z127" s="112">
        <v>272.36330079010042</v>
      </c>
      <c r="AA127" s="112">
        <v>62.253703617844508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168.62890798237797</v>
      </c>
      <c r="AI127" s="112">
        <v>727.45064833101321</v>
      </c>
      <c r="AJ127" s="112">
        <v>840.26272756019182</v>
      </c>
      <c r="AK127" s="112">
        <v>746.9002022757262</v>
      </c>
      <c r="AL127" s="112">
        <v>746.9002022757262</v>
      </c>
      <c r="AM127" s="112">
        <v>746.9002022757262</v>
      </c>
      <c r="AN127" s="112">
        <v>746.9002022757262</v>
      </c>
      <c r="AO127" s="112">
        <v>746.9002022757262</v>
      </c>
      <c r="AP127" s="112">
        <v>746.9002022757262</v>
      </c>
      <c r="AQ127" s="112">
        <v>746.9002022757262</v>
      </c>
      <c r="AR127" s="112">
        <v>746.9002022757262</v>
      </c>
      <c r="AS127" s="112">
        <v>840.26272756019182</v>
      </c>
      <c r="AT127" s="112">
        <v>840.26272756019182</v>
      </c>
      <c r="AU127" s="112">
        <v>840.26272756019182</v>
      </c>
      <c r="AV127" s="112">
        <v>840.26272756019182</v>
      </c>
      <c r="AW127" s="112">
        <v>746.9002022757262</v>
      </c>
      <c r="AX127" s="112">
        <v>746.9002022757262</v>
      </c>
      <c r="AY127" s="112">
        <v>746.9002022757262</v>
      </c>
    </row>
    <row r="128" spans="1:52" x14ac:dyDescent="0.2">
      <c r="A128" s="115"/>
      <c r="B128" s="125">
        <v>7</v>
      </c>
      <c r="C128" s="112">
        <v>541.20129123361198</v>
      </c>
      <c r="D128" s="112">
        <v>541.20129123361198</v>
      </c>
      <c r="E128" s="112">
        <v>541.20129123361198</v>
      </c>
      <c r="F128" s="112">
        <v>541.20129123361198</v>
      </c>
      <c r="G128" s="112">
        <v>541.20129123361198</v>
      </c>
      <c r="H128" s="112">
        <v>541.20129123361198</v>
      </c>
      <c r="I128" s="112">
        <v>541.20129123361198</v>
      </c>
      <c r="J128" s="112">
        <v>522.470130371854</v>
      </c>
      <c r="K128" s="112">
        <v>608.85145263781328</v>
      </c>
      <c r="L128" s="112">
        <v>573.17094096932783</v>
      </c>
      <c r="M128" s="112">
        <v>608.85145263781328</v>
      </c>
      <c r="N128" s="112">
        <v>541.20129123361198</v>
      </c>
      <c r="O128" s="112">
        <v>541.20129123361198</v>
      </c>
      <c r="P128" s="112">
        <v>541.20129123361198</v>
      </c>
      <c r="Q128" s="112">
        <v>541.20129123361198</v>
      </c>
      <c r="R128" s="112">
        <v>541.20129123361198</v>
      </c>
      <c r="S128" s="112">
        <v>541.20129123361198</v>
      </c>
      <c r="T128" s="112">
        <v>541.20129123361198</v>
      </c>
      <c r="U128" s="112">
        <v>541.20129123361198</v>
      </c>
      <c r="V128" s="112">
        <v>464.35748900932265</v>
      </c>
      <c r="W128" s="112">
        <v>523.1461273674206</v>
      </c>
      <c r="X128" s="112">
        <v>455.92131869549064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278.78437253229419</v>
      </c>
      <c r="AK128" s="112">
        <v>608.6905206871113</v>
      </c>
      <c r="AL128" s="112">
        <v>541.20129123361198</v>
      </c>
      <c r="AM128" s="112">
        <v>541.20129123361198</v>
      </c>
      <c r="AN128" s="112">
        <v>541.20129123361198</v>
      </c>
      <c r="AO128" s="112">
        <v>541.20129123361198</v>
      </c>
      <c r="AP128" s="112">
        <v>541.20129123361198</v>
      </c>
      <c r="AQ128" s="112">
        <v>541.20129123361198</v>
      </c>
      <c r="AR128" s="112">
        <v>540.21547209892969</v>
      </c>
      <c r="AS128" s="112">
        <v>384.37626833487371</v>
      </c>
      <c r="AT128" s="112">
        <v>311.36916103923147</v>
      </c>
      <c r="AU128" s="112">
        <v>263.31327959336124</v>
      </c>
      <c r="AV128" s="112">
        <v>220.6473400678675</v>
      </c>
      <c r="AW128" s="112">
        <v>450.56728452018103</v>
      </c>
      <c r="AX128" s="112">
        <v>541.20129123361198</v>
      </c>
      <c r="AY128" s="112">
        <v>541.20129123361198</v>
      </c>
    </row>
    <row r="129" spans="1:51" x14ac:dyDescent="0.2">
      <c r="A129" s="115"/>
      <c r="B129" s="125">
        <v>8</v>
      </c>
      <c r="C129" s="112">
        <v>121.99333543251618</v>
      </c>
      <c r="D129" s="112">
        <v>110.6468270925119</v>
      </c>
      <c r="E129" s="112">
        <v>47.207873227082928</v>
      </c>
      <c r="F129" s="112">
        <v>31.359235958889712</v>
      </c>
      <c r="G129" s="112">
        <v>82.666413241460191</v>
      </c>
      <c r="H129" s="112">
        <v>81.883476240118966</v>
      </c>
      <c r="I129" s="112">
        <v>13.305548520275352</v>
      </c>
      <c r="J129" s="112">
        <v>0</v>
      </c>
      <c r="K129" s="112">
        <v>18.397679467615092</v>
      </c>
      <c r="L129" s="112">
        <v>0</v>
      </c>
      <c r="M129" s="112">
        <v>124.13318498747071</v>
      </c>
      <c r="N129" s="112">
        <v>241.93786043040848</v>
      </c>
      <c r="O129" s="112">
        <v>344.45990803695054</v>
      </c>
      <c r="P129" s="112">
        <v>316.41878434507095</v>
      </c>
      <c r="Q129" s="112">
        <v>254.4285266985467</v>
      </c>
      <c r="R129" s="112">
        <v>142.3622005592882</v>
      </c>
      <c r="S129" s="112">
        <v>71.147863570697155</v>
      </c>
      <c r="T129" s="112">
        <v>35.552252981090817</v>
      </c>
      <c r="U129" s="112">
        <v>54.734315483929777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249.05503620671641</v>
      </c>
      <c r="AM129" s="112">
        <v>304.32514529821935</v>
      </c>
      <c r="AN129" s="112">
        <v>386.6655178682812</v>
      </c>
      <c r="AO129" s="112">
        <v>297.14618028409831</v>
      </c>
      <c r="AP129" s="112">
        <v>110.28405229617192</v>
      </c>
      <c r="AQ129" s="112">
        <v>69.06401613469086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39.206190298848412</v>
      </c>
      <c r="AY129" s="112">
        <v>124.39291970607923</v>
      </c>
    </row>
    <row r="130" spans="1:51" x14ac:dyDescent="0.2">
      <c r="A130" s="115"/>
      <c r="B130" s="125">
        <v>9</v>
      </c>
      <c r="C130" s="112">
        <v>0</v>
      </c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0</v>
      </c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0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296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297</v>
      </c>
      <c r="C172" s="140">
        <v>0.27540347480877819</v>
      </c>
      <c r="D172" s="140">
        <v>0.27540347480877819</v>
      </c>
      <c r="E172" s="140">
        <v>0.27540347480877819</v>
      </c>
      <c r="F172" s="140">
        <v>0.27540347480877819</v>
      </c>
      <c r="G172" s="140">
        <v>0.27540347480877819</v>
      </c>
      <c r="H172" s="140">
        <v>0.27540347480877819</v>
      </c>
      <c r="I172" s="140">
        <v>0.27540347480877819</v>
      </c>
      <c r="J172" s="140">
        <v>0.27540347480877819</v>
      </c>
      <c r="K172" s="140">
        <v>0.27540347480877819</v>
      </c>
      <c r="L172" s="140">
        <v>0.27540347480877819</v>
      </c>
      <c r="M172" s="140">
        <v>0.27540347480877819</v>
      </c>
      <c r="N172" s="140">
        <v>0.27540347480877819</v>
      </c>
      <c r="O172" s="140">
        <v>0.27540347480877819</v>
      </c>
      <c r="P172" s="140">
        <v>0.27540347480877819</v>
      </c>
      <c r="Q172" s="140">
        <v>0.27540347480877819</v>
      </c>
      <c r="R172" s="140">
        <v>0.27540347480877819</v>
      </c>
      <c r="S172" s="140">
        <v>0.27540347480877819</v>
      </c>
      <c r="T172" s="140">
        <v>0.27540347480877819</v>
      </c>
      <c r="U172" s="140">
        <v>0.27540347480877819</v>
      </c>
      <c r="V172" s="140">
        <v>0.27540347480877819</v>
      </c>
      <c r="W172" s="140">
        <v>0.27540347480877819</v>
      </c>
      <c r="X172" s="140">
        <v>0.27540347480877819</v>
      </c>
      <c r="Y172" s="140">
        <v>0.27540347480877819</v>
      </c>
      <c r="Z172" s="140">
        <v>0.27540347480877819</v>
      </c>
      <c r="AA172" s="140">
        <v>0.27540347480877819</v>
      </c>
      <c r="AB172" s="140">
        <v>0.27540347480877819</v>
      </c>
      <c r="AC172" s="140">
        <v>0.27540347480877819</v>
      </c>
      <c r="AD172" s="140">
        <v>0.27540347480877819</v>
      </c>
      <c r="AE172" s="140">
        <v>0.27540347480877819</v>
      </c>
      <c r="AF172" s="140">
        <v>0.27540347480877819</v>
      </c>
      <c r="AG172" s="140">
        <v>0.27540347480877819</v>
      </c>
      <c r="AH172" s="140">
        <v>0.27540347480877819</v>
      </c>
      <c r="AI172" s="140">
        <v>0.27540347480877819</v>
      </c>
      <c r="AJ172" s="140">
        <v>0.27540347480877819</v>
      </c>
      <c r="AK172" s="140">
        <v>0.27540347480877819</v>
      </c>
      <c r="AL172" s="140">
        <v>0.27540347480877819</v>
      </c>
      <c r="AM172" s="140">
        <v>0.27540347480877819</v>
      </c>
      <c r="AN172" s="140">
        <v>0.27540347480877819</v>
      </c>
      <c r="AO172" s="140">
        <v>0.27540347480877819</v>
      </c>
      <c r="AP172" s="140">
        <v>0.27540347480877819</v>
      </c>
      <c r="AQ172" s="140">
        <v>0.27540347480877819</v>
      </c>
      <c r="AR172" s="140">
        <v>0.27540347480877819</v>
      </c>
      <c r="AS172" s="140">
        <v>0.27540347480877819</v>
      </c>
      <c r="AT172" s="140">
        <v>0.27540347480877819</v>
      </c>
      <c r="AU172" s="140">
        <v>0.27540347480877819</v>
      </c>
      <c r="AV172" s="140">
        <v>0.27540347480877819</v>
      </c>
      <c r="AW172" s="140">
        <v>0.27540347480877819</v>
      </c>
      <c r="AX172" s="140">
        <v>0.27540347480877819</v>
      </c>
      <c r="AY172" s="140">
        <v>0.27540347480877819</v>
      </c>
    </row>
    <row r="174" spans="1:52" x14ac:dyDescent="0.2">
      <c r="A174" s="108" t="s">
        <v>272</v>
      </c>
    </row>
    <row r="175" spans="1:52" x14ac:dyDescent="0.2">
      <c r="A175" s="141" t="s">
        <v>125</v>
      </c>
      <c r="B175" s="141" t="s">
        <v>298</v>
      </c>
      <c r="C175" s="130" t="s">
        <v>293</v>
      </c>
      <c r="D175" s="130">
        <f t="shared" ref="D175:AY175" si="1">SUM(D95:D98)</f>
        <v>7244.0267228223165</v>
      </c>
      <c r="E175" s="130">
        <f t="shared" si="1"/>
        <v>7183.3614959348897</v>
      </c>
      <c r="F175" s="130">
        <f t="shared" si="1"/>
        <v>6969.921669076708</v>
      </c>
      <c r="G175" s="130">
        <f t="shared" si="1"/>
        <v>6671.7068053334169</v>
      </c>
      <c r="H175" s="130">
        <f t="shared" si="1"/>
        <v>6393.8456257481321</v>
      </c>
      <c r="I175" s="130">
        <f t="shared" si="1"/>
        <v>6482.9006908552292</v>
      </c>
      <c r="J175" s="130">
        <f t="shared" si="1"/>
        <v>6521.6428355903472</v>
      </c>
      <c r="K175" s="130">
        <f t="shared" si="1"/>
        <v>6494.0741428239689</v>
      </c>
      <c r="L175" s="130">
        <f t="shared" si="1"/>
        <v>6578.6195475021259</v>
      </c>
      <c r="M175" s="130">
        <f t="shared" si="1"/>
        <v>6549.9666658894694</v>
      </c>
      <c r="N175" s="130">
        <f t="shared" si="1"/>
        <v>6608.473404412699</v>
      </c>
      <c r="O175" s="130">
        <f t="shared" si="1"/>
        <v>6648.1959721432086</v>
      </c>
      <c r="P175" s="130">
        <f t="shared" si="1"/>
        <v>6703.5978291456249</v>
      </c>
      <c r="Q175" s="130">
        <f t="shared" si="1"/>
        <v>6583.0522202073498</v>
      </c>
      <c r="R175" s="130">
        <f t="shared" si="1"/>
        <v>6451.1862392231551</v>
      </c>
      <c r="S175" s="130">
        <f t="shared" si="1"/>
        <v>6249.6465614802455</v>
      </c>
      <c r="T175" s="130">
        <f t="shared" si="1"/>
        <v>6158.9033660330861</v>
      </c>
      <c r="U175" s="130">
        <f t="shared" si="1"/>
        <v>6181.4581981971787</v>
      </c>
      <c r="V175" s="130">
        <f t="shared" si="1"/>
        <v>6348.0779335133484</v>
      </c>
      <c r="W175" s="130">
        <f t="shared" si="1"/>
        <v>6417.0519127994894</v>
      </c>
      <c r="X175" s="130">
        <f t="shared" si="1"/>
        <v>6567.9177407204734</v>
      </c>
      <c r="Y175" s="130">
        <f t="shared" si="1"/>
        <v>7090.5847334437785</v>
      </c>
      <c r="Z175" s="130">
        <f t="shared" si="1"/>
        <v>7650.4126678872944</v>
      </c>
      <c r="AA175" s="130">
        <f t="shared" si="1"/>
        <v>8187.9132059327785</v>
      </c>
      <c r="AB175" s="130">
        <f t="shared" si="1"/>
        <v>8799.3992014754604</v>
      </c>
      <c r="AC175" s="130">
        <f t="shared" si="1"/>
        <v>9164.7345668210364</v>
      </c>
      <c r="AD175" s="130">
        <f t="shared" si="1"/>
        <v>9709.2690183691557</v>
      </c>
      <c r="AE175" s="130">
        <f t="shared" si="1"/>
        <v>10146.216329791452</v>
      </c>
      <c r="AF175" s="130">
        <f t="shared" si="1"/>
        <v>10924.128460402848</v>
      </c>
      <c r="AG175" s="130">
        <f t="shared" si="1"/>
        <v>10868.935981882027</v>
      </c>
      <c r="AH175" s="130">
        <f t="shared" si="1"/>
        <v>10780.070828301423</v>
      </c>
      <c r="AI175" s="130">
        <f t="shared" si="1"/>
        <v>10558.255123804887</v>
      </c>
      <c r="AJ175" s="130">
        <f t="shared" si="1"/>
        <v>10275.82248250159</v>
      </c>
      <c r="AK175" s="130">
        <f t="shared" si="1"/>
        <v>9911.3860555957908</v>
      </c>
      <c r="AL175" s="130">
        <f t="shared" si="1"/>
        <v>9543.3084445776403</v>
      </c>
      <c r="AM175" s="130">
        <f t="shared" si="1"/>
        <v>9209.5857230930851</v>
      </c>
      <c r="AN175" s="130">
        <f t="shared" si="1"/>
        <v>8624.7825738416559</v>
      </c>
      <c r="AO175" s="130">
        <f t="shared" si="1"/>
        <v>7920.4422922103058</v>
      </c>
      <c r="AP175" s="130">
        <f t="shared" si="1"/>
        <v>7247.0104455672572</v>
      </c>
      <c r="AQ175" s="130">
        <f t="shared" si="1"/>
        <v>6646.1994657249998</v>
      </c>
      <c r="AR175" s="130">
        <f t="shared" si="1"/>
        <v>6359.7776632472778</v>
      </c>
      <c r="AS175" s="130">
        <f t="shared" si="1"/>
        <v>6414.5874584585017</v>
      </c>
      <c r="AT175" s="130">
        <f t="shared" si="1"/>
        <v>6515.3890718819521</v>
      </c>
      <c r="AU175" s="130">
        <f t="shared" si="1"/>
        <v>6671.255064175878</v>
      </c>
      <c r="AV175" s="130">
        <f t="shared" si="1"/>
        <v>6846.7041349047113</v>
      </c>
      <c r="AW175" s="130">
        <f t="shared" si="1"/>
        <v>6864.9994811439183</v>
      </c>
      <c r="AX175" s="130">
        <f t="shared" si="1"/>
        <v>6971.8621487597084</v>
      </c>
      <c r="AY175" s="130">
        <f t="shared" si="1"/>
        <v>7118.1597658757719</v>
      </c>
    </row>
    <row r="176" spans="1:52" x14ac:dyDescent="0.2">
      <c r="A176" s="131"/>
      <c r="B176" s="142" t="s">
        <v>299</v>
      </c>
      <c r="C176" s="131" t="s">
        <v>293</v>
      </c>
      <c r="D176" s="131">
        <v>485</v>
      </c>
      <c r="E176" s="131">
        <v>462</v>
      </c>
      <c r="F176" s="131">
        <v>547</v>
      </c>
      <c r="G176" s="131">
        <v>673</v>
      </c>
      <c r="H176" s="131">
        <v>816</v>
      </c>
      <c r="I176" s="131">
        <v>717</v>
      </c>
      <c r="J176" s="131">
        <v>719</v>
      </c>
      <c r="K176" s="131">
        <v>837</v>
      </c>
      <c r="L176" s="131">
        <v>634</v>
      </c>
      <c r="M176" s="131">
        <v>612</v>
      </c>
      <c r="N176" s="131">
        <v>552</v>
      </c>
      <c r="O176" s="131">
        <v>457</v>
      </c>
      <c r="P176" s="131">
        <v>271</v>
      </c>
      <c r="Q176" s="131">
        <v>369</v>
      </c>
      <c r="R176" s="131">
        <v>395</v>
      </c>
      <c r="S176" s="131">
        <v>412</v>
      </c>
      <c r="T176" s="131">
        <v>476</v>
      </c>
      <c r="U176" s="131">
        <v>475</v>
      </c>
      <c r="V176" s="131">
        <v>453</v>
      </c>
      <c r="W176" s="131">
        <v>585</v>
      </c>
      <c r="X176" s="131">
        <v>590</v>
      </c>
      <c r="Y176" s="131">
        <v>853</v>
      </c>
      <c r="Z176" s="131">
        <v>850</v>
      </c>
      <c r="AA176" s="131">
        <v>553</v>
      </c>
      <c r="AB176" s="131">
        <v>177</v>
      </c>
      <c r="AC176" s="131">
        <v>178</v>
      </c>
      <c r="AD176" s="131">
        <v>175</v>
      </c>
      <c r="AE176" s="131">
        <v>174</v>
      </c>
      <c r="AF176" s="131">
        <v>205</v>
      </c>
      <c r="AG176" s="131">
        <v>253</v>
      </c>
      <c r="AH176" s="131">
        <v>217</v>
      </c>
      <c r="AI176" s="131">
        <v>189</v>
      </c>
      <c r="AJ176" s="131">
        <v>260</v>
      </c>
      <c r="AK176" s="131">
        <v>281</v>
      </c>
      <c r="AL176" s="131">
        <v>284</v>
      </c>
      <c r="AM176" s="131">
        <v>286</v>
      </c>
      <c r="AN176" s="131">
        <v>530</v>
      </c>
      <c r="AO176" s="131">
        <v>536</v>
      </c>
      <c r="AP176" s="131">
        <v>552</v>
      </c>
      <c r="AQ176" s="131">
        <v>441</v>
      </c>
      <c r="AR176" s="131">
        <v>299</v>
      </c>
      <c r="AS176" s="131">
        <v>245</v>
      </c>
      <c r="AT176" s="131">
        <v>273</v>
      </c>
      <c r="AU176" s="131">
        <v>316</v>
      </c>
      <c r="AV176" s="131">
        <v>257</v>
      </c>
      <c r="AW176" s="131">
        <v>269</v>
      </c>
      <c r="AX176" s="131">
        <v>234</v>
      </c>
      <c r="AY176" s="131">
        <v>170</v>
      </c>
    </row>
    <row r="177" spans="1:51" x14ac:dyDescent="0.2">
      <c r="A177" s="141" t="s">
        <v>133</v>
      </c>
      <c r="B177" s="141" t="s">
        <v>298</v>
      </c>
      <c r="C177" s="130" t="s">
        <v>293</v>
      </c>
      <c r="D177" s="130">
        <f t="shared" ref="D177:AY177" si="2">SUM(D100:D107)</f>
        <v>21</v>
      </c>
      <c r="E177" s="130">
        <f t="shared" si="2"/>
        <v>0</v>
      </c>
      <c r="F177" s="130">
        <f t="shared" si="2"/>
        <v>32</v>
      </c>
      <c r="G177" s="130">
        <f t="shared" si="2"/>
        <v>11</v>
      </c>
      <c r="H177" s="130">
        <f t="shared" si="2"/>
        <v>11</v>
      </c>
      <c r="I177" s="130">
        <f t="shared" si="2"/>
        <v>11</v>
      </c>
      <c r="J177" s="130">
        <f t="shared" si="2"/>
        <v>11</v>
      </c>
      <c r="K177" s="130">
        <f t="shared" si="2"/>
        <v>11</v>
      </c>
      <c r="L177" s="130">
        <f t="shared" si="2"/>
        <v>11</v>
      </c>
      <c r="M177" s="130">
        <f t="shared" si="2"/>
        <v>11</v>
      </c>
      <c r="N177" s="130">
        <f t="shared" si="2"/>
        <v>0</v>
      </c>
      <c r="O177" s="130">
        <f t="shared" si="2"/>
        <v>22</v>
      </c>
      <c r="P177" s="130">
        <f t="shared" si="2"/>
        <v>0</v>
      </c>
      <c r="Q177" s="130">
        <f t="shared" si="2"/>
        <v>11</v>
      </c>
      <c r="R177" s="130">
        <f t="shared" si="2"/>
        <v>11</v>
      </c>
      <c r="S177" s="130">
        <f t="shared" si="2"/>
        <v>11</v>
      </c>
      <c r="T177" s="130">
        <f t="shared" si="2"/>
        <v>11</v>
      </c>
      <c r="U177" s="130">
        <f t="shared" si="2"/>
        <v>22</v>
      </c>
      <c r="V177" s="130">
        <f t="shared" si="2"/>
        <v>11</v>
      </c>
      <c r="W177" s="130">
        <f t="shared" si="2"/>
        <v>0</v>
      </c>
      <c r="X177" s="130">
        <f t="shared" si="2"/>
        <v>0</v>
      </c>
      <c r="Y177" s="130">
        <f t="shared" si="2"/>
        <v>33</v>
      </c>
      <c r="Z177" s="130">
        <f t="shared" si="2"/>
        <v>0</v>
      </c>
      <c r="AA177" s="130">
        <f t="shared" si="2"/>
        <v>11</v>
      </c>
      <c r="AB177" s="130">
        <f t="shared" si="2"/>
        <v>22</v>
      </c>
      <c r="AC177" s="130">
        <f t="shared" si="2"/>
        <v>11</v>
      </c>
      <c r="AD177" s="130">
        <f t="shared" si="2"/>
        <v>11</v>
      </c>
      <c r="AE177" s="130">
        <f t="shared" si="2"/>
        <v>11</v>
      </c>
      <c r="AF177" s="130">
        <f t="shared" si="2"/>
        <v>11</v>
      </c>
      <c r="AG177" s="130">
        <f t="shared" si="2"/>
        <v>11</v>
      </c>
      <c r="AH177" s="130">
        <f t="shared" si="2"/>
        <v>0</v>
      </c>
      <c r="AI177" s="130">
        <f t="shared" si="2"/>
        <v>22</v>
      </c>
      <c r="AJ177" s="130">
        <f t="shared" si="2"/>
        <v>11</v>
      </c>
      <c r="AK177" s="130">
        <f t="shared" si="2"/>
        <v>0</v>
      </c>
      <c r="AL177" s="130">
        <f t="shared" si="2"/>
        <v>22</v>
      </c>
      <c r="AM177" s="130">
        <f t="shared" si="2"/>
        <v>0</v>
      </c>
      <c r="AN177" s="130">
        <f t="shared" si="2"/>
        <v>11</v>
      </c>
      <c r="AO177" s="130">
        <f t="shared" si="2"/>
        <v>11</v>
      </c>
      <c r="AP177" s="130">
        <f t="shared" si="2"/>
        <v>0</v>
      </c>
      <c r="AQ177" s="130">
        <f t="shared" si="2"/>
        <v>11</v>
      </c>
      <c r="AR177" s="130">
        <f t="shared" si="2"/>
        <v>22</v>
      </c>
      <c r="AS177" s="130">
        <f t="shared" si="2"/>
        <v>0</v>
      </c>
      <c r="AT177" s="130">
        <f t="shared" si="2"/>
        <v>11</v>
      </c>
      <c r="AU177" s="130">
        <f t="shared" si="2"/>
        <v>0</v>
      </c>
      <c r="AV177" s="130">
        <f t="shared" si="2"/>
        <v>11</v>
      </c>
      <c r="AW177" s="130">
        <f t="shared" si="2"/>
        <v>22</v>
      </c>
      <c r="AX177" s="130">
        <f t="shared" si="2"/>
        <v>11</v>
      </c>
      <c r="AY177" s="130">
        <f t="shared" si="2"/>
        <v>11</v>
      </c>
    </row>
    <row r="178" spans="1:51" x14ac:dyDescent="0.2">
      <c r="A178" s="131"/>
      <c r="B178" s="142" t="s">
        <v>299</v>
      </c>
      <c r="C178" s="131" t="s">
        <v>293</v>
      </c>
      <c r="D178" s="131">
        <v>21</v>
      </c>
      <c r="E178" s="131">
        <v>0</v>
      </c>
      <c r="F178" s="131">
        <v>32</v>
      </c>
      <c r="G178" s="131">
        <v>11</v>
      </c>
      <c r="H178" s="131">
        <v>11</v>
      </c>
      <c r="I178" s="131">
        <v>11</v>
      </c>
      <c r="J178" s="131">
        <v>11</v>
      </c>
      <c r="K178" s="131">
        <v>11</v>
      </c>
      <c r="L178" s="131">
        <v>11</v>
      </c>
      <c r="M178" s="131">
        <v>11</v>
      </c>
      <c r="N178" s="131">
        <v>0</v>
      </c>
      <c r="O178" s="131">
        <v>22</v>
      </c>
      <c r="P178" s="131">
        <v>0</v>
      </c>
      <c r="Q178" s="131">
        <v>11</v>
      </c>
      <c r="R178" s="131">
        <v>11</v>
      </c>
      <c r="S178" s="131">
        <v>11</v>
      </c>
      <c r="T178" s="131">
        <v>11</v>
      </c>
      <c r="U178" s="131">
        <v>22</v>
      </c>
      <c r="V178" s="131">
        <v>11</v>
      </c>
      <c r="W178" s="131">
        <v>0</v>
      </c>
      <c r="X178" s="131">
        <v>0</v>
      </c>
      <c r="Y178" s="131">
        <v>33</v>
      </c>
      <c r="Z178" s="131">
        <v>0</v>
      </c>
      <c r="AA178" s="131">
        <v>11</v>
      </c>
      <c r="AB178" s="131">
        <v>22</v>
      </c>
      <c r="AC178" s="131">
        <v>11</v>
      </c>
      <c r="AD178" s="131">
        <v>11</v>
      </c>
      <c r="AE178" s="131">
        <v>11</v>
      </c>
      <c r="AF178" s="131">
        <v>11</v>
      </c>
      <c r="AG178" s="131">
        <v>11</v>
      </c>
      <c r="AH178" s="131">
        <v>0</v>
      </c>
      <c r="AI178" s="131">
        <v>22</v>
      </c>
      <c r="AJ178" s="131">
        <v>11</v>
      </c>
      <c r="AK178" s="131">
        <v>0</v>
      </c>
      <c r="AL178" s="131">
        <v>22</v>
      </c>
      <c r="AM178" s="131">
        <v>0</v>
      </c>
      <c r="AN178" s="131">
        <v>11</v>
      </c>
      <c r="AO178" s="131">
        <v>11</v>
      </c>
      <c r="AP178" s="131">
        <v>0</v>
      </c>
      <c r="AQ178" s="131">
        <v>11</v>
      </c>
      <c r="AR178" s="131">
        <v>22</v>
      </c>
      <c r="AS178" s="131">
        <v>0</v>
      </c>
      <c r="AT178" s="131">
        <v>11</v>
      </c>
      <c r="AU178" s="131">
        <v>0</v>
      </c>
      <c r="AV178" s="131">
        <v>11</v>
      </c>
      <c r="AW178" s="131">
        <v>22</v>
      </c>
      <c r="AX178" s="131">
        <v>11</v>
      </c>
      <c r="AY178" s="131">
        <v>11</v>
      </c>
    </row>
    <row r="179" spans="1:51" x14ac:dyDescent="0.2">
      <c r="A179" s="141" t="s">
        <v>134</v>
      </c>
      <c r="B179" s="141" t="s">
        <v>298</v>
      </c>
      <c r="C179" s="130" t="s">
        <v>293</v>
      </c>
      <c r="D179" s="130">
        <f t="shared" ref="D179:AY179" si="3">SUM(D109:D120)</f>
        <v>30003.590329840612</v>
      </c>
      <c r="E179" s="130">
        <f t="shared" si="3"/>
        <v>29810.016030652958</v>
      </c>
      <c r="F179" s="130">
        <f t="shared" si="3"/>
        <v>29761.899245057401</v>
      </c>
      <c r="G179" s="130">
        <f t="shared" si="3"/>
        <v>29851.987140305922</v>
      </c>
      <c r="H179" s="130">
        <f t="shared" si="3"/>
        <v>30469.186502643002</v>
      </c>
      <c r="I179" s="130">
        <f t="shared" si="3"/>
        <v>30694.025319911787</v>
      </c>
      <c r="J179" s="130">
        <f t="shared" si="3"/>
        <v>30932.725134280645</v>
      </c>
      <c r="K179" s="130">
        <f t="shared" si="3"/>
        <v>31033.334616525648</v>
      </c>
      <c r="L179" s="130">
        <f t="shared" si="3"/>
        <v>31131.715005806174</v>
      </c>
      <c r="M179" s="130">
        <f t="shared" si="3"/>
        <v>31093.916716047341</v>
      </c>
      <c r="N179" s="130">
        <f t="shared" si="3"/>
        <v>30996.255463485377</v>
      </c>
      <c r="O179" s="130">
        <f t="shared" si="3"/>
        <v>30832.010848148326</v>
      </c>
      <c r="P179" s="130">
        <f t="shared" si="3"/>
        <v>30359.247266264745</v>
      </c>
      <c r="Q179" s="130">
        <f t="shared" si="3"/>
        <v>30192.104652909042</v>
      </c>
      <c r="R179" s="130">
        <f t="shared" si="3"/>
        <v>30190.631710310558</v>
      </c>
      <c r="S179" s="130">
        <f t="shared" si="3"/>
        <v>30285.565933829857</v>
      </c>
      <c r="T179" s="130">
        <f t="shared" si="3"/>
        <v>30750.459985617079</v>
      </c>
      <c r="U179" s="130">
        <f t="shared" si="3"/>
        <v>30943.03904560619</v>
      </c>
      <c r="V179" s="130">
        <f t="shared" si="3"/>
        <v>31164.402677720165</v>
      </c>
      <c r="W179" s="130">
        <f t="shared" si="3"/>
        <v>31225.459851288131</v>
      </c>
      <c r="X179" s="130">
        <f t="shared" si="3"/>
        <v>31270.666434861665</v>
      </c>
      <c r="Y179" s="130">
        <f t="shared" si="3"/>
        <v>31375.072830193156</v>
      </c>
      <c r="Z179" s="130">
        <f t="shared" si="3"/>
        <v>31211.992253160428</v>
      </c>
      <c r="AA179" s="130">
        <f t="shared" si="3"/>
        <v>30873.60131228721</v>
      </c>
      <c r="AB179" s="130">
        <f t="shared" si="3"/>
        <v>30109.145335785564</v>
      </c>
      <c r="AC179" s="130">
        <f t="shared" si="3"/>
        <v>29943.981007400522</v>
      </c>
      <c r="AD179" s="130">
        <f t="shared" si="3"/>
        <v>29625.445919207319</v>
      </c>
      <c r="AE179" s="130">
        <f t="shared" si="3"/>
        <v>29224.261563390479</v>
      </c>
      <c r="AF179" s="130">
        <f t="shared" si="3"/>
        <v>28973.664330410713</v>
      </c>
      <c r="AG179" s="130">
        <f t="shared" si="3"/>
        <v>28300.964078415589</v>
      </c>
      <c r="AH179" s="130">
        <f t="shared" si="3"/>
        <v>27879.40109151923</v>
      </c>
      <c r="AI179" s="130">
        <f t="shared" si="3"/>
        <v>27698.214846879338</v>
      </c>
      <c r="AJ179" s="130">
        <f t="shared" si="3"/>
        <v>27728.898639243744</v>
      </c>
      <c r="AK179" s="130">
        <f t="shared" si="3"/>
        <v>27867.791443279199</v>
      </c>
      <c r="AL179" s="130">
        <f t="shared" si="3"/>
        <v>28032.303247544129</v>
      </c>
      <c r="AM179" s="130">
        <f t="shared" si="3"/>
        <v>28332.755859937184</v>
      </c>
      <c r="AN179" s="130">
        <f t="shared" si="3"/>
        <v>28356.815788045504</v>
      </c>
      <c r="AO179" s="130">
        <f t="shared" si="3"/>
        <v>28811.996927320528</v>
      </c>
      <c r="AP179" s="130">
        <f t="shared" si="3"/>
        <v>29437.885652229572</v>
      </c>
      <c r="AQ179" s="130">
        <f t="shared" si="3"/>
        <v>29891.096877021111</v>
      </c>
      <c r="AR179" s="130">
        <f t="shared" si="3"/>
        <v>30575.123760518658</v>
      </c>
      <c r="AS179" s="130">
        <f t="shared" si="3"/>
        <v>30943.469123727536</v>
      </c>
      <c r="AT179" s="130">
        <f t="shared" si="3"/>
        <v>31150.07986732166</v>
      </c>
      <c r="AU179" s="130">
        <f t="shared" si="3"/>
        <v>31231.089547685799</v>
      </c>
      <c r="AV179" s="130">
        <f t="shared" si="3"/>
        <v>31216.154019305053</v>
      </c>
      <c r="AW179" s="130">
        <f t="shared" si="3"/>
        <v>31050.301253897997</v>
      </c>
      <c r="AX179" s="130">
        <f t="shared" si="3"/>
        <v>30824.59838926993</v>
      </c>
      <c r="AY179" s="130">
        <f t="shared" si="3"/>
        <v>30593.114042746631</v>
      </c>
    </row>
    <row r="180" spans="1:51" x14ac:dyDescent="0.2">
      <c r="A180" s="131"/>
      <c r="B180" s="142" t="s">
        <v>299</v>
      </c>
      <c r="C180" s="131" t="s">
        <v>293</v>
      </c>
      <c r="D180" s="131">
        <v>349.11900826446282</v>
      </c>
      <c r="E180" s="131">
        <v>353</v>
      </c>
      <c r="F180" s="131">
        <v>369.20895522388059</v>
      </c>
      <c r="G180" s="131">
        <v>259.16889460154243</v>
      </c>
      <c r="H180" s="131">
        <v>452.17950889077053</v>
      </c>
      <c r="I180" s="131">
        <v>417.17505154639173</v>
      </c>
      <c r="J180" s="131">
        <v>317.18236151603497</v>
      </c>
      <c r="K180" s="131">
        <v>393.1830532212885</v>
      </c>
      <c r="L180" s="131">
        <v>846.18448717948718</v>
      </c>
      <c r="M180" s="131">
        <v>905.18026101141925</v>
      </c>
      <c r="N180" s="131">
        <v>848</v>
      </c>
      <c r="O180" s="131">
        <v>999.3282431430689</v>
      </c>
      <c r="P180" s="131">
        <v>656</v>
      </c>
      <c r="Q180" s="131">
        <v>795.14840085287847</v>
      </c>
      <c r="R180" s="131">
        <v>725.1598673300166</v>
      </c>
      <c r="S180" s="131">
        <v>868.15381679389316</v>
      </c>
      <c r="T180" s="131">
        <v>399.17929854576562</v>
      </c>
      <c r="U180" s="131">
        <v>387.30683349374397</v>
      </c>
      <c r="V180" s="131">
        <v>416.17714825306894</v>
      </c>
      <c r="W180" s="131">
        <v>295</v>
      </c>
      <c r="X180" s="131">
        <v>844</v>
      </c>
      <c r="Y180" s="131">
        <v>746.46047405509285</v>
      </c>
      <c r="Z180" s="131">
        <v>856</v>
      </c>
      <c r="AA180" s="131">
        <v>758.18818359374995</v>
      </c>
      <c r="AB180" s="131">
        <v>583.23017543859646</v>
      </c>
      <c r="AC180" s="131">
        <v>545.15686274509801</v>
      </c>
      <c r="AD180" s="131">
        <v>661.16146496815281</v>
      </c>
      <c r="AE180" s="131">
        <v>530.15980066445184</v>
      </c>
      <c r="AF180" s="131">
        <v>910.17652764306501</v>
      </c>
      <c r="AG180" s="131">
        <v>784.17693040991423</v>
      </c>
      <c r="AH180" s="131">
        <v>627</v>
      </c>
      <c r="AI180" s="131">
        <v>834.32383949645953</v>
      </c>
      <c r="AJ180" s="131">
        <v>746.16711956521738</v>
      </c>
      <c r="AK180" s="131">
        <v>786</v>
      </c>
      <c r="AL180" s="131">
        <v>642.29184357541897</v>
      </c>
      <c r="AM180" s="131">
        <v>811</v>
      </c>
      <c r="AN180" s="131">
        <v>696.18288543140034</v>
      </c>
      <c r="AO180" s="131">
        <v>676.17961246840775</v>
      </c>
      <c r="AP180" s="131">
        <v>526</v>
      </c>
      <c r="AQ180" s="131">
        <v>574.18194029850747</v>
      </c>
      <c r="AR180" s="131">
        <v>688.26327683615818</v>
      </c>
      <c r="AS180" s="131">
        <v>532</v>
      </c>
      <c r="AT180" s="131">
        <v>677.15518518518513</v>
      </c>
      <c r="AU180" s="131">
        <v>606</v>
      </c>
      <c r="AV180" s="131">
        <v>1054.1644640234949</v>
      </c>
      <c r="AW180" s="131">
        <v>1203.2732984293193</v>
      </c>
      <c r="AX180" s="131">
        <v>954.16832460732985</v>
      </c>
      <c r="AY180" s="131">
        <v>1052.1685305591677</v>
      </c>
    </row>
    <row r="181" spans="1:51" x14ac:dyDescent="0.2">
      <c r="A181" s="141" t="s">
        <v>123</v>
      </c>
      <c r="B181" s="141" t="s">
        <v>298</v>
      </c>
      <c r="C181" s="130" t="s">
        <v>293</v>
      </c>
      <c r="D181" s="130">
        <f t="shared" ref="D181:AY181" si="4">(1-D172)*SUM(D122:D169)</f>
        <v>9225.1158445192195</v>
      </c>
      <c r="E181" s="130">
        <f t="shared" si="4"/>
        <v>9424.5534487084988</v>
      </c>
      <c r="F181" s="130">
        <f t="shared" si="4"/>
        <v>9590.8893724271475</v>
      </c>
      <c r="G181" s="130">
        <f t="shared" si="4"/>
        <v>9756.9139776260563</v>
      </c>
      <c r="H181" s="130">
        <f t="shared" si="4"/>
        <v>9511.0307095394</v>
      </c>
      <c r="I181" s="130">
        <f t="shared" si="4"/>
        <v>9283.584293091053</v>
      </c>
      <c r="J181" s="130">
        <f t="shared" si="4"/>
        <v>9082.5508135820728</v>
      </c>
      <c r="K181" s="130">
        <f t="shared" si="4"/>
        <v>9029.6257113286356</v>
      </c>
      <c r="L181" s="130">
        <f t="shared" si="4"/>
        <v>8897.078316658326</v>
      </c>
      <c r="M181" s="130">
        <f t="shared" si="4"/>
        <v>8945.2286045289948</v>
      </c>
      <c r="N181" s="130">
        <f t="shared" si="4"/>
        <v>8981.570391124118</v>
      </c>
      <c r="O181" s="130">
        <f t="shared" si="4"/>
        <v>9055.8575105753062</v>
      </c>
      <c r="P181" s="130">
        <f t="shared" si="4"/>
        <v>9374.2174897262212</v>
      </c>
      <c r="Q181" s="130">
        <f t="shared" si="4"/>
        <v>9574.7048141617743</v>
      </c>
      <c r="R181" s="130">
        <f t="shared" si="4"/>
        <v>9671.3217348625203</v>
      </c>
      <c r="S181" s="130">
        <f t="shared" si="4"/>
        <v>9748.5676765593798</v>
      </c>
      <c r="T181" s="130">
        <f t="shared" si="4"/>
        <v>9477.4592661580518</v>
      </c>
      <c r="U181" s="130">
        <f t="shared" si="4"/>
        <v>9313.603433675873</v>
      </c>
      <c r="V181" s="130">
        <f t="shared" si="4"/>
        <v>9040.4425955810984</v>
      </c>
      <c r="W181" s="130">
        <f t="shared" si="4"/>
        <v>8954.1930358335103</v>
      </c>
      <c r="X181" s="130">
        <f t="shared" si="4"/>
        <v>8812.1196477787198</v>
      </c>
      <c r="Y181" s="130">
        <f t="shared" si="4"/>
        <v>8333.8327644230212</v>
      </c>
      <c r="Z181" s="130">
        <f t="shared" si="4"/>
        <v>8070.2626931956729</v>
      </c>
      <c r="AA181" s="130">
        <f t="shared" si="4"/>
        <v>7918.0180091753282</v>
      </c>
      <c r="AB181" s="130">
        <f t="shared" si="4"/>
        <v>8020.888964059649</v>
      </c>
      <c r="AC181" s="130">
        <f t="shared" si="4"/>
        <v>7883.8162880112286</v>
      </c>
      <c r="AD181" s="130">
        <f t="shared" si="4"/>
        <v>7720.057934628825</v>
      </c>
      <c r="AE181" s="130">
        <f t="shared" si="4"/>
        <v>7694.1442212665424</v>
      </c>
      <c r="AF181" s="130">
        <f t="shared" si="4"/>
        <v>7312.0536787611018</v>
      </c>
      <c r="AG181" s="130">
        <f t="shared" si="4"/>
        <v>7839.4822220049082</v>
      </c>
      <c r="AH181" s="130">
        <f t="shared" si="4"/>
        <v>8217.3072407314303</v>
      </c>
      <c r="AI181" s="130">
        <f t="shared" si="4"/>
        <v>8493.3799291667729</v>
      </c>
      <c r="AJ181" s="130">
        <f t="shared" si="4"/>
        <v>8683.7668321058827</v>
      </c>
      <c r="AK181" s="130">
        <f t="shared" si="4"/>
        <v>8855.1655192938815</v>
      </c>
      <c r="AL181" s="130">
        <f t="shared" si="4"/>
        <v>8986.7274719608049</v>
      </c>
      <c r="AM181" s="130">
        <f t="shared" si="4"/>
        <v>9026.7760009554477</v>
      </c>
      <c r="AN181" s="130">
        <f t="shared" si="4"/>
        <v>9425.1180287431725</v>
      </c>
      <c r="AO181" s="130">
        <f t="shared" si="4"/>
        <v>9605.6578775141879</v>
      </c>
      <c r="AP181" s="130">
        <f t="shared" si="4"/>
        <v>9648.0780200964982</v>
      </c>
      <c r="AQ181" s="130">
        <f t="shared" si="4"/>
        <v>9747.0577279482204</v>
      </c>
      <c r="AR181" s="130">
        <f t="shared" si="4"/>
        <v>9450.9839060657741</v>
      </c>
      <c r="AS181" s="130">
        <f t="shared" si="4"/>
        <v>9160.308272212038</v>
      </c>
      <c r="AT181" s="130">
        <f t="shared" si="4"/>
        <v>8929.5877847391548</v>
      </c>
      <c r="AU181" s="130">
        <f t="shared" si="4"/>
        <v>8765.9190572058869</v>
      </c>
      <c r="AV181" s="130">
        <f t="shared" si="4"/>
        <v>8641.6409403972302</v>
      </c>
      <c r="AW181" s="130">
        <f t="shared" si="4"/>
        <v>8740.5899718153341</v>
      </c>
      <c r="AX181" s="130">
        <f t="shared" si="4"/>
        <v>8834.671727400575</v>
      </c>
      <c r="AY181" s="130">
        <f t="shared" si="4"/>
        <v>8896.3977355214593</v>
      </c>
    </row>
    <row r="182" spans="1:51" x14ac:dyDescent="0.2">
      <c r="A182" s="131"/>
      <c r="B182" s="142" t="s">
        <v>299</v>
      </c>
      <c r="C182" s="131" t="s">
        <v>293</v>
      </c>
      <c r="D182" s="131">
        <v>425.11900826446282</v>
      </c>
      <c r="E182" s="131">
        <v>395</v>
      </c>
      <c r="F182" s="131">
        <v>332.20895522388059</v>
      </c>
      <c r="G182" s="131">
        <v>370.16889460154243</v>
      </c>
      <c r="H182" s="131">
        <v>438.17950889077053</v>
      </c>
      <c r="I182" s="131">
        <v>488.17505154639173</v>
      </c>
      <c r="J182" s="131">
        <v>360.18236151603497</v>
      </c>
      <c r="K182" s="131">
        <v>490.1830532212885</v>
      </c>
      <c r="L182" s="131">
        <v>291.18448717948718</v>
      </c>
      <c r="M182" s="131">
        <v>289.18026101141925</v>
      </c>
      <c r="N182" s="131">
        <v>223</v>
      </c>
      <c r="O182" s="131">
        <v>325.32824314306896</v>
      </c>
      <c r="P182" s="131">
        <v>367</v>
      </c>
      <c r="Q182" s="131">
        <v>434.14840085287847</v>
      </c>
      <c r="R182" s="131">
        <v>424.1598673300166</v>
      </c>
      <c r="S182" s="131">
        <v>408.15381679389316</v>
      </c>
      <c r="T182" s="131">
        <v>363.17929854576562</v>
      </c>
      <c r="U182" s="131">
        <v>576.30683349374397</v>
      </c>
      <c r="V182" s="131">
        <v>422.17714825306894</v>
      </c>
      <c r="W182" s="131">
        <v>532</v>
      </c>
      <c r="X182" s="131">
        <v>1050</v>
      </c>
      <c r="Y182" s="131">
        <v>935.46047405509285</v>
      </c>
      <c r="Z182" s="131">
        <v>882</v>
      </c>
      <c r="AA182" s="131">
        <v>1055.18818359375</v>
      </c>
      <c r="AB182" s="131">
        <v>1347.2301754385965</v>
      </c>
      <c r="AC182" s="131">
        <v>1436.1568627450981</v>
      </c>
      <c r="AD182" s="131">
        <v>1308.1614649681528</v>
      </c>
      <c r="AE182" s="131">
        <v>1342.1598006644517</v>
      </c>
      <c r="AF182" s="131">
        <v>232.17652764306499</v>
      </c>
      <c r="AG182" s="131">
        <v>238.17693040991421</v>
      </c>
      <c r="AH182" s="131">
        <v>235</v>
      </c>
      <c r="AI182" s="131">
        <v>248.32383949645947</v>
      </c>
      <c r="AJ182" s="131">
        <v>202.1671195652174</v>
      </c>
      <c r="AK182" s="131">
        <v>192</v>
      </c>
      <c r="AL182" s="131">
        <v>268.29184357541902</v>
      </c>
      <c r="AM182" s="131">
        <v>226</v>
      </c>
      <c r="AN182" s="131">
        <v>375.18288543140028</v>
      </c>
      <c r="AO182" s="131">
        <v>497.17961246840775</v>
      </c>
      <c r="AP182" s="131">
        <v>403</v>
      </c>
      <c r="AQ182" s="131">
        <v>443.18194029850747</v>
      </c>
      <c r="AR182" s="131">
        <v>548.26327683615818</v>
      </c>
      <c r="AS182" s="131">
        <v>576</v>
      </c>
      <c r="AT182" s="131">
        <v>571.15518518518513</v>
      </c>
      <c r="AU182" s="131">
        <v>579</v>
      </c>
      <c r="AV182" s="131">
        <v>318.16446402349487</v>
      </c>
      <c r="AW182" s="131">
        <v>287.27329842931937</v>
      </c>
      <c r="AX182" s="131">
        <v>296.16832460732985</v>
      </c>
      <c r="AY182" s="131">
        <v>273.16853055916778</v>
      </c>
    </row>
    <row r="184" spans="1:51" x14ac:dyDescent="0.2">
      <c r="A184" s="108" t="s">
        <v>300</v>
      </c>
    </row>
    <row r="185" spans="1:51" x14ac:dyDescent="0.2">
      <c r="A185" s="132" t="s">
        <v>125</v>
      </c>
      <c r="B185" s="129">
        <v>1</v>
      </c>
      <c r="C185" s="130">
        <v>249</v>
      </c>
      <c r="D185" s="130">
        <v>485</v>
      </c>
      <c r="E185" s="130">
        <v>462</v>
      </c>
      <c r="F185" s="130">
        <v>547</v>
      </c>
      <c r="G185" s="130">
        <v>673</v>
      </c>
      <c r="H185" s="130">
        <v>816</v>
      </c>
      <c r="I185" s="130">
        <v>717</v>
      </c>
      <c r="J185" s="130">
        <v>719</v>
      </c>
      <c r="K185" s="130">
        <v>837</v>
      </c>
      <c r="L185" s="130">
        <v>634</v>
      </c>
      <c r="M185" s="130">
        <v>612</v>
      </c>
      <c r="N185" s="130">
        <v>552</v>
      </c>
      <c r="O185" s="130">
        <v>457</v>
      </c>
      <c r="P185" s="130">
        <v>271</v>
      </c>
      <c r="Q185" s="130">
        <v>369</v>
      </c>
      <c r="R185" s="130">
        <v>395</v>
      </c>
      <c r="S185" s="130">
        <v>412</v>
      </c>
      <c r="T185" s="130">
        <v>476</v>
      </c>
      <c r="U185" s="130">
        <v>475</v>
      </c>
      <c r="V185" s="130">
        <v>453</v>
      </c>
      <c r="W185" s="130">
        <v>585</v>
      </c>
      <c r="X185" s="130">
        <v>590</v>
      </c>
      <c r="Y185" s="130">
        <v>853</v>
      </c>
      <c r="Z185" s="130">
        <v>850</v>
      </c>
      <c r="AA185" s="130">
        <v>553</v>
      </c>
      <c r="AB185" s="130">
        <v>177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530</v>
      </c>
      <c r="AO185" s="130">
        <v>536</v>
      </c>
      <c r="AP185" s="130">
        <v>552</v>
      </c>
      <c r="AQ185" s="130">
        <v>441</v>
      </c>
      <c r="AR185" s="130">
        <v>299</v>
      </c>
      <c r="AS185" s="130">
        <v>245</v>
      </c>
      <c r="AT185" s="130">
        <v>273</v>
      </c>
      <c r="AU185" s="130">
        <v>316</v>
      </c>
      <c r="AV185" s="130">
        <v>257</v>
      </c>
      <c r="AW185" s="130">
        <v>269</v>
      </c>
      <c r="AX185" s="130">
        <v>234</v>
      </c>
      <c r="AY185" s="130">
        <v>170</v>
      </c>
    </row>
    <row r="186" spans="1:51" x14ac:dyDescent="0.2">
      <c r="A186" s="115"/>
      <c r="B186" s="126">
        <v>2</v>
      </c>
      <c r="C186" s="112">
        <v>0</v>
      </c>
      <c r="D186" s="112">
        <v>0</v>
      </c>
      <c r="E186" s="112">
        <v>0</v>
      </c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178</v>
      </c>
      <c r="AD186" s="112">
        <v>175</v>
      </c>
      <c r="AE186" s="112">
        <v>174</v>
      </c>
      <c r="AF186" s="112">
        <v>205</v>
      </c>
      <c r="AG186" s="112">
        <v>253</v>
      </c>
      <c r="AH186" s="112">
        <v>217</v>
      </c>
      <c r="AI186" s="112">
        <v>189</v>
      </c>
      <c r="AJ186" s="112">
        <v>260</v>
      </c>
      <c r="AK186" s="112">
        <v>281</v>
      </c>
      <c r="AL186" s="112">
        <v>284</v>
      </c>
      <c r="AM186" s="112">
        <v>286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>
        <v>0</v>
      </c>
      <c r="D187" s="112">
        <v>0</v>
      </c>
      <c r="E187" s="112">
        <v>0</v>
      </c>
      <c r="F187" s="112">
        <v>0</v>
      </c>
      <c r="G187" s="112">
        <v>0</v>
      </c>
      <c r="H187" s="112">
        <v>0</v>
      </c>
      <c r="I187" s="112">
        <v>0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>
        <v>0</v>
      </c>
      <c r="D188" s="112">
        <v>0</v>
      </c>
      <c r="E188" s="112">
        <v>0</v>
      </c>
      <c r="F188" s="112">
        <v>0</v>
      </c>
      <c r="G188" s="112">
        <v>0</v>
      </c>
      <c r="H188" s="112">
        <v>0</v>
      </c>
      <c r="I188" s="112">
        <v>0</v>
      </c>
      <c r="J188" s="112">
        <v>0</v>
      </c>
      <c r="K188" s="112">
        <v>0</v>
      </c>
      <c r="L188" s="112">
        <v>0</v>
      </c>
      <c r="M188" s="112">
        <v>0</v>
      </c>
      <c r="N188" s="112">
        <v>0</v>
      </c>
      <c r="O188" s="112">
        <v>0</v>
      </c>
      <c r="P188" s="112">
        <v>0</v>
      </c>
      <c r="Q188" s="112">
        <v>0</v>
      </c>
      <c r="R188" s="112">
        <v>0</v>
      </c>
      <c r="S188" s="112">
        <v>0</v>
      </c>
      <c r="T188" s="112">
        <v>0</v>
      </c>
      <c r="U188" s="112">
        <v>0</v>
      </c>
      <c r="V188" s="112">
        <v>0</v>
      </c>
      <c r="W188" s="112">
        <v>0</v>
      </c>
      <c r="X188" s="112">
        <v>0</v>
      </c>
      <c r="Y188" s="112">
        <v>0</v>
      </c>
      <c r="Z188" s="112">
        <v>0</v>
      </c>
      <c r="AA188" s="112">
        <v>0</v>
      </c>
      <c r="AB188" s="112">
        <v>0</v>
      </c>
      <c r="AC188" s="112">
        <v>0</v>
      </c>
      <c r="AD188" s="112">
        <v>0</v>
      </c>
      <c r="AE188" s="112">
        <v>0</v>
      </c>
      <c r="AF188" s="112">
        <v>0</v>
      </c>
      <c r="AG188" s="112">
        <v>0</v>
      </c>
      <c r="AH188" s="112">
        <v>0</v>
      </c>
      <c r="AI188" s="112">
        <v>0</v>
      </c>
      <c r="AJ188" s="112">
        <v>0</v>
      </c>
      <c r="AK188" s="112">
        <v>0</v>
      </c>
      <c r="AL188" s="112">
        <v>0</v>
      </c>
      <c r="AM188" s="112">
        <v>0</v>
      </c>
      <c r="AN188" s="112">
        <v>0</v>
      </c>
      <c r="AO188" s="112">
        <v>0</v>
      </c>
      <c r="AP188" s="112">
        <v>0</v>
      </c>
      <c r="AQ188" s="112">
        <v>0</v>
      </c>
      <c r="AR188" s="112">
        <v>0</v>
      </c>
      <c r="AS188" s="112">
        <v>0</v>
      </c>
      <c r="AT188" s="112">
        <v>0</v>
      </c>
      <c r="AU188" s="112">
        <v>0</v>
      </c>
      <c r="AV188" s="112">
        <v>0</v>
      </c>
      <c r="AW188" s="112">
        <v>0</v>
      </c>
      <c r="AX188" s="112">
        <v>0</v>
      </c>
      <c r="AY188" s="112">
        <v>0</v>
      </c>
    </row>
    <row r="189" spans="1:51" x14ac:dyDescent="0.2">
      <c r="A189" s="132" t="s">
        <v>133</v>
      </c>
      <c r="B189" s="129">
        <v>1</v>
      </c>
      <c r="C189" s="130">
        <v>21</v>
      </c>
      <c r="D189" s="130">
        <v>21</v>
      </c>
      <c r="E189" s="130">
        <v>0</v>
      </c>
      <c r="F189" s="130">
        <v>11</v>
      </c>
      <c r="G189" s="130">
        <v>11</v>
      </c>
      <c r="H189" s="130">
        <v>11</v>
      </c>
      <c r="I189" s="130">
        <v>11</v>
      </c>
      <c r="J189" s="130">
        <v>11</v>
      </c>
      <c r="K189" s="130">
        <v>11</v>
      </c>
      <c r="L189" s="130">
        <v>11</v>
      </c>
      <c r="M189" s="130">
        <v>11</v>
      </c>
      <c r="N189" s="130">
        <v>0</v>
      </c>
      <c r="O189" s="130">
        <v>11</v>
      </c>
      <c r="P189" s="130">
        <v>0</v>
      </c>
      <c r="Q189" s="130">
        <v>0</v>
      </c>
      <c r="R189" s="130">
        <v>11</v>
      </c>
      <c r="S189" s="130">
        <v>0</v>
      </c>
      <c r="T189" s="130">
        <v>11</v>
      </c>
      <c r="U189" s="130">
        <v>11</v>
      </c>
      <c r="V189" s="130">
        <v>11</v>
      </c>
      <c r="W189" s="130">
        <v>0</v>
      </c>
      <c r="X189" s="130">
        <v>0</v>
      </c>
      <c r="Y189" s="130">
        <v>11</v>
      </c>
      <c r="Z189" s="130">
        <v>0</v>
      </c>
      <c r="AA189" s="130">
        <v>11</v>
      </c>
      <c r="AB189" s="130">
        <v>11</v>
      </c>
      <c r="AC189" s="130">
        <v>11</v>
      </c>
      <c r="AD189" s="130">
        <v>11</v>
      </c>
      <c r="AE189" s="130">
        <v>11</v>
      </c>
      <c r="AF189" s="130">
        <v>11</v>
      </c>
      <c r="AG189" s="130">
        <v>11</v>
      </c>
      <c r="AH189" s="130">
        <v>0</v>
      </c>
      <c r="AI189" s="130">
        <v>11</v>
      </c>
      <c r="AJ189" s="130">
        <v>11</v>
      </c>
      <c r="AK189" s="130">
        <v>0</v>
      </c>
      <c r="AL189" s="130">
        <v>11</v>
      </c>
      <c r="AM189" s="130">
        <v>0</v>
      </c>
      <c r="AN189" s="130">
        <v>11</v>
      </c>
      <c r="AO189" s="130">
        <v>11</v>
      </c>
      <c r="AP189" s="130">
        <v>0</v>
      </c>
      <c r="AQ189" s="130">
        <v>11</v>
      </c>
      <c r="AR189" s="130">
        <v>11</v>
      </c>
      <c r="AS189" s="130">
        <v>0</v>
      </c>
      <c r="AT189" s="130">
        <v>0</v>
      </c>
      <c r="AU189" s="130">
        <v>0</v>
      </c>
      <c r="AV189" s="130">
        <v>0</v>
      </c>
      <c r="AW189" s="130">
        <v>0</v>
      </c>
      <c r="AX189" s="130">
        <v>0</v>
      </c>
      <c r="AY189" s="130">
        <v>0</v>
      </c>
    </row>
    <row r="190" spans="1:51" x14ac:dyDescent="0.2">
      <c r="A190" s="115"/>
      <c r="B190" s="125">
        <v>2</v>
      </c>
      <c r="C190" s="112">
        <v>21</v>
      </c>
      <c r="D190" s="112">
        <v>0</v>
      </c>
      <c r="E190" s="112">
        <v>0</v>
      </c>
      <c r="F190" s="112">
        <v>21</v>
      </c>
      <c r="G190" s="112">
        <v>0</v>
      </c>
      <c r="H190" s="112">
        <v>0</v>
      </c>
      <c r="I190" s="112">
        <v>0</v>
      </c>
      <c r="J190" s="112">
        <v>0</v>
      </c>
      <c r="K190" s="112">
        <v>0</v>
      </c>
      <c r="L190" s="112">
        <v>0</v>
      </c>
      <c r="M190" s="112">
        <v>0</v>
      </c>
      <c r="N190" s="112">
        <v>0</v>
      </c>
      <c r="O190" s="112">
        <v>11</v>
      </c>
      <c r="P190" s="112">
        <v>0</v>
      </c>
      <c r="Q190" s="112">
        <v>11</v>
      </c>
      <c r="R190" s="112">
        <v>0</v>
      </c>
      <c r="S190" s="112">
        <v>0</v>
      </c>
      <c r="T190" s="112">
        <v>0</v>
      </c>
      <c r="U190" s="112">
        <v>0</v>
      </c>
      <c r="V190" s="112">
        <v>0</v>
      </c>
      <c r="W190" s="112">
        <v>0</v>
      </c>
      <c r="X190" s="112">
        <v>0</v>
      </c>
      <c r="Y190" s="112">
        <v>11</v>
      </c>
      <c r="Z190" s="112">
        <v>0</v>
      </c>
      <c r="AA190" s="112">
        <v>0</v>
      </c>
      <c r="AB190" s="112">
        <v>0</v>
      </c>
      <c r="AC190" s="112">
        <v>0</v>
      </c>
      <c r="AD190" s="112">
        <v>0</v>
      </c>
      <c r="AE190" s="112">
        <v>0</v>
      </c>
      <c r="AF190" s="112">
        <v>0</v>
      </c>
      <c r="AG190" s="112">
        <v>0</v>
      </c>
      <c r="AH190" s="112">
        <v>0</v>
      </c>
      <c r="AI190" s="112">
        <v>11</v>
      </c>
      <c r="AJ190" s="112">
        <v>0</v>
      </c>
      <c r="AK190" s="112">
        <v>0</v>
      </c>
      <c r="AL190" s="112">
        <v>11</v>
      </c>
      <c r="AM190" s="112">
        <v>0</v>
      </c>
      <c r="AN190" s="112">
        <v>0</v>
      </c>
      <c r="AO190" s="112">
        <v>0</v>
      </c>
      <c r="AP190" s="112">
        <v>0</v>
      </c>
      <c r="AQ190" s="112">
        <v>0</v>
      </c>
      <c r="AR190" s="112">
        <v>0</v>
      </c>
      <c r="AS190" s="112">
        <v>0</v>
      </c>
      <c r="AT190" s="112">
        <v>11</v>
      </c>
      <c r="AU190" s="112">
        <v>0</v>
      </c>
      <c r="AV190" s="112">
        <v>0</v>
      </c>
      <c r="AW190" s="112">
        <v>11</v>
      </c>
      <c r="AX190" s="112">
        <v>11</v>
      </c>
      <c r="AY190" s="112">
        <v>11</v>
      </c>
    </row>
    <row r="191" spans="1:51" x14ac:dyDescent="0.2">
      <c r="A191" s="115"/>
      <c r="B191" s="126">
        <v>3</v>
      </c>
      <c r="C191" s="112">
        <v>0</v>
      </c>
      <c r="D191" s="112">
        <v>0</v>
      </c>
      <c r="E191" s="112">
        <v>0</v>
      </c>
      <c r="F191" s="112">
        <v>0</v>
      </c>
      <c r="G191" s="112">
        <v>0</v>
      </c>
      <c r="H191" s="112">
        <v>0</v>
      </c>
      <c r="I191" s="112">
        <v>0</v>
      </c>
      <c r="J191" s="112">
        <v>0</v>
      </c>
      <c r="K191" s="112">
        <v>0</v>
      </c>
      <c r="L191" s="112">
        <v>0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11</v>
      </c>
      <c r="T191" s="112">
        <v>0</v>
      </c>
      <c r="U191" s="112">
        <v>11</v>
      </c>
      <c r="V191" s="112">
        <v>0</v>
      </c>
      <c r="W191" s="112">
        <v>0</v>
      </c>
      <c r="X191" s="112">
        <v>0</v>
      </c>
      <c r="Y191" s="112">
        <v>11</v>
      </c>
      <c r="Z191" s="112">
        <v>0</v>
      </c>
      <c r="AA191" s="112">
        <v>0</v>
      </c>
      <c r="AB191" s="112">
        <v>11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0</v>
      </c>
      <c r="AP191" s="112">
        <v>0</v>
      </c>
      <c r="AQ191" s="112">
        <v>0</v>
      </c>
      <c r="AR191" s="112">
        <v>11</v>
      </c>
      <c r="AS191" s="112">
        <v>0</v>
      </c>
      <c r="AT191" s="112">
        <v>0</v>
      </c>
      <c r="AU191" s="112">
        <v>0</v>
      </c>
      <c r="AV191" s="112">
        <v>11</v>
      </c>
      <c r="AW191" s="112">
        <v>11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>
        <v>0</v>
      </c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>
        <v>0</v>
      </c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>
        <v>0</v>
      </c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>
        <v>0</v>
      </c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0</v>
      </c>
      <c r="D197" s="112">
        <v>0</v>
      </c>
      <c r="E197" s="112">
        <v>0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0</v>
      </c>
      <c r="AU197" s="112">
        <v>0</v>
      </c>
      <c r="AV197" s="112">
        <v>0</v>
      </c>
      <c r="AW197" s="112">
        <v>0</v>
      </c>
      <c r="AX197" s="112">
        <v>0</v>
      </c>
      <c r="AY197" s="112">
        <v>0</v>
      </c>
    </row>
    <row r="198" spans="1:51" x14ac:dyDescent="0.2">
      <c r="A198" s="115"/>
      <c r="B198" s="125">
        <v>2</v>
      </c>
      <c r="C198" s="112">
        <v>0</v>
      </c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>
        <v>0</v>
      </c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>
        <v>0</v>
      </c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>
        <v>0</v>
      </c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>
        <v>0</v>
      </c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>
        <v>923.90169491525421</v>
      </c>
      <c r="D205" s="112">
        <v>349.11900826446282</v>
      </c>
      <c r="E205" s="112">
        <v>353</v>
      </c>
      <c r="F205" s="112">
        <v>369.20895522388059</v>
      </c>
      <c r="G205" s="112">
        <v>259.16889460154243</v>
      </c>
      <c r="H205" s="112">
        <v>452.17950889077053</v>
      </c>
      <c r="I205" s="112">
        <v>417.17505154639173</v>
      </c>
      <c r="J205" s="112">
        <v>317.18236151603497</v>
      </c>
      <c r="K205" s="112">
        <v>393.1830532212885</v>
      </c>
      <c r="L205" s="112">
        <v>846.18448717948718</v>
      </c>
      <c r="M205" s="112">
        <v>905.18026101141925</v>
      </c>
      <c r="N205" s="112">
        <v>848</v>
      </c>
      <c r="O205" s="112">
        <v>999.3282431430689</v>
      </c>
      <c r="P205" s="112">
        <v>656</v>
      </c>
      <c r="Q205" s="112">
        <v>795.14840085287847</v>
      </c>
      <c r="R205" s="112">
        <v>725.1598673300166</v>
      </c>
      <c r="S205" s="112">
        <v>868.15381679389316</v>
      </c>
      <c r="T205" s="112">
        <v>399.17929854576562</v>
      </c>
      <c r="U205" s="112">
        <v>387.30683349374397</v>
      </c>
      <c r="V205" s="112">
        <v>416.17714825306894</v>
      </c>
      <c r="W205" s="112">
        <v>295</v>
      </c>
      <c r="X205" s="112">
        <v>844</v>
      </c>
      <c r="Y205" s="112">
        <v>746.46047405509285</v>
      </c>
      <c r="Z205" s="112">
        <v>856</v>
      </c>
      <c r="AA205" s="112">
        <v>758.18818359374995</v>
      </c>
      <c r="AB205" s="112">
        <v>583.23017543859646</v>
      </c>
      <c r="AC205" s="112">
        <v>224.7967589411802</v>
      </c>
      <c r="AD205" s="112">
        <v>53.627204932873155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40.517790438665429</v>
      </c>
      <c r="AK205" s="112">
        <v>232.50244038208257</v>
      </c>
      <c r="AL205" s="112">
        <v>241.37296284438105</v>
      </c>
      <c r="AM205" s="112">
        <v>528.8212050261177</v>
      </c>
      <c r="AN205" s="112">
        <v>696.18288543140034</v>
      </c>
      <c r="AO205" s="112">
        <v>676.17961246840775</v>
      </c>
      <c r="AP205" s="112">
        <v>526</v>
      </c>
      <c r="AQ205" s="112">
        <v>574.18194029850747</v>
      </c>
      <c r="AR205" s="112">
        <v>688.26327683615818</v>
      </c>
      <c r="AS205" s="112">
        <v>532</v>
      </c>
      <c r="AT205" s="112">
        <v>677.15518518518513</v>
      </c>
      <c r="AU205" s="112">
        <v>606</v>
      </c>
      <c r="AV205" s="112">
        <v>1054.1644640234949</v>
      </c>
      <c r="AW205" s="112">
        <v>1203.2732984293193</v>
      </c>
      <c r="AX205" s="112">
        <v>954.16832460732985</v>
      </c>
      <c r="AY205" s="112">
        <v>1052.1685305591677</v>
      </c>
    </row>
    <row r="206" spans="1:51" x14ac:dyDescent="0.2">
      <c r="A206" s="115"/>
      <c r="B206" s="136">
        <v>10</v>
      </c>
      <c r="C206" s="112">
        <v>0</v>
      </c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320.36010380391781</v>
      </c>
      <c r="AD206" s="112">
        <v>607.53426003527966</v>
      </c>
      <c r="AE206" s="112">
        <v>530.15980066445184</v>
      </c>
      <c r="AF206" s="112">
        <v>910.17652764306501</v>
      </c>
      <c r="AG206" s="112">
        <v>784.17693040991423</v>
      </c>
      <c r="AH206" s="112">
        <v>627</v>
      </c>
      <c r="AI206" s="112">
        <v>834.32383949645953</v>
      </c>
      <c r="AJ206" s="112">
        <v>705.64932912655195</v>
      </c>
      <c r="AK206" s="112">
        <v>553.49755961791743</v>
      </c>
      <c r="AL206" s="112">
        <v>400.91888073103792</v>
      </c>
      <c r="AM206" s="112">
        <v>282.1787949738823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>
        <v>0</v>
      </c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>
        <v>0</v>
      </c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>
        <v>0</v>
      </c>
      <c r="D209" s="130">
        <v>0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0</v>
      </c>
      <c r="N209" s="130">
        <v>0</v>
      </c>
      <c r="O209" s="130">
        <v>0</v>
      </c>
      <c r="P209" s="130">
        <v>0</v>
      </c>
      <c r="Q209" s="130">
        <v>0</v>
      </c>
      <c r="R209" s="130">
        <v>0</v>
      </c>
      <c r="S209" s="130">
        <v>0</v>
      </c>
      <c r="T209" s="130">
        <v>0</v>
      </c>
      <c r="U209" s="130">
        <v>0</v>
      </c>
      <c r="V209" s="130">
        <v>0</v>
      </c>
      <c r="W209" s="130">
        <v>0</v>
      </c>
      <c r="X209" s="130">
        <v>0</v>
      </c>
      <c r="Y209" s="130">
        <v>0</v>
      </c>
      <c r="Z209" s="130">
        <v>0</v>
      </c>
      <c r="AA209" s="130">
        <v>0</v>
      </c>
      <c r="AB209" s="130">
        <v>0</v>
      </c>
      <c r="AC209" s="130">
        <v>0</v>
      </c>
      <c r="AD209" s="130">
        <v>0</v>
      </c>
      <c r="AE209" s="130">
        <v>0</v>
      </c>
      <c r="AF209" s="130">
        <v>0</v>
      </c>
      <c r="AG209" s="130">
        <v>0</v>
      </c>
      <c r="AH209" s="130">
        <v>0</v>
      </c>
      <c r="AI209" s="130">
        <v>0</v>
      </c>
      <c r="AJ209" s="130">
        <v>0</v>
      </c>
      <c r="AK209" s="130">
        <v>0</v>
      </c>
      <c r="AL209" s="130">
        <v>0</v>
      </c>
      <c r="AM209" s="130">
        <v>0</v>
      </c>
      <c r="AN209" s="130">
        <v>0</v>
      </c>
      <c r="AO209" s="130">
        <v>0</v>
      </c>
      <c r="AP209" s="130">
        <v>0</v>
      </c>
      <c r="AQ209" s="130">
        <v>0</v>
      </c>
      <c r="AR209" s="130">
        <v>0</v>
      </c>
      <c r="AS209" s="130">
        <v>0</v>
      </c>
      <c r="AT209" s="130">
        <v>0</v>
      </c>
      <c r="AU209" s="130">
        <v>0</v>
      </c>
      <c r="AV209" s="130">
        <v>0</v>
      </c>
      <c r="AW209" s="130">
        <v>0</v>
      </c>
      <c r="AX209" s="130">
        <v>0</v>
      </c>
      <c r="AY209" s="130">
        <v>0</v>
      </c>
    </row>
    <row r="210" spans="1:51" x14ac:dyDescent="0.2">
      <c r="A210" s="115"/>
      <c r="B210" s="125">
        <v>2</v>
      </c>
      <c r="C210" s="112">
        <v>0</v>
      </c>
      <c r="D210" s="116">
        <v>0</v>
      </c>
      <c r="E210" s="116">
        <v>0</v>
      </c>
      <c r="F210" s="116">
        <v>0</v>
      </c>
      <c r="G210" s="116">
        <v>0</v>
      </c>
      <c r="H210" s="116">
        <v>0</v>
      </c>
      <c r="I210" s="116">
        <v>0</v>
      </c>
      <c r="J210" s="116">
        <v>0</v>
      </c>
      <c r="K210" s="116">
        <v>0</v>
      </c>
      <c r="L210" s="116">
        <v>0</v>
      </c>
      <c r="M210" s="116">
        <v>0</v>
      </c>
      <c r="N210" s="116">
        <v>0</v>
      </c>
      <c r="O210" s="116">
        <v>0</v>
      </c>
      <c r="P210" s="116">
        <v>0</v>
      </c>
      <c r="Q210" s="116">
        <v>0</v>
      </c>
      <c r="R210" s="116">
        <v>0</v>
      </c>
      <c r="S210" s="116">
        <v>0</v>
      </c>
      <c r="T210" s="116">
        <v>0</v>
      </c>
      <c r="U210" s="116">
        <v>0</v>
      </c>
      <c r="V210" s="116">
        <v>0</v>
      </c>
      <c r="W210" s="116">
        <v>0</v>
      </c>
      <c r="X210" s="116">
        <v>0</v>
      </c>
      <c r="Y210" s="116">
        <v>0</v>
      </c>
      <c r="Z210" s="116">
        <v>0</v>
      </c>
      <c r="AA210" s="116">
        <v>0</v>
      </c>
      <c r="AB210" s="116">
        <v>0</v>
      </c>
      <c r="AC210" s="116">
        <v>0</v>
      </c>
      <c r="AD210" s="116">
        <v>0</v>
      </c>
      <c r="AE210" s="116">
        <v>0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116">
        <v>0</v>
      </c>
      <c r="AO210" s="116">
        <v>0</v>
      </c>
      <c r="AP210" s="116">
        <v>0</v>
      </c>
      <c r="AQ210" s="116">
        <v>0</v>
      </c>
      <c r="AR210" s="116">
        <v>0</v>
      </c>
      <c r="AS210" s="116">
        <v>0</v>
      </c>
      <c r="AT210" s="116">
        <v>0</v>
      </c>
      <c r="AU210" s="116">
        <v>0</v>
      </c>
      <c r="AV210" s="116">
        <v>0</v>
      </c>
      <c r="AW210" s="116">
        <v>0</v>
      </c>
      <c r="AX210" s="116">
        <v>0</v>
      </c>
      <c r="AY210" s="116">
        <v>0</v>
      </c>
    </row>
    <row r="211" spans="1:51" x14ac:dyDescent="0.2">
      <c r="A211" s="115"/>
      <c r="B211" s="125">
        <v>3</v>
      </c>
      <c r="C211" s="112">
        <v>0</v>
      </c>
      <c r="D211" s="116">
        <v>0</v>
      </c>
      <c r="E211" s="116">
        <v>0</v>
      </c>
      <c r="F211" s="116">
        <v>0</v>
      </c>
      <c r="G211" s="116">
        <v>0</v>
      </c>
      <c r="H211" s="116">
        <v>0</v>
      </c>
      <c r="I211" s="116">
        <v>0</v>
      </c>
      <c r="J211" s="116">
        <v>0</v>
      </c>
      <c r="K211" s="116">
        <v>0</v>
      </c>
      <c r="L211" s="116">
        <v>0</v>
      </c>
      <c r="M211" s="116">
        <v>0</v>
      </c>
      <c r="N211" s="116">
        <v>0</v>
      </c>
      <c r="O211" s="116">
        <v>0</v>
      </c>
      <c r="P211" s="116">
        <v>0</v>
      </c>
      <c r="Q211" s="116">
        <v>0</v>
      </c>
      <c r="R211" s="116">
        <v>0</v>
      </c>
      <c r="S211" s="116">
        <v>0</v>
      </c>
      <c r="T211" s="116">
        <v>0</v>
      </c>
      <c r="U211" s="116">
        <v>0</v>
      </c>
      <c r="V211" s="116">
        <v>0</v>
      </c>
      <c r="W211" s="116">
        <v>0</v>
      </c>
      <c r="X211" s="116">
        <v>0</v>
      </c>
      <c r="Y211" s="116">
        <v>0</v>
      </c>
      <c r="Z211" s="116">
        <v>0</v>
      </c>
      <c r="AA211" s="116">
        <v>0</v>
      </c>
      <c r="AB211" s="116">
        <v>0</v>
      </c>
      <c r="AC211" s="116">
        <v>231.65247139343683</v>
      </c>
      <c r="AD211" s="116">
        <v>445.23521821109387</v>
      </c>
      <c r="AE211" s="116">
        <v>505.14726726967581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116">
        <v>0</v>
      </c>
      <c r="AO211" s="116">
        <v>0</v>
      </c>
      <c r="AP211" s="116">
        <v>0</v>
      </c>
      <c r="AQ211" s="116">
        <v>0</v>
      </c>
      <c r="AR211" s="116">
        <v>0</v>
      </c>
      <c r="AS211" s="116">
        <v>0</v>
      </c>
      <c r="AT211" s="116">
        <v>0</v>
      </c>
      <c r="AU211" s="116">
        <v>0</v>
      </c>
      <c r="AV211" s="116">
        <v>0</v>
      </c>
      <c r="AW211" s="116">
        <v>0</v>
      </c>
      <c r="AX211" s="116">
        <v>0</v>
      </c>
      <c r="AY211" s="116">
        <v>0</v>
      </c>
    </row>
    <row r="212" spans="1:51" x14ac:dyDescent="0.2">
      <c r="A212" s="115"/>
      <c r="B212" s="125">
        <v>4</v>
      </c>
      <c r="C212" s="112">
        <v>0</v>
      </c>
      <c r="D212" s="116">
        <v>0</v>
      </c>
      <c r="E212" s="116">
        <v>0</v>
      </c>
      <c r="F212" s="116">
        <v>0</v>
      </c>
      <c r="G212" s="116">
        <v>0</v>
      </c>
      <c r="H212" s="116">
        <v>0</v>
      </c>
      <c r="I212" s="116">
        <v>0</v>
      </c>
      <c r="J212" s="116">
        <v>0</v>
      </c>
      <c r="K212" s="116">
        <v>0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0</v>
      </c>
      <c r="AA212" s="116">
        <v>263.17916399624949</v>
      </c>
      <c r="AB212" s="116">
        <v>791.02868089728327</v>
      </c>
      <c r="AC212" s="116">
        <v>1030.7808225807023</v>
      </c>
      <c r="AD212" s="116">
        <v>862.92624675705895</v>
      </c>
      <c r="AE212" s="116">
        <v>837.01253339477591</v>
      </c>
      <c r="AF212" s="116">
        <v>232.17652764306499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>
        <v>0</v>
      </c>
      <c r="D213" s="116">
        <v>0</v>
      </c>
      <c r="E213" s="116">
        <v>0</v>
      </c>
      <c r="F213" s="116">
        <v>0</v>
      </c>
      <c r="G213" s="116">
        <v>0</v>
      </c>
      <c r="H213" s="116">
        <v>0</v>
      </c>
      <c r="I213" s="116">
        <v>0</v>
      </c>
      <c r="J213" s="116">
        <v>0</v>
      </c>
      <c r="K213" s="116">
        <v>0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110.78954407483457</v>
      </c>
      <c r="Y213" s="116">
        <v>474.53690148562578</v>
      </c>
      <c r="Z213" s="116">
        <v>684.64649865788169</v>
      </c>
      <c r="AA213" s="116">
        <v>746.9002022757262</v>
      </c>
      <c r="AB213" s="116">
        <v>556.2014945413132</v>
      </c>
      <c r="AC213" s="116">
        <v>173.72356877095893</v>
      </c>
      <c r="AD213" s="116">
        <v>0</v>
      </c>
      <c r="AE213" s="116">
        <v>0</v>
      </c>
      <c r="AF213" s="116">
        <v>0</v>
      </c>
      <c r="AG213" s="116">
        <v>238.17693040991421</v>
      </c>
      <c r="AH213" s="116">
        <v>112.81207922917864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>
        <v>0</v>
      </c>
      <c r="D214" s="116">
        <v>0</v>
      </c>
      <c r="E214" s="116">
        <v>0</v>
      </c>
      <c r="F214" s="116">
        <v>0</v>
      </c>
      <c r="G214" s="116">
        <v>0</v>
      </c>
      <c r="H214" s="116">
        <v>0</v>
      </c>
      <c r="I214" s="116">
        <v>86.381322265959284</v>
      </c>
      <c r="J214" s="116">
        <v>0</v>
      </c>
      <c r="K214" s="116">
        <v>35.680511668485451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144.49396362849063</v>
      </c>
      <c r="V214" s="116">
        <v>85.705325270392734</v>
      </c>
      <c r="W214" s="116">
        <v>152.93013394232264</v>
      </c>
      <c r="X214" s="116">
        <v>608.85145263781328</v>
      </c>
      <c r="Y214" s="116">
        <v>460.92357256946707</v>
      </c>
      <c r="Z214" s="116">
        <v>197.35350134211834</v>
      </c>
      <c r="AA214" s="116">
        <v>45.108817321774325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122.18792077082136</v>
      </c>
      <c r="AI214" s="116">
        <v>248.32383949645947</v>
      </c>
      <c r="AJ214" s="116">
        <v>0.16093195070192223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0.98581913468228777</v>
      </c>
      <c r="AR214" s="116">
        <v>156.82502289873827</v>
      </c>
      <c r="AS214" s="116">
        <v>297.48229159858181</v>
      </c>
      <c r="AT214" s="116">
        <v>345.53817304445204</v>
      </c>
      <c r="AU214" s="116">
        <v>388.20411256994578</v>
      </c>
      <c r="AV214" s="116">
        <v>158.28416811763222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>
        <v>281.50574796436581</v>
      </c>
      <c r="D215" s="116">
        <v>344.94470182979478</v>
      </c>
      <c r="E215" s="116">
        <v>360.793339097988</v>
      </c>
      <c r="F215" s="116">
        <v>309.48616181541752</v>
      </c>
      <c r="G215" s="116">
        <v>310.26909881675874</v>
      </c>
      <c r="H215" s="116">
        <v>378.84702653660236</v>
      </c>
      <c r="I215" s="116">
        <v>392.15257505687771</v>
      </c>
      <c r="J215" s="116">
        <v>360.18236151603497</v>
      </c>
      <c r="K215" s="116">
        <v>441.17164693898729</v>
      </c>
      <c r="L215" s="116">
        <v>291.18448717948718</v>
      </c>
      <c r="M215" s="116">
        <v>199.23378650857882</v>
      </c>
      <c r="N215" s="116">
        <v>47.6926670199272</v>
      </c>
      <c r="O215" s="116">
        <v>75.733790711806762</v>
      </c>
      <c r="P215" s="116">
        <v>137.724048358331</v>
      </c>
      <c r="Q215" s="116">
        <v>249.79037449758951</v>
      </c>
      <c r="R215" s="116">
        <v>321.00471148618055</v>
      </c>
      <c r="S215" s="116">
        <v>356.60032207578689</v>
      </c>
      <c r="T215" s="116">
        <v>337.41825957294793</v>
      </c>
      <c r="U215" s="116">
        <v>392.15257505687771</v>
      </c>
      <c r="V215" s="116">
        <v>336.4718229826762</v>
      </c>
      <c r="W215" s="116">
        <v>379.06986605767736</v>
      </c>
      <c r="X215" s="116">
        <v>330.35900328735215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202.00618761451548</v>
      </c>
      <c r="AK215" s="116">
        <v>192</v>
      </c>
      <c r="AL215" s="116">
        <v>87.827429758658354</v>
      </c>
      <c r="AM215" s="116">
        <v>5.4870571885965376</v>
      </c>
      <c r="AN215" s="116">
        <v>95.006394772779402</v>
      </c>
      <c r="AO215" s="116">
        <v>281.86852276070579</v>
      </c>
      <c r="AP215" s="116">
        <v>323.08855892218685</v>
      </c>
      <c r="AQ215" s="116">
        <v>392.15257505687771</v>
      </c>
      <c r="AR215" s="116">
        <v>391.43825393741992</v>
      </c>
      <c r="AS215" s="116">
        <v>278.51770840141819</v>
      </c>
      <c r="AT215" s="116">
        <v>225.6170121407331</v>
      </c>
      <c r="AU215" s="116">
        <v>190.79588743005422</v>
      </c>
      <c r="AV215" s="116">
        <v>159.88029590586265</v>
      </c>
      <c r="AW215" s="116">
        <v>287.27329842931937</v>
      </c>
      <c r="AX215" s="116">
        <v>267.75965535079848</v>
      </c>
      <c r="AY215" s="116">
        <v>183.03385318175211</v>
      </c>
    </row>
    <row r="216" spans="1:51" x14ac:dyDescent="0.2">
      <c r="A216" s="115"/>
      <c r="B216" s="125">
        <v>8</v>
      </c>
      <c r="C216" s="112">
        <v>88.395946950888387</v>
      </c>
      <c r="D216" s="116">
        <v>80.174306434668068</v>
      </c>
      <c r="E216" s="116">
        <v>34.206660902012004</v>
      </c>
      <c r="F216" s="116">
        <v>22.722793408463101</v>
      </c>
      <c r="G216" s="116">
        <v>59.899795784783663</v>
      </c>
      <c r="H216" s="116">
        <v>59.332482354168178</v>
      </c>
      <c r="I216" s="116">
        <v>9.6411542235547234</v>
      </c>
      <c r="J216" s="116">
        <v>0</v>
      </c>
      <c r="K216" s="116">
        <v>13.330894613815785</v>
      </c>
      <c r="L216" s="116">
        <v>0</v>
      </c>
      <c r="M216" s="116">
        <v>89.946474502840431</v>
      </c>
      <c r="N216" s="116">
        <v>175.3073329800728</v>
      </c>
      <c r="O216" s="116">
        <v>249.5944524312622</v>
      </c>
      <c r="P216" s="116">
        <v>229.275951641669</v>
      </c>
      <c r="Q216" s="116">
        <v>184.35802635528896</v>
      </c>
      <c r="R216" s="116">
        <v>103.15515584383606</v>
      </c>
      <c r="S216" s="116">
        <v>51.553494718106279</v>
      </c>
      <c r="T216" s="116">
        <v>25.761038972817666</v>
      </c>
      <c r="U216" s="116">
        <v>39.66029480837561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180.46441381676067</v>
      </c>
      <c r="AM216" s="116">
        <v>220.51294281140346</v>
      </c>
      <c r="AN216" s="116">
        <v>280.17649065862088</v>
      </c>
      <c r="AO216" s="116">
        <v>215.311089707702</v>
      </c>
      <c r="AP216" s="116">
        <v>79.911441077813166</v>
      </c>
      <c r="AQ216" s="116">
        <v>50.043546106947481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28.408669256531351</v>
      </c>
      <c r="AY216" s="116">
        <v>90.13467737741567</v>
      </c>
    </row>
    <row r="217" spans="1:51" x14ac:dyDescent="0.2">
      <c r="A217" s="115"/>
      <c r="B217" s="125">
        <v>9</v>
      </c>
      <c r="C217" s="112">
        <v>0</v>
      </c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0</v>
      </c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0</v>
      </c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301</v>
      </c>
    </row>
    <row r="259" spans="1:52" x14ac:dyDescent="0.2">
      <c r="A259" s="143" t="s">
        <v>124</v>
      </c>
      <c r="B259" s="144">
        <v>650</v>
      </c>
      <c r="C259" s="130" t="s">
        <v>293</v>
      </c>
      <c r="D259" s="130">
        <f>E$14*$B$259</f>
        <v>2279073.6168316049</v>
      </c>
      <c r="E259" s="130">
        <f t="shared" ref="E259:AX259" si="5">F$14*$B$259</f>
        <v>2328344.8660573736</v>
      </c>
      <c r="F259" s="130">
        <f t="shared" si="5"/>
        <v>2369438.3137351829</v>
      </c>
      <c r="G259" s="130">
        <f t="shared" si="5"/>
        <v>2410454.849877493</v>
      </c>
      <c r="H259" s="130">
        <f t="shared" si="5"/>
        <v>2349709.1553451512</v>
      </c>
      <c r="I259" s="130">
        <f t="shared" si="5"/>
        <v>2293518.3024922526</v>
      </c>
      <c r="J259" s="130">
        <f t="shared" si="5"/>
        <v>2243852.7907555103</v>
      </c>
      <c r="K259" s="130">
        <f t="shared" si="5"/>
        <v>2230777.5940591367</v>
      </c>
      <c r="L259" s="130">
        <f t="shared" si="5"/>
        <v>2198031.6345216916</v>
      </c>
      <c r="M259" s="130">
        <f t="shared" si="5"/>
        <v>2209927.2087972262</v>
      </c>
      <c r="N259" s="130">
        <f t="shared" si="5"/>
        <v>2218905.4816355752</v>
      </c>
      <c r="O259" s="130">
        <f t="shared" si="5"/>
        <v>2237258.1849365542</v>
      </c>
      <c r="P259" s="130">
        <f t="shared" si="5"/>
        <v>2315909.3196612177</v>
      </c>
      <c r="Q259" s="130">
        <f t="shared" si="5"/>
        <v>2365439.9032691945</v>
      </c>
      <c r="R259" s="130">
        <f t="shared" si="5"/>
        <v>2389309.2051424496</v>
      </c>
      <c r="S259" s="130">
        <f t="shared" si="5"/>
        <v>2408392.8882848374</v>
      </c>
      <c r="T259" s="130">
        <f t="shared" si="5"/>
        <v>2341415.2984246612</v>
      </c>
      <c r="U259" s="130">
        <f t="shared" si="5"/>
        <v>2300934.5596384942</v>
      </c>
      <c r="V259" s="130">
        <f t="shared" si="5"/>
        <v>2233449.915570498</v>
      </c>
      <c r="W259" s="130">
        <f t="shared" si="5"/>
        <v>2212141.8800512636</v>
      </c>
      <c r="X259" s="130">
        <f t="shared" si="5"/>
        <v>2177042.5148154413</v>
      </c>
      <c r="Y259" s="130">
        <f t="shared" si="5"/>
        <v>2058881.2867610313</v>
      </c>
      <c r="Z259" s="130">
        <f t="shared" si="5"/>
        <v>1993766.0507417936</v>
      </c>
      <c r="AA259" s="130">
        <f t="shared" si="5"/>
        <v>1956153.8571930507</v>
      </c>
      <c r="AB259" s="130">
        <f t="shared" si="5"/>
        <v>1981568.2241415612</v>
      </c>
      <c r="AC259" s="130">
        <f t="shared" si="5"/>
        <v>1947704.28954869</v>
      </c>
      <c r="AD259" s="130">
        <f t="shared" si="5"/>
        <v>1907247.6330665543</v>
      </c>
      <c r="AE259" s="130">
        <f t="shared" si="5"/>
        <v>1900845.6256084901</v>
      </c>
      <c r="AF259" s="130">
        <f t="shared" si="5"/>
        <v>1806449.7947764699</v>
      </c>
      <c r="AG259" s="130">
        <f t="shared" si="5"/>
        <v>1936751.5165033622</v>
      </c>
      <c r="AH259" s="130">
        <f t="shared" si="5"/>
        <v>2030093.5456411438</v>
      </c>
      <c r="AI259" s="130">
        <f t="shared" si="5"/>
        <v>2098297.5650968528</v>
      </c>
      <c r="AJ259" s="130">
        <f t="shared" si="5"/>
        <v>2145332.8299967074</v>
      </c>
      <c r="AK259" s="130">
        <f t="shared" si="5"/>
        <v>2187677.0381902363</v>
      </c>
      <c r="AL259" s="130">
        <f t="shared" si="5"/>
        <v>2220179.5433463282</v>
      </c>
      <c r="AM259" s="130">
        <f t="shared" si="5"/>
        <v>2230073.5704092872</v>
      </c>
      <c r="AN259" s="130">
        <f t="shared" si="5"/>
        <v>2328484.346090286</v>
      </c>
      <c r="AO259" s="130">
        <f t="shared" si="5"/>
        <v>2373086.8869207348</v>
      </c>
      <c r="AP259" s="130">
        <f t="shared" si="5"/>
        <v>2383566.8233693391</v>
      </c>
      <c r="AQ259" s="130">
        <f t="shared" si="5"/>
        <v>2408019.8540486866</v>
      </c>
      <c r="AR259" s="130">
        <f t="shared" si="5"/>
        <v>2334874.5356093873</v>
      </c>
      <c r="AS259" s="130">
        <f t="shared" si="5"/>
        <v>2263062.8446412534</v>
      </c>
      <c r="AT259" s="130">
        <f t="shared" si="5"/>
        <v>2206063.1294372017</v>
      </c>
      <c r="AU259" s="130">
        <f t="shared" si="5"/>
        <v>2165628.6151060802</v>
      </c>
      <c r="AV259" s="130">
        <f t="shared" si="5"/>
        <v>2134925.5885054544</v>
      </c>
      <c r="AW259" s="130">
        <f t="shared" si="5"/>
        <v>2159371.0405427883</v>
      </c>
      <c r="AX259" s="130">
        <f t="shared" si="5"/>
        <v>2182614.0274703628</v>
      </c>
      <c r="AY259" s="130">
        <f>AZ$14*$B$259</f>
        <v>2197863.4963064878</v>
      </c>
      <c r="AZ259" s="145">
        <f>SUM($D259:$AY259)</f>
        <v>105651911.04297245</v>
      </c>
    </row>
    <row r="260" spans="1:52" x14ac:dyDescent="0.2">
      <c r="A260" s="146" t="s">
        <v>302</v>
      </c>
      <c r="B260" s="120">
        <v>60</v>
      </c>
      <c r="C260" s="131" t="s">
        <v>293</v>
      </c>
      <c r="D260" s="131">
        <f>(D$175-D$176+D$177-D$178+D$179-D$180+D$181-D$182)*$B$260</f>
        <v>2712809.6928391936</v>
      </c>
      <c r="E260" s="131">
        <f t="shared" ref="E260:AY260" si="6">(E$175-E$176+E$177-E$178+E$179-E$180+E$181-E$182)*$B$260</f>
        <v>2712475.8585177809</v>
      </c>
      <c r="F260" s="131">
        <f t="shared" si="6"/>
        <v>2704457.5425668093</v>
      </c>
      <c r="G260" s="131">
        <f t="shared" si="6"/>
        <v>2698696.2080437387</v>
      </c>
      <c r="H260" s="131">
        <f t="shared" si="6"/>
        <v>2680062.2292089402</v>
      </c>
      <c r="I260" s="131">
        <f t="shared" si="6"/>
        <v>2690289.6120459167</v>
      </c>
      <c r="J260" s="131">
        <f t="shared" si="6"/>
        <v>2708433.24362526</v>
      </c>
      <c r="K260" s="131">
        <f t="shared" si="6"/>
        <v>2690200.1018541399</v>
      </c>
      <c r="L260" s="131">
        <f t="shared" si="6"/>
        <v>2690162.6337364586</v>
      </c>
      <c r="M260" s="131">
        <f t="shared" si="6"/>
        <v>2686965.0878665783</v>
      </c>
      <c r="N260" s="131">
        <f t="shared" si="6"/>
        <v>2697797.9555413318</v>
      </c>
      <c r="O260" s="131">
        <f t="shared" si="6"/>
        <v>2685264.4706748417</v>
      </c>
      <c r="P260" s="131">
        <f t="shared" si="6"/>
        <v>2708583.7551081954</v>
      </c>
      <c r="Q260" s="131">
        <f t="shared" si="6"/>
        <v>2685093.8931343448</v>
      </c>
      <c r="R260" s="131">
        <f t="shared" si="6"/>
        <v>2686129.1969841714</v>
      </c>
      <c r="S260" s="131">
        <f t="shared" si="6"/>
        <v>2675728.3522969019</v>
      </c>
      <c r="T260" s="131">
        <f t="shared" si="6"/>
        <v>2708907.8412430012</v>
      </c>
      <c r="U260" s="131">
        <f t="shared" si="6"/>
        <v>2699969.2206295058</v>
      </c>
      <c r="V260" s="131">
        <f t="shared" si="6"/>
        <v>2715694.1346185086</v>
      </c>
      <c r="W260" s="131">
        <f t="shared" si="6"/>
        <v>2711082.2879952677</v>
      </c>
      <c r="X260" s="131">
        <f t="shared" si="6"/>
        <v>2650002.2294016518</v>
      </c>
      <c r="Y260" s="131">
        <f t="shared" si="6"/>
        <v>2655874.1627969863</v>
      </c>
      <c r="Z260" s="131">
        <f t="shared" si="6"/>
        <v>2660680.0568546038</v>
      </c>
      <c r="AA260" s="131">
        <f t="shared" si="6"/>
        <v>2676789.3696124689</v>
      </c>
      <c r="AB260" s="131">
        <f t="shared" si="6"/>
        <v>2689318.3890266083</v>
      </c>
      <c r="AC260" s="131">
        <f t="shared" si="6"/>
        <v>2689993.0882045552</v>
      </c>
      <c r="AD260" s="131">
        <f t="shared" si="6"/>
        <v>2694626.9965361394</v>
      </c>
      <c r="AE260" s="131">
        <f t="shared" si="6"/>
        <v>2701098.1507871747</v>
      </c>
      <c r="AF260" s="131">
        <f t="shared" si="6"/>
        <v>2751749.604857312</v>
      </c>
      <c r="AG260" s="131">
        <f t="shared" si="6"/>
        <v>2744041.705288962</v>
      </c>
      <c r="AH260" s="131">
        <f t="shared" si="6"/>
        <v>2747866.749633125</v>
      </c>
      <c r="AI260" s="131">
        <f t="shared" si="6"/>
        <v>2728692.1332514849</v>
      </c>
      <c r="AJ260" s="131">
        <f t="shared" si="6"/>
        <v>2728809.2228832468</v>
      </c>
      <c r="AK260" s="131">
        <f t="shared" si="6"/>
        <v>2722520.5810901327</v>
      </c>
      <c r="AL260" s="131">
        <f t="shared" si="6"/>
        <v>2722065.3286159043</v>
      </c>
      <c r="AM260" s="131">
        <f t="shared" si="6"/>
        <v>2714767.0550391432</v>
      </c>
      <c r="AN260" s="131">
        <f t="shared" si="6"/>
        <v>2688321.0371860517</v>
      </c>
      <c r="AO260" s="131">
        <f t="shared" si="6"/>
        <v>2677724.2723264927</v>
      </c>
      <c r="AP260" s="131">
        <f t="shared" si="6"/>
        <v>2691118.4470735998</v>
      </c>
      <c r="AQ260" s="131">
        <f t="shared" si="6"/>
        <v>2689559.4114058386</v>
      </c>
      <c r="AR260" s="131">
        <f t="shared" si="6"/>
        <v>2691021.5265695639</v>
      </c>
      <c r="AS260" s="131">
        <f t="shared" si="6"/>
        <v>2709921.8912638845</v>
      </c>
      <c r="AT260" s="131">
        <f t="shared" si="6"/>
        <v>2704424.7812143438</v>
      </c>
      <c r="AU260" s="131">
        <f t="shared" si="6"/>
        <v>2710035.820144054</v>
      </c>
      <c r="AV260" s="131">
        <f t="shared" si="6"/>
        <v>2704510.2099936004</v>
      </c>
      <c r="AW260" s="131">
        <f t="shared" si="6"/>
        <v>2693780.6465999167</v>
      </c>
      <c r="AX260" s="131">
        <f t="shared" si="6"/>
        <v>2708807.7369729332</v>
      </c>
      <c r="AY260" s="131">
        <f t="shared" si="6"/>
        <v>2706740.068981532</v>
      </c>
      <c r="AZ260" s="147">
        <f>SUM($D260:$AY260)</f>
        <v>129603663.99214219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3" x14ac:dyDescent="0.2">
      <c r="A1" s="108" t="s">
        <v>284</v>
      </c>
    </row>
    <row r="2" spans="1:53" x14ac:dyDescent="0.2">
      <c r="A2" s="106" t="s">
        <v>285</v>
      </c>
      <c r="B2" s="113" t="s">
        <v>59</v>
      </c>
    </row>
    <row r="3" spans="1:53" x14ac:dyDescent="0.2">
      <c r="A3" s="106" t="s">
        <v>286</v>
      </c>
      <c r="B3" s="114">
        <v>51000</v>
      </c>
      <c r="C3" s="115"/>
    </row>
    <row r="4" spans="1:53" x14ac:dyDescent="0.2">
      <c r="B4" s="116"/>
      <c r="C4" s="116"/>
    </row>
    <row r="5" spans="1:53" x14ac:dyDescent="0.2">
      <c r="C5" s="117" t="s">
        <v>287</v>
      </c>
    </row>
    <row r="6" spans="1:53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3" x14ac:dyDescent="0.2">
      <c r="B7" s="116"/>
      <c r="C7" s="119" t="s">
        <v>288</v>
      </c>
      <c r="D7" s="118" t="s">
        <v>289</v>
      </c>
      <c r="E7" s="118" t="s">
        <v>289</v>
      </c>
      <c r="F7" s="118" t="s">
        <v>289</v>
      </c>
      <c r="G7" s="118" t="s">
        <v>289</v>
      </c>
      <c r="H7" s="118" t="s">
        <v>289</v>
      </c>
      <c r="I7" s="118" t="s">
        <v>289</v>
      </c>
      <c r="J7" s="118" t="s">
        <v>289</v>
      </c>
      <c r="K7" s="118" t="s">
        <v>289</v>
      </c>
      <c r="L7" s="118" t="s">
        <v>289</v>
      </c>
      <c r="M7" s="118" t="s">
        <v>289</v>
      </c>
      <c r="N7" s="118" t="s">
        <v>289</v>
      </c>
      <c r="O7" s="118" t="s">
        <v>289</v>
      </c>
      <c r="P7" s="118" t="s">
        <v>289</v>
      </c>
      <c r="Q7" s="118" t="s">
        <v>289</v>
      </c>
      <c r="R7" s="118" t="s">
        <v>289</v>
      </c>
      <c r="S7" s="118" t="s">
        <v>289</v>
      </c>
      <c r="T7" s="118" t="s">
        <v>289</v>
      </c>
      <c r="U7" s="118" t="s">
        <v>289</v>
      </c>
      <c r="V7" s="118" t="s">
        <v>289</v>
      </c>
      <c r="W7" s="118" t="s">
        <v>289</v>
      </c>
      <c r="X7" s="118" t="s">
        <v>289</v>
      </c>
      <c r="Y7" s="118" t="s">
        <v>289</v>
      </c>
      <c r="Z7" s="118" t="s">
        <v>289</v>
      </c>
      <c r="AA7" s="118" t="s">
        <v>289</v>
      </c>
      <c r="AB7" s="118" t="s">
        <v>289</v>
      </c>
      <c r="AC7" s="118" t="s">
        <v>289</v>
      </c>
      <c r="AD7" s="118" t="s">
        <v>289</v>
      </c>
      <c r="AE7" s="118" t="s">
        <v>289</v>
      </c>
      <c r="AF7" s="118" t="s">
        <v>289</v>
      </c>
      <c r="AG7" s="118" t="s">
        <v>289</v>
      </c>
      <c r="AH7" s="118" t="s">
        <v>289</v>
      </c>
      <c r="AI7" s="118" t="s">
        <v>289</v>
      </c>
      <c r="AJ7" s="118" t="s">
        <v>289</v>
      </c>
      <c r="AK7" s="118" t="s">
        <v>289</v>
      </c>
      <c r="AL7" s="118" t="s">
        <v>289</v>
      </c>
      <c r="AM7" s="118" t="s">
        <v>289</v>
      </c>
      <c r="AN7" s="118" t="s">
        <v>289</v>
      </c>
      <c r="AO7" s="118" t="s">
        <v>289</v>
      </c>
      <c r="AP7" s="118" t="s">
        <v>289</v>
      </c>
      <c r="AQ7" s="118" t="s">
        <v>289</v>
      </c>
      <c r="AR7" s="118" t="s">
        <v>289</v>
      </c>
      <c r="AS7" s="118" t="s">
        <v>289</v>
      </c>
      <c r="AT7" s="118" t="s">
        <v>289</v>
      </c>
      <c r="AU7" s="118" t="s">
        <v>289</v>
      </c>
      <c r="AV7" s="118" t="s">
        <v>289</v>
      </c>
      <c r="AW7" s="118" t="s">
        <v>289</v>
      </c>
      <c r="AX7" s="118" t="s">
        <v>289</v>
      </c>
      <c r="AY7" s="117" t="s">
        <v>290</v>
      </c>
      <c r="AZ7" s="117" t="s">
        <v>291</v>
      </c>
    </row>
    <row r="8" spans="1:53" x14ac:dyDescent="0.2">
      <c r="A8" s="108" t="s">
        <v>292</v>
      </c>
      <c r="B8" s="120"/>
      <c r="AY8" s="116"/>
    </row>
    <row r="9" spans="1:53" x14ac:dyDescent="0.2">
      <c r="A9" s="121" t="s">
        <v>125</v>
      </c>
      <c r="B9" s="122">
        <v>1</v>
      </c>
      <c r="C9" s="123" t="s">
        <v>293</v>
      </c>
      <c r="D9" s="123">
        <v>8671.5072274015638</v>
      </c>
      <c r="E9" s="123">
        <v>8671.5072274015638</v>
      </c>
      <c r="F9" s="123">
        <v>8671.5072274015638</v>
      </c>
      <c r="G9" s="123">
        <v>8671.5072274015638</v>
      </c>
      <c r="H9" s="123">
        <v>7663.6174491966367</v>
      </c>
      <c r="I9" s="123">
        <v>8091.1440239132826</v>
      </c>
      <c r="J9" s="123">
        <v>8091.1440239132826</v>
      </c>
      <c r="K9" s="123">
        <v>8091.1440239132826</v>
      </c>
      <c r="L9" s="123">
        <v>8091.1440239132826</v>
      </c>
      <c r="M9" s="123">
        <v>8091.1440239132826</v>
      </c>
      <c r="N9" s="123">
        <v>8091.1440239132826</v>
      </c>
      <c r="O9" s="123">
        <v>8091.1440239132826</v>
      </c>
      <c r="P9" s="123">
        <v>8671.5072274015638</v>
      </c>
      <c r="Q9" s="123">
        <v>8671.5072274015638</v>
      </c>
      <c r="R9" s="123">
        <v>8671.5072274015638</v>
      </c>
      <c r="S9" s="123">
        <v>8671.5072274015638</v>
      </c>
      <c r="T9" s="123">
        <v>8091.1440239132826</v>
      </c>
      <c r="U9" s="123">
        <v>8091.1440239132826</v>
      </c>
      <c r="V9" s="123">
        <v>8091.1440239132826</v>
      </c>
      <c r="W9" s="123">
        <v>8091.1440239132826</v>
      </c>
      <c r="X9" s="123">
        <v>8091.1440239132826</v>
      </c>
      <c r="Y9" s="123">
        <v>8091.1440239132826</v>
      </c>
      <c r="Z9" s="123">
        <v>8091.1440239132826</v>
      </c>
      <c r="AA9" s="123">
        <v>8091.1440239132826</v>
      </c>
      <c r="AB9" s="123">
        <v>8671.5072274015638</v>
      </c>
      <c r="AC9" s="123">
        <v>7561.8242777697405</v>
      </c>
      <c r="AD9" s="123">
        <v>7562.3024720107105</v>
      </c>
      <c r="AE9" s="123">
        <v>7562.7787062932875</v>
      </c>
      <c r="AF9" s="123">
        <v>8091.1440239132826</v>
      </c>
      <c r="AG9" s="123">
        <v>8091.1440239132826</v>
      </c>
      <c r="AH9" s="123">
        <v>8091.1440239132826</v>
      </c>
      <c r="AI9" s="123">
        <v>8091.1440239132826</v>
      </c>
      <c r="AJ9" s="123">
        <v>8091.1440239132826</v>
      </c>
      <c r="AK9" s="123">
        <v>8091.1440239132826</v>
      </c>
      <c r="AL9" s="123">
        <v>8091.1440239132826</v>
      </c>
      <c r="AM9" s="123">
        <v>8091.1440239132826</v>
      </c>
      <c r="AN9" s="123">
        <v>8671.5072274015638</v>
      </c>
      <c r="AO9" s="123">
        <v>8671.5072274015638</v>
      </c>
      <c r="AP9" s="123">
        <v>8671.5072274015638</v>
      </c>
      <c r="AQ9" s="123">
        <v>8671.5072274015638</v>
      </c>
      <c r="AR9" s="123">
        <v>8091.1440239132826</v>
      </c>
      <c r="AS9" s="123">
        <v>8091.1440239132826</v>
      </c>
      <c r="AT9" s="123">
        <v>8091.1440239132826</v>
      </c>
      <c r="AU9" s="123">
        <v>8091.1440239132826</v>
      </c>
      <c r="AV9" s="123">
        <v>8091.1440239132826</v>
      </c>
      <c r="AW9" s="123">
        <v>8091.1440239132826</v>
      </c>
      <c r="AX9" s="123">
        <v>8091.1440239132826</v>
      </c>
      <c r="AY9" s="123">
        <v>8091.1440239132826</v>
      </c>
    </row>
    <row r="10" spans="1:53" x14ac:dyDescent="0.2">
      <c r="A10" s="124" t="s">
        <v>133</v>
      </c>
      <c r="B10" s="125">
        <v>1</v>
      </c>
      <c r="C10" s="112" t="s">
        <v>293</v>
      </c>
      <c r="D10" s="106">
        <v>3411.6093849829113</v>
      </c>
      <c r="E10" s="106">
        <v>0</v>
      </c>
      <c r="F10" s="106">
        <v>0</v>
      </c>
      <c r="G10" s="106">
        <v>3800</v>
      </c>
      <c r="H10" s="106">
        <v>3800</v>
      </c>
      <c r="I10" s="106">
        <v>0</v>
      </c>
      <c r="J10" s="106">
        <v>3411.6093849829113</v>
      </c>
      <c r="K10" s="106">
        <v>3411.6093849829113</v>
      </c>
      <c r="L10" s="106">
        <v>0</v>
      </c>
      <c r="M10" s="106">
        <v>3411.6093849829113</v>
      </c>
      <c r="N10" s="106">
        <v>0</v>
      </c>
      <c r="O10" s="106">
        <v>0</v>
      </c>
      <c r="P10" s="106">
        <v>3411.6093849829113</v>
      </c>
      <c r="Q10" s="106">
        <v>0</v>
      </c>
      <c r="R10" s="106">
        <v>3800</v>
      </c>
      <c r="S10" s="106">
        <v>3800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3411.6093849829113</v>
      </c>
      <c r="AB10" s="106">
        <v>0</v>
      </c>
      <c r="AC10" s="106">
        <v>3411.6093849829113</v>
      </c>
      <c r="AD10" s="106">
        <v>3800</v>
      </c>
      <c r="AE10" s="106">
        <v>3800</v>
      </c>
      <c r="AF10" s="106">
        <v>0</v>
      </c>
      <c r="AG10" s="106">
        <v>3800</v>
      </c>
      <c r="AH10" s="106">
        <v>3411.6093849829113</v>
      </c>
      <c r="AI10" s="106">
        <v>0</v>
      </c>
      <c r="AJ10" s="106">
        <v>0</v>
      </c>
      <c r="AK10" s="106">
        <v>3411.6093849829113</v>
      </c>
      <c r="AL10" s="106">
        <v>0</v>
      </c>
      <c r="AM10" s="106">
        <v>3800</v>
      </c>
      <c r="AN10" s="106">
        <v>3411.6093849829113</v>
      </c>
      <c r="AO10" s="106">
        <v>0</v>
      </c>
      <c r="AP10" s="106">
        <v>3800</v>
      </c>
      <c r="AQ10" s="106">
        <v>3800</v>
      </c>
      <c r="AR10" s="106">
        <v>3800</v>
      </c>
      <c r="AS10" s="106">
        <v>3800</v>
      </c>
      <c r="AT10" s="106">
        <v>3411.6093849829113</v>
      </c>
      <c r="AU10" s="106">
        <v>0</v>
      </c>
      <c r="AV10" s="106">
        <v>0</v>
      </c>
      <c r="AW10" s="106">
        <v>0</v>
      </c>
      <c r="AX10" s="106">
        <v>3411.6093849829113</v>
      </c>
      <c r="AY10" s="106">
        <v>0</v>
      </c>
      <c r="AZ10" s="106">
        <v>3800</v>
      </c>
    </row>
    <row r="11" spans="1:53" x14ac:dyDescent="0.2">
      <c r="B11" s="125">
        <v>2</v>
      </c>
      <c r="C11" s="112" t="s">
        <v>293</v>
      </c>
      <c r="D11" s="106">
        <v>6</v>
      </c>
      <c r="E11" s="106">
        <v>6</v>
      </c>
      <c r="G11" s="106">
        <v>0</v>
      </c>
      <c r="I11" s="106">
        <v>0</v>
      </c>
      <c r="J11" s="106">
        <v>3803</v>
      </c>
      <c r="K11" s="106">
        <v>0</v>
      </c>
      <c r="L11" s="106">
        <v>3</v>
      </c>
      <c r="M11" s="106">
        <v>3414.6093849829113</v>
      </c>
      <c r="O11" s="106">
        <v>3</v>
      </c>
      <c r="P11" s="106">
        <v>3411.6093849829113</v>
      </c>
      <c r="Q11" s="106">
        <v>3</v>
      </c>
      <c r="R11" s="106">
        <v>0</v>
      </c>
      <c r="S11" s="106">
        <v>3</v>
      </c>
      <c r="T11" s="106">
        <v>0</v>
      </c>
      <c r="V11" s="106">
        <v>3</v>
      </c>
      <c r="W11" s="106">
        <v>3803</v>
      </c>
      <c r="X11" s="106">
        <v>3411.6093849829113</v>
      </c>
      <c r="Y11" s="106">
        <v>3414.6093849829113</v>
      </c>
      <c r="Z11" s="106">
        <v>3</v>
      </c>
      <c r="AA11" s="106">
        <v>3803</v>
      </c>
      <c r="AB11" s="106">
        <v>3</v>
      </c>
      <c r="AC11" s="106">
        <v>3</v>
      </c>
      <c r="AE11" s="106">
        <v>0</v>
      </c>
      <c r="AF11" s="106">
        <v>3</v>
      </c>
      <c r="AG11" s="106">
        <v>3803</v>
      </c>
      <c r="AH11" s="106">
        <v>3</v>
      </c>
      <c r="AI11" s="106">
        <v>0</v>
      </c>
      <c r="AK11" s="106">
        <v>3411.6093849829113</v>
      </c>
      <c r="AL11" s="106">
        <v>3</v>
      </c>
      <c r="AM11" s="106">
        <v>3</v>
      </c>
      <c r="AN11" s="106">
        <v>3</v>
      </c>
      <c r="AO11" s="106">
        <v>0</v>
      </c>
      <c r="AP11" s="106">
        <v>3</v>
      </c>
      <c r="AQ11" s="106">
        <v>3</v>
      </c>
      <c r="AR11" s="106">
        <v>3</v>
      </c>
      <c r="AS11" s="106">
        <v>3</v>
      </c>
      <c r="AT11" s="106">
        <v>0</v>
      </c>
      <c r="AU11" s="106">
        <v>3</v>
      </c>
      <c r="AV11" s="106">
        <v>3411.6093849829113</v>
      </c>
      <c r="AW11" s="106">
        <v>3411.6093849829113</v>
      </c>
      <c r="AX11" s="106">
        <v>0</v>
      </c>
      <c r="AZ11" s="106">
        <v>0</v>
      </c>
      <c r="BA11" s="106">
        <v>3</v>
      </c>
    </row>
    <row r="12" spans="1:53" x14ac:dyDescent="0.2">
      <c r="B12" s="126">
        <v>3</v>
      </c>
      <c r="C12" s="112" t="s">
        <v>293</v>
      </c>
      <c r="E12" s="106">
        <v>3411.6093849829113</v>
      </c>
      <c r="G12" s="106">
        <v>3417.6093849829113</v>
      </c>
      <c r="H12" s="106">
        <v>3</v>
      </c>
      <c r="L12" s="106">
        <v>3</v>
      </c>
      <c r="O12" s="106">
        <v>3</v>
      </c>
      <c r="P12" s="106">
        <v>3411.6093849829113</v>
      </c>
      <c r="S12" s="106">
        <v>3</v>
      </c>
      <c r="V12" s="106">
        <v>3803</v>
      </c>
      <c r="Y12" s="106">
        <v>0</v>
      </c>
      <c r="Z12" s="106">
        <v>0</v>
      </c>
      <c r="AA12" s="106">
        <v>0</v>
      </c>
      <c r="AD12" s="106">
        <v>3411.6093849829113</v>
      </c>
      <c r="AE12" s="106">
        <v>3</v>
      </c>
      <c r="AJ12" s="106">
        <v>3</v>
      </c>
      <c r="AK12" s="106">
        <v>3414.6093849829113</v>
      </c>
      <c r="AM12" s="106">
        <v>0</v>
      </c>
      <c r="AP12" s="106">
        <v>3</v>
      </c>
      <c r="AR12" s="106">
        <v>0</v>
      </c>
      <c r="AX12" s="106">
        <v>3</v>
      </c>
      <c r="AY12" s="106">
        <v>3414.6093849829113</v>
      </c>
      <c r="AZ12" s="106">
        <v>3</v>
      </c>
      <c r="BA12" s="106">
        <v>3</v>
      </c>
    </row>
    <row r="13" spans="1:53" x14ac:dyDescent="0.2">
      <c r="B13" s="126">
        <v>4</v>
      </c>
      <c r="C13" s="112" t="s">
        <v>293</v>
      </c>
      <c r="J13" s="106">
        <v>3</v>
      </c>
      <c r="R13" s="106">
        <v>3</v>
      </c>
      <c r="AG13" s="106">
        <v>3</v>
      </c>
      <c r="AM13" s="106">
        <v>3</v>
      </c>
      <c r="AV13" s="106">
        <v>3</v>
      </c>
      <c r="AX13" s="106">
        <v>0</v>
      </c>
    </row>
    <row r="14" spans="1:53" x14ac:dyDescent="0.2">
      <c r="A14" s="121" t="s">
        <v>134</v>
      </c>
      <c r="B14" s="127">
        <v>1</v>
      </c>
      <c r="C14" s="123" t="s">
        <v>293</v>
      </c>
      <c r="D14" s="123">
        <v>21962.101628950815</v>
      </c>
      <c r="E14" s="123">
        <f t="shared" ref="E14:AZ14" si="0">D$172*SUM(D$122:D$169)</f>
        <v>21962.101628950822</v>
      </c>
      <c r="F14" s="123">
        <f t="shared" si="0"/>
        <v>21962.101628950819</v>
      </c>
      <c r="G14" s="123">
        <f t="shared" si="0"/>
        <v>21962.101628950819</v>
      </c>
      <c r="H14" s="123">
        <f t="shared" si="0"/>
        <v>21962.101628950819</v>
      </c>
      <c r="I14" s="123">
        <f t="shared" si="0"/>
        <v>21962.101628950826</v>
      </c>
      <c r="J14" s="123">
        <f t="shared" si="0"/>
        <v>21962.101628950826</v>
      </c>
      <c r="K14" s="123">
        <f t="shared" si="0"/>
        <v>21962.101628950822</v>
      </c>
      <c r="L14" s="123">
        <f t="shared" si="0"/>
        <v>21962.101628950826</v>
      </c>
      <c r="M14" s="123">
        <f t="shared" si="0"/>
        <v>21962.101628950826</v>
      </c>
      <c r="N14" s="123">
        <f t="shared" si="0"/>
        <v>21962.101628950826</v>
      </c>
      <c r="O14" s="123">
        <f t="shared" si="0"/>
        <v>21962.101628950826</v>
      </c>
      <c r="P14" s="123">
        <f t="shared" si="0"/>
        <v>21962.101628950826</v>
      </c>
      <c r="Q14" s="123">
        <f t="shared" si="0"/>
        <v>21962.10162895083</v>
      </c>
      <c r="R14" s="123">
        <f t="shared" si="0"/>
        <v>21962.10162895083</v>
      </c>
      <c r="S14" s="123">
        <f t="shared" si="0"/>
        <v>21962.10162895083</v>
      </c>
      <c r="T14" s="123">
        <f t="shared" si="0"/>
        <v>21962.10162895083</v>
      </c>
      <c r="U14" s="123">
        <f t="shared" si="0"/>
        <v>21962.101628950826</v>
      </c>
      <c r="V14" s="123">
        <f t="shared" si="0"/>
        <v>21962.101628950826</v>
      </c>
      <c r="W14" s="123">
        <f t="shared" si="0"/>
        <v>21962.101628950826</v>
      </c>
      <c r="X14" s="123">
        <f t="shared" si="0"/>
        <v>21962.101628950826</v>
      </c>
      <c r="Y14" s="123">
        <f t="shared" si="0"/>
        <v>21962.101628950822</v>
      </c>
      <c r="Z14" s="123">
        <f t="shared" si="0"/>
        <v>21962.101628950826</v>
      </c>
      <c r="AA14" s="123">
        <f t="shared" si="0"/>
        <v>21962.101628950826</v>
      </c>
      <c r="AB14" s="123">
        <f t="shared" si="0"/>
        <v>21962.101628950822</v>
      </c>
      <c r="AC14" s="123">
        <f t="shared" si="0"/>
        <v>21962.101628950826</v>
      </c>
      <c r="AD14" s="123">
        <f t="shared" si="0"/>
        <v>21962.101628950822</v>
      </c>
      <c r="AE14" s="123">
        <f t="shared" si="0"/>
        <v>21962.101628950833</v>
      </c>
      <c r="AF14" s="123">
        <f t="shared" si="0"/>
        <v>21962.10162895083</v>
      </c>
      <c r="AG14" s="123">
        <f t="shared" si="0"/>
        <v>21962.101628950826</v>
      </c>
      <c r="AH14" s="123">
        <f t="shared" si="0"/>
        <v>21962.101628950826</v>
      </c>
      <c r="AI14" s="123">
        <f t="shared" si="0"/>
        <v>21962.101628950822</v>
      </c>
      <c r="AJ14" s="123">
        <f t="shared" si="0"/>
        <v>21962.10162895083</v>
      </c>
      <c r="AK14" s="123">
        <f t="shared" si="0"/>
        <v>21962.101628950822</v>
      </c>
      <c r="AL14" s="123">
        <f t="shared" si="0"/>
        <v>21962.101628950826</v>
      </c>
      <c r="AM14" s="123">
        <f t="shared" si="0"/>
        <v>21962.101628950826</v>
      </c>
      <c r="AN14" s="123">
        <f t="shared" si="0"/>
        <v>21962.101628950826</v>
      </c>
      <c r="AO14" s="123">
        <f t="shared" si="0"/>
        <v>21962.101628950822</v>
      </c>
      <c r="AP14" s="123">
        <f t="shared" si="0"/>
        <v>21962.10162895083</v>
      </c>
      <c r="AQ14" s="123">
        <f t="shared" si="0"/>
        <v>21962.10162895083</v>
      </c>
      <c r="AR14" s="123">
        <f t="shared" si="0"/>
        <v>21962.10162895083</v>
      </c>
      <c r="AS14" s="123">
        <f t="shared" si="0"/>
        <v>21962.101628950822</v>
      </c>
      <c r="AT14" s="123">
        <f t="shared" si="0"/>
        <v>21962.101628950826</v>
      </c>
      <c r="AU14" s="123">
        <f t="shared" si="0"/>
        <v>21962.101628950822</v>
      </c>
      <c r="AV14" s="123">
        <f t="shared" si="0"/>
        <v>21962.10162895083</v>
      </c>
      <c r="AW14" s="123">
        <f t="shared" si="0"/>
        <v>21962.101628950819</v>
      </c>
      <c r="AX14" s="123">
        <f t="shared" si="0"/>
        <v>21962.101628950815</v>
      </c>
      <c r="AY14" s="123">
        <f t="shared" si="0"/>
        <v>21962.101628950819</v>
      </c>
      <c r="AZ14" s="116">
        <f t="shared" si="0"/>
        <v>21962.101628950819</v>
      </c>
      <c r="BA14" s="113">
        <f>SUM($E14:$AZ14)</f>
        <v>1054180.878189639</v>
      </c>
    </row>
    <row r="15" spans="1:53" x14ac:dyDescent="0.2">
      <c r="A15" s="128" t="s">
        <v>123</v>
      </c>
      <c r="B15" s="129">
        <v>1</v>
      </c>
      <c r="C15" s="130" t="s">
        <v>293</v>
      </c>
      <c r="D15" s="130">
        <v>36293.374362842609</v>
      </c>
      <c r="E15" s="130">
        <v>36293.374362842609</v>
      </c>
      <c r="F15" s="130">
        <v>36293.374362842609</v>
      </c>
      <c r="G15" s="130">
        <v>36293.374362842609</v>
      </c>
      <c r="H15" s="130">
        <v>32260.777211415654</v>
      </c>
      <c r="I15" s="130">
        <v>32260.777211415654</v>
      </c>
      <c r="J15" s="130">
        <v>32260.777211415654</v>
      </c>
      <c r="K15" s="130">
        <v>32260.777211415654</v>
      </c>
      <c r="L15" s="130">
        <v>32260.777211415654</v>
      </c>
      <c r="M15" s="130">
        <v>32260.777211415654</v>
      </c>
      <c r="N15" s="130">
        <v>32260.777211415654</v>
      </c>
      <c r="O15" s="130">
        <v>32260.777211415654</v>
      </c>
      <c r="P15" s="130">
        <v>36293.374362842609</v>
      </c>
      <c r="Q15" s="130">
        <v>36293.374362842609</v>
      </c>
      <c r="R15" s="130">
        <v>36293.374362842609</v>
      </c>
      <c r="S15" s="130">
        <v>36293.374362842609</v>
      </c>
      <c r="T15" s="130">
        <v>32260.777211415654</v>
      </c>
      <c r="U15" s="130">
        <v>32260.777211415654</v>
      </c>
      <c r="V15" s="130">
        <v>32260.777211415654</v>
      </c>
      <c r="W15" s="130">
        <v>32260.777211415654</v>
      </c>
      <c r="X15" s="130">
        <v>32260.777211415654</v>
      </c>
      <c r="Y15" s="130">
        <v>32260.777211415654</v>
      </c>
      <c r="Z15" s="130">
        <v>32260.777211415654</v>
      </c>
      <c r="AA15" s="130">
        <v>32260.777211415654</v>
      </c>
      <c r="AB15" s="130">
        <v>36293.374362842609</v>
      </c>
      <c r="AC15" s="130">
        <v>36293.374362842609</v>
      </c>
      <c r="AD15" s="130">
        <v>36293.374362842609</v>
      </c>
      <c r="AE15" s="130">
        <v>36293.374362842609</v>
      </c>
      <c r="AF15" s="130">
        <v>32260.777211415654</v>
      </c>
      <c r="AG15" s="130">
        <v>32260.777211415654</v>
      </c>
      <c r="AH15" s="130">
        <v>32260.777211415654</v>
      </c>
      <c r="AI15" s="130">
        <v>32260.777211415654</v>
      </c>
      <c r="AJ15" s="130">
        <v>32260.777211415654</v>
      </c>
      <c r="AK15" s="130">
        <v>32260.777211415654</v>
      </c>
      <c r="AL15" s="130">
        <v>32260.777211415654</v>
      </c>
      <c r="AM15" s="130">
        <v>32260.777211415654</v>
      </c>
      <c r="AN15" s="130">
        <v>36293.374362842609</v>
      </c>
      <c r="AO15" s="130">
        <v>36293.374362842609</v>
      </c>
      <c r="AP15" s="130">
        <v>36293.374362842609</v>
      </c>
      <c r="AQ15" s="130">
        <v>36293.374362842609</v>
      </c>
      <c r="AR15" s="130">
        <v>32260.777211415654</v>
      </c>
      <c r="AS15" s="130">
        <v>32260.777211415654</v>
      </c>
      <c r="AT15" s="130">
        <v>32260.777211415654</v>
      </c>
      <c r="AU15" s="130">
        <v>32260.777211415654</v>
      </c>
      <c r="AV15" s="130">
        <v>32260.777211415654</v>
      </c>
      <c r="AW15" s="130">
        <v>32260.777211415654</v>
      </c>
      <c r="AX15" s="130">
        <v>32260.777211415654</v>
      </c>
      <c r="AY15" s="130">
        <v>32260.777211415654</v>
      </c>
      <c r="AZ15" s="106">
        <v>0</v>
      </c>
    </row>
    <row r="16" spans="1:53" x14ac:dyDescent="0.2">
      <c r="A16" s="116"/>
      <c r="B16" s="125">
        <v>2</v>
      </c>
      <c r="C16" s="115" t="s">
        <v>293</v>
      </c>
      <c r="D16" s="112">
        <v>0</v>
      </c>
      <c r="E16" s="116">
        <v>0</v>
      </c>
      <c r="F16" s="116"/>
      <c r="G16" s="116">
        <v>0</v>
      </c>
      <c r="H16" s="116"/>
      <c r="I16" s="116">
        <v>0</v>
      </c>
      <c r="J16" s="116">
        <v>0</v>
      </c>
      <c r="K16" s="116">
        <v>0</v>
      </c>
      <c r="L16" s="116">
        <v>0</v>
      </c>
      <c r="M16" s="116">
        <v>0</v>
      </c>
      <c r="N16" s="116"/>
      <c r="O16" s="116">
        <v>0</v>
      </c>
      <c r="P16" s="116">
        <v>0</v>
      </c>
      <c r="Q16" s="116">
        <v>0</v>
      </c>
      <c r="R16" s="116">
        <v>0</v>
      </c>
      <c r="S16" s="116">
        <v>0</v>
      </c>
      <c r="T16" s="116">
        <v>0</v>
      </c>
      <c r="U16" s="116"/>
      <c r="V16" s="116">
        <v>0</v>
      </c>
      <c r="W16" s="116">
        <v>0</v>
      </c>
      <c r="X16" s="116">
        <v>0</v>
      </c>
      <c r="Y16" s="116">
        <v>0</v>
      </c>
      <c r="Z16" s="116">
        <v>0</v>
      </c>
      <c r="AA16" s="116">
        <v>0</v>
      </c>
      <c r="AB16" s="116">
        <v>0</v>
      </c>
      <c r="AC16" s="116">
        <v>0</v>
      </c>
      <c r="AD16" s="116"/>
      <c r="AE16" s="116">
        <v>0</v>
      </c>
      <c r="AF16" s="116">
        <v>0</v>
      </c>
      <c r="AG16" s="116">
        <v>0</v>
      </c>
      <c r="AH16" s="116">
        <v>0</v>
      </c>
      <c r="AI16" s="116">
        <v>0</v>
      </c>
      <c r="AJ16" s="116"/>
      <c r="AK16" s="116">
        <v>0</v>
      </c>
      <c r="AL16" s="116">
        <v>0</v>
      </c>
      <c r="AM16" s="116">
        <v>0</v>
      </c>
      <c r="AN16" s="116">
        <v>0</v>
      </c>
      <c r="AO16" s="116">
        <v>0</v>
      </c>
      <c r="AP16" s="116">
        <v>0</v>
      </c>
      <c r="AQ16" s="116">
        <v>0</v>
      </c>
      <c r="AR16" s="116">
        <v>0</v>
      </c>
      <c r="AS16" s="116">
        <v>0</v>
      </c>
      <c r="AT16" s="116">
        <v>0</v>
      </c>
      <c r="AU16" s="116">
        <v>0</v>
      </c>
      <c r="AV16" s="116">
        <v>0</v>
      </c>
      <c r="AW16" s="116">
        <v>0</v>
      </c>
      <c r="AX16" s="116">
        <v>0</v>
      </c>
      <c r="AY16" s="116"/>
      <c r="AZ16" s="106">
        <v>0</v>
      </c>
      <c r="BA16" s="106">
        <v>0</v>
      </c>
    </row>
    <row r="17" spans="1:53" x14ac:dyDescent="0.2">
      <c r="A17" s="116"/>
      <c r="B17" s="125">
        <v>3</v>
      </c>
      <c r="C17" s="115" t="s">
        <v>293</v>
      </c>
      <c r="D17" s="112"/>
      <c r="E17" s="116">
        <v>0</v>
      </c>
      <c r="F17" s="116"/>
      <c r="G17" s="116">
        <v>0</v>
      </c>
      <c r="H17" s="116">
        <v>0</v>
      </c>
      <c r="I17" s="116"/>
      <c r="J17" s="116"/>
      <c r="K17" s="116"/>
      <c r="L17" s="116">
        <v>0</v>
      </c>
      <c r="M17" s="116"/>
      <c r="N17" s="116"/>
      <c r="O17" s="116">
        <v>0</v>
      </c>
      <c r="P17" s="116">
        <v>0</v>
      </c>
      <c r="Q17" s="116"/>
      <c r="R17" s="116"/>
      <c r="S17" s="116">
        <v>0</v>
      </c>
      <c r="T17" s="116"/>
      <c r="U17" s="116"/>
      <c r="V17" s="116">
        <v>0</v>
      </c>
      <c r="W17" s="116"/>
      <c r="X17" s="116"/>
      <c r="Y17" s="116">
        <v>0</v>
      </c>
      <c r="Z17" s="116">
        <v>0</v>
      </c>
      <c r="AA17" s="116">
        <v>0</v>
      </c>
      <c r="AB17" s="116"/>
      <c r="AC17" s="116"/>
      <c r="AD17" s="116">
        <v>0</v>
      </c>
      <c r="AE17" s="116">
        <v>0</v>
      </c>
      <c r="AF17" s="116"/>
      <c r="AG17" s="116"/>
      <c r="AH17" s="116"/>
      <c r="AI17" s="116"/>
      <c r="AJ17" s="116">
        <v>0</v>
      </c>
      <c r="AK17" s="116">
        <v>0</v>
      </c>
      <c r="AL17" s="116"/>
      <c r="AM17" s="116">
        <v>0</v>
      </c>
      <c r="AN17" s="116"/>
      <c r="AO17" s="116"/>
      <c r="AP17" s="116">
        <v>0</v>
      </c>
      <c r="AQ17" s="116"/>
      <c r="AR17" s="116">
        <v>0</v>
      </c>
      <c r="AS17" s="116"/>
      <c r="AT17" s="116"/>
      <c r="AU17" s="116"/>
      <c r="AV17" s="116"/>
      <c r="AW17" s="116"/>
      <c r="AX17" s="116">
        <v>0</v>
      </c>
      <c r="AY17" s="116">
        <v>0</v>
      </c>
      <c r="AZ17" s="106">
        <v>0</v>
      </c>
      <c r="BA17" s="106">
        <v>0</v>
      </c>
    </row>
    <row r="18" spans="1:53" x14ac:dyDescent="0.2">
      <c r="A18" s="131"/>
      <c r="B18" s="122">
        <v>4</v>
      </c>
      <c r="C18" s="131" t="s">
        <v>293</v>
      </c>
      <c r="D18" s="131"/>
      <c r="E18" s="131"/>
      <c r="F18" s="131"/>
      <c r="G18" s="131"/>
      <c r="H18" s="131"/>
      <c r="I18" s="131"/>
      <c r="J18" s="131">
        <v>0</v>
      </c>
      <c r="K18" s="131"/>
      <c r="L18" s="131"/>
      <c r="M18" s="131"/>
      <c r="N18" s="131"/>
      <c r="O18" s="131"/>
      <c r="P18" s="131"/>
      <c r="Q18" s="131"/>
      <c r="R18" s="131">
        <v>0</v>
      </c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>
        <v>0</v>
      </c>
      <c r="AH18" s="131"/>
      <c r="AI18" s="131"/>
      <c r="AJ18" s="131"/>
      <c r="AK18" s="131"/>
      <c r="AL18" s="131"/>
      <c r="AM18" s="131">
        <v>0</v>
      </c>
      <c r="AN18" s="131"/>
      <c r="AO18" s="131"/>
      <c r="AP18" s="131"/>
      <c r="AQ18" s="131"/>
      <c r="AR18" s="131"/>
      <c r="AS18" s="131"/>
      <c r="AT18" s="131"/>
      <c r="AU18" s="131"/>
      <c r="AV18" s="131">
        <v>0</v>
      </c>
      <c r="AW18" s="131"/>
      <c r="AX18" s="131">
        <v>0</v>
      </c>
      <c r="AY18" s="131"/>
    </row>
    <row r="20" spans="1:53" x14ac:dyDescent="0.2">
      <c r="A20" s="108" t="s">
        <v>294</v>
      </c>
    </row>
    <row r="21" spans="1:53" x14ac:dyDescent="0.2">
      <c r="A21" s="132" t="s">
        <v>125</v>
      </c>
      <c r="B21" s="129">
        <v>1</v>
      </c>
      <c r="C21" s="130" t="s">
        <v>293</v>
      </c>
      <c r="D21" s="130">
        <v>8671.5072274015638</v>
      </c>
      <c r="E21" s="130">
        <v>8671.5072274015638</v>
      </c>
      <c r="F21" s="130">
        <v>8671.5072274015638</v>
      </c>
      <c r="G21" s="130">
        <v>8671.5072274015638</v>
      </c>
      <c r="H21" s="130">
        <v>7663.6174491966367</v>
      </c>
      <c r="I21" s="130">
        <v>8091.1440239132826</v>
      </c>
      <c r="J21" s="130">
        <v>8091.1440239132826</v>
      </c>
      <c r="K21" s="130">
        <v>8091.1440239132826</v>
      </c>
      <c r="L21" s="130">
        <v>8091.1440239132826</v>
      </c>
      <c r="M21" s="130">
        <v>8091.1440239132826</v>
      </c>
      <c r="N21" s="130">
        <v>8091.1440239132826</v>
      </c>
      <c r="O21" s="130">
        <v>8091.1440239132826</v>
      </c>
      <c r="P21" s="130">
        <v>8671.5072274015638</v>
      </c>
      <c r="Q21" s="130">
        <v>8671.5072274015638</v>
      </c>
      <c r="R21" s="130">
        <v>8671.5072274015638</v>
      </c>
      <c r="S21" s="130">
        <v>8671.5072274015638</v>
      </c>
      <c r="T21" s="130">
        <v>8091.1440239132826</v>
      </c>
      <c r="U21" s="130">
        <v>8091.1440239132826</v>
      </c>
      <c r="V21" s="130">
        <v>8091.1440239132826</v>
      </c>
      <c r="W21" s="130">
        <v>8091.1440239132826</v>
      </c>
      <c r="X21" s="130">
        <v>8091.1440239132826</v>
      </c>
      <c r="Y21" s="130">
        <v>8091.1440239132826</v>
      </c>
      <c r="Z21" s="130">
        <v>8091.1440239132826</v>
      </c>
      <c r="AA21" s="130">
        <v>8091.1440239132826</v>
      </c>
      <c r="AB21" s="130">
        <v>8671.5072274015638</v>
      </c>
      <c r="AC21" s="130">
        <v>7561.8242777697405</v>
      </c>
      <c r="AD21" s="130">
        <v>7562.3024720107105</v>
      </c>
      <c r="AE21" s="130">
        <v>7562.7787062932875</v>
      </c>
      <c r="AF21" s="130">
        <v>8091.1440239132826</v>
      </c>
      <c r="AG21" s="130">
        <v>8091.1440239132826</v>
      </c>
      <c r="AH21" s="130">
        <v>8091.1440239132826</v>
      </c>
      <c r="AI21" s="130">
        <v>8091.1440239132826</v>
      </c>
      <c r="AJ21" s="130">
        <v>8091.1440239132826</v>
      </c>
      <c r="AK21" s="130">
        <v>8091.1440239132826</v>
      </c>
      <c r="AL21" s="130">
        <v>8091.1440239132826</v>
      </c>
      <c r="AM21" s="130">
        <v>8091.1440239132826</v>
      </c>
      <c r="AN21" s="130">
        <v>8671.5072274015638</v>
      </c>
      <c r="AO21" s="130">
        <v>8671.5072274015638</v>
      </c>
      <c r="AP21" s="130">
        <v>8671.5072274015638</v>
      </c>
      <c r="AQ21" s="130">
        <v>8671.5072274015638</v>
      </c>
      <c r="AR21" s="130">
        <v>8091.1440239132826</v>
      </c>
      <c r="AS21" s="130">
        <v>8091.1440239132826</v>
      </c>
      <c r="AT21" s="130">
        <v>8091.1440239132826</v>
      </c>
      <c r="AU21" s="130">
        <v>8091.1440239132826</v>
      </c>
      <c r="AV21" s="130">
        <v>8091.1440239132826</v>
      </c>
      <c r="AW21" s="130">
        <v>8091.1440239132826</v>
      </c>
      <c r="AX21" s="130">
        <v>8091.1440239132826</v>
      </c>
      <c r="AY21" s="130">
        <v>8091.1440239132826</v>
      </c>
    </row>
    <row r="22" spans="1:53" x14ac:dyDescent="0.2">
      <c r="A22" s="115"/>
      <c r="B22" s="126">
        <v>2</v>
      </c>
      <c r="C22" s="116" t="s">
        <v>293</v>
      </c>
      <c r="D22" s="116">
        <v>0</v>
      </c>
      <c r="E22" s="116">
        <v>0</v>
      </c>
      <c r="F22" s="116">
        <v>0</v>
      </c>
      <c r="G22" s="116">
        <v>0</v>
      </c>
      <c r="H22" s="116">
        <v>0</v>
      </c>
      <c r="I22" s="116">
        <v>0</v>
      </c>
      <c r="J22" s="116">
        <v>0</v>
      </c>
      <c r="K22" s="116">
        <v>0</v>
      </c>
      <c r="L22" s="116">
        <v>0</v>
      </c>
      <c r="M22" s="116">
        <v>0</v>
      </c>
      <c r="N22" s="116">
        <v>0</v>
      </c>
      <c r="O22" s="116">
        <v>0</v>
      </c>
      <c r="P22" s="116">
        <v>0</v>
      </c>
      <c r="Q22" s="116">
        <v>0</v>
      </c>
      <c r="R22" s="116">
        <v>0</v>
      </c>
      <c r="S22" s="116">
        <v>0</v>
      </c>
      <c r="T22" s="116">
        <v>0</v>
      </c>
      <c r="U22" s="116">
        <v>0</v>
      </c>
      <c r="V22" s="116">
        <v>0</v>
      </c>
      <c r="W22" s="116">
        <v>0</v>
      </c>
      <c r="X22" s="116">
        <v>0</v>
      </c>
      <c r="Y22" s="116">
        <v>0</v>
      </c>
      <c r="Z22" s="116">
        <v>0</v>
      </c>
      <c r="AA22" s="116">
        <v>0</v>
      </c>
      <c r="AB22" s="116">
        <v>0</v>
      </c>
      <c r="AC22" s="116">
        <v>0</v>
      </c>
      <c r="AD22" s="116">
        <v>0</v>
      </c>
      <c r="AE22" s="116">
        <v>0</v>
      </c>
      <c r="AF22" s="116">
        <v>0</v>
      </c>
      <c r="AG22" s="116">
        <v>0</v>
      </c>
      <c r="AH22" s="116">
        <v>0</v>
      </c>
      <c r="AI22" s="116">
        <v>0</v>
      </c>
      <c r="AJ22" s="116">
        <v>0</v>
      </c>
      <c r="AK22" s="116">
        <v>0</v>
      </c>
      <c r="AL22" s="116">
        <v>0</v>
      </c>
      <c r="AM22" s="116">
        <v>0</v>
      </c>
      <c r="AN22" s="116">
        <v>0</v>
      </c>
      <c r="AO22" s="116">
        <v>0</v>
      </c>
      <c r="AP22" s="116">
        <v>0</v>
      </c>
      <c r="AQ22" s="116">
        <v>0</v>
      </c>
      <c r="AR22" s="116">
        <v>0</v>
      </c>
      <c r="AS22" s="116">
        <v>0</v>
      </c>
      <c r="AT22" s="116">
        <v>0</v>
      </c>
      <c r="AU22" s="116">
        <v>0</v>
      </c>
      <c r="AV22" s="116">
        <v>0</v>
      </c>
      <c r="AW22" s="116">
        <v>0</v>
      </c>
      <c r="AX22" s="116">
        <v>0</v>
      </c>
      <c r="AY22" s="116">
        <v>0</v>
      </c>
    </row>
    <row r="23" spans="1:53" x14ac:dyDescent="0.2">
      <c r="A23" s="115"/>
      <c r="B23" s="133">
        <v>3</v>
      </c>
      <c r="C23" s="116" t="s">
        <v>293</v>
      </c>
      <c r="D23" s="116">
        <v>0</v>
      </c>
      <c r="E23" s="116">
        <v>0</v>
      </c>
      <c r="F23" s="116">
        <v>0</v>
      </c>
      <c r="G23" s="116">
        <v>0</v>
      </c>
      <c r="H23" s="116">
        <v>0</v>
      </c>
      <c r="I23" s="116">
        <v>0</v>
      </c>
      <c r="J23" s="116">
        <v>0</v>
      </c>
      <c r="K23" s="116">
        <v>0</v>
      </c>
      <c r="L23" s="116">
        <v>0</v>
      </c>
      <c r="M23" s="116">
        <v>0</v>
      </c>
      <c r="N23" s="116">
        <v>0</v>
      </c>
      <c r="O23" s="116">
        <v>0</v>
      </c>
      <c r="P23" s="116">
        <v>0</v>
      </c>
      <c r="Q23" s="116">
        <v>0</v>
      </c>
      <c r="R23" s="116">
        <v>0</v>
      </c>
      <c r="S23" s="116">
        <v>0</v>
      </c>
      <c r="T23" s="116">
        <v>0</v>
      </c>
      <c r="U23" s="116">
        <v>0</v>
      </c>
      <c r="V23" s="116">
        <v>0</v>
      </c>
      <c r="W23" s="116">
        <v>0</v>
      </c>
      <c r="X23" s="116">
        <v>0</v>
      </c>
      <c r="Y23" s="116">
        <v>0</v>
      </c>
      <c r="Z23" s="116">
        <v>0</v>
      </c>
      <c r="AA23" s="116">
        <v>0</v>
      </c>
      <c r="AB23" s="116">
        <v>0</v>
      </c>
      <c r="AC23" s="116">
        <v>0</v>
      </c>
      <c r="AD23" s="116">
        <v>0</v>
      </c>
      <c r="AE23" s="116">
        <v>0</v>
      </c>
      <c r="AF23" s="116">
        <v>0</v>
      </c>
      <c r="AG23" s="116">
        <v>0</v>
      </c>
      <c r="AH23" s="116">
        <v>0</v>
      </c>
      <c r="AI23" s="116">
        <v>0</v>
      </c>
      <c r="AJ23" s="116">
        <v>0</v>
      </c>
      <c r="AK23" s="116">
        <v>0</v>
      </c>
      <c r="AL23" s="116">
        <v>0</v>
      </c>
      <c r="AM23" s="116">
        <v>0</v>
      </c>
      <c r="AN23" s="116">
        <v>0</v>
      </c>
      <c r="AO23" s="116">
        <v>0</v>
      </c>
      <c r="AP23" s="116">
        <v>0</v>
      </c>
      <c r="AQ23" s="116">
        <v>0</v>
      </c>
      <c r="AR23" s="116">
        <v>0</v>
      </c>
      <c r="AS23" s="116">
        <v>0</v>
      </c>
      <c r="AT23" s="116">
        <v>0</v>
      </c>
      <c r="AU23" s="116">
        <v>0</v>
      </c>
      <c r="AV23" s="116">
        <v>0</v>
      </c>
      <c r="AW23" s="116">
        <v>0</v>
      </c>
      <c r="AX23" s="116">
        <v>0</v>
      </c>
      <c r="AY23" s="116">
        <v>0</v>
      </c>
    </row>
    <row r="24" spans="1:53" x14ac:dyDescent="0.2">
      <c r="A24" s="134"/>
      <c r="B24" s="135">
        <v>4</v>
      </c>
      <c r="C24" s="134" t="s">
        <v>293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3" x14ac:dyDescent="0.2">
      <c r="A25" s="132" t="s">
        <v>133</v>
      </c>
      <c r="B25" s="129">
        <v>1</v>
      </c>
      <c r="C25" s="115" t="s">
        <v>293</v>
      </c>
      <c r="D25" s="116">
        <v>3411.6093849829113</v>
      </c>
      <c r="E25" s="116">
        <v>0</v>
      </c>
      <c r="F25" s="116">
        <v>0</v>
      </c>
      <c r="G25" s="116">
        <v>3800</v>
      </c>
      <c r="H25" s="116">
        <v>3800</v>
      </c>
      <c r="I25" s="116">
        <v>0</v>
      </c>
      <c r="J25" s="116">
        <v>3411.6093849829113</v>
      </c>
      <c r="K25" s="116">
        <v>3411.6093849829113</v>
      </c>
      <c r="L25" s="116">
        <v>0</v>
      </c>
      <c r="M25" s="116">
        <v>3411.6093849829113</v>
      </c>
      <c r="N25" s="116">
        <v>0</v>
      </c>
      <c r="O25" s="116">
        <v>0</v>
      </c>
      <c r="P25" s="116">
        <v>3411.6093849829113</v>
      </c>
      <c r="Q25" s="116">
        <v>0</v>
      </c>
      <c r="R25" s="116">
        <v>3800</v>
      </c>
      <c r="S25" s="116">
        <v>3800</v>
      </c>
      <c r="T25" s="116">
        <v>0</v>
      </c>
      <c r="U25" s="116">
        <v>0</v>
      </c>
      <c r="V25" s="116">
        <v>0</v>
      </c>
      <c r="W25" s="116">
        <v>0</v>
      </c>
      <c r="X25" s="116">
        <v>0</v>
      </c>
      <c r="Y25" s="116">
        <v>0</v>
      </c>
      <c r="Z25" s="116">
        <v>0</v>
      </c>
      <c r="AA25" s="116">
        <v>3411.6093849829113</v>
      </c>
      <c r="AB25" s="116">
        <v>0</v>
      </c>
      <c r="AC25" s="116">
        <v>3411.6093849829113</v>
      </c>
      <c r="AD25" s="116">
        <v>3800</v>
      </c>
      <c r="AE25" s="116">
        <v>3800</v>
      </c>
      <c r="AF25" s="116">
        <v>0</v>
      </c>
      <c r="AG25" s="116">
        <v>3800</v>
      </c>
      <c r="AH25" s="116">
        <v>3411.6093849829113</v>
      </c>
      <c r="AI25" s="116">
        <v>0</v>
      </c>
      <c r="AJ25" s="116">
        <v>0</v>
      </c>
      <c r="AK25" s="116">
        <v>3411.6093849829113</v>
      </c>
      <c r="AL25" s="116">
        <v>0</v>
      </c>
      <c r="AM25" s="116">
        <v>3800</v>
      </c>
      <c r="AN25" s="116">
        <v>3411.6093849829113</v>
      </c>
      <c r="AO25" s="116">
        <v>0</v>
      </c>
      <c r="AP25" s="116">
        <v>3800</v>
      </c>
      <c r="AQ25" s="116">
        <v>3800</v>
      </c>
      <c r="AR25" s="116">
        <v>3800</v>
      </c>
      <c r="AS25" s="116">
        <v>3800</v>
      </c>
      <c r="AT25" s="116">
        <v>3411.6093849829113</v>
      </c>
      <c r="AU25" s="116">
        <v>0</v>
      </c>
      <c r="AV25" s="116">
        <v>0</v>
      </c>
      <c r="AW25" s="116">
        <v>0</v>
      </c>
      <c r="AX25" s="116">
        <v>3411.6093849829113</v>
      </c>
      <c r="AY25" s="116">
        <v>0</v>
      </c>
    </row>
    <row r="26" spans="1:53" x14ac:dyDescent="0.2">
      <c r="A26" s="115"/>
      <c r="B26" s="125">
        <v>2</v>
      </c>
      <c r="C26" s="115" t="s">
        <v>293</v>
      </c>
      <c r="D26" s="116">
        <v>6</v>
      </c>
      <c r="E26" s="116">
        <v>6</v>
      </c>
      <c r="F26" s="116">
        <v>0</v>
      </c>
      <c r="G26" s="116">
        <v>0</v>
      </c>
      <c r="H26" s="116">
        <v>0</v>
      </c>
      <c r="I26" s="116">
        <v>0</v>
      </c>
      <c r="J26" s="116">
        <v>3803</v>
      </c>
      <c r="K26" s="116">
        <v>0</v>
      </c>
      <c r="L26" s="116">
        <v>3</v>
      </c>
      <c r="M26" s="116">
        <v>3414.6093849829113</v>
      </c>
      <c r="N26" s="116">
        <v>0</v>
      </c>
      <c r="O26" s="116">
        <v>3</v>
      </c>
      <c r="P26" s="116">
        <v>3411.6093849829113</v>
      </c>
      <c r="Q26" s="116">
        <v>3</v>
      </c>
      <c r="R26" s="116">
        <v>0</v>
      </c>
      <c r="S26" s="116">
        <v>3</v>
      </c>
      <c r="T26" s="116">
        <v>0</v>
      </c>
      <c r="U26" s="116">
        <v>0</v>
      </c>
      <c r="V26" s="116">
        <v>3</v>
      </c>
      <c r="W26" s="116">
        <v>3803</v>
      </c>
      <c r="X26" s="116">
        <v>3411.6093849829113</v>
      </c>
      <c r="Y26" s="116">
        <v>3414.6093849829113</v>
      </c>
      <c r="Z26" s="116">
        <v>3</v>
      </c>
      <c r="AA26" s="116">
        <v>3803</v>
      </c>
      <c r="AB26" s="116">
        <v>3</v>
      </c>
      <c r="AC26" s="116">
        <v>3</v>
      </c>
      <c r="AD26" s="116">
        <v>0</v>
      </c>
      <c r="AE26" s="116">
        <v>0</v>
      </c>
      <c r="AF26" s="116">
        <v>3</v>
      </c>
      <c r="AG26" s="116">
        <v>3803</v>
      </c>
      <c r="AH26" s="116">
        <v>3</v>
      </c>
      <c r="AI26" s="116">
        <v>0</v>
      </c>
      <c r="AJ26" s="116">
        <v>0</v>
      </c>
      <c r="AK26" s="116">
        <v>3411.6093849829113</v>
      </c>
      <c r="AL26" s="116">
        <v>3</v>
      </c>
      <c r="AM26" s="116">
        <v>3</v>
      </c>
      <c r="AN26" s="116">
        <v>3</v>
      </c>
      <c r="AO26" s="116">
        <v>0</v>
      </c>
      <c r="AP26" s="116">
        <v>3</v>
      </c>
      <c r="AQ26" s="116">
        <v>3</v>
      </c>
      <c r="AR26" s="116">
        <v>3</v>
      </c>
      <c r="AS26" s="116">
        <v>3</v>
      </c>
      <c r="AT26" s="116">
        <v>0</v>
      </c>
      <c r="AU26" s="116">
        <v>3</v>
      </c>
      <c r="AV26" s="116">
        <v>3411.6093849829113</v>
      </c>
      <c r="AW26" s="116">
        <v>3411.6093849829113</v>
      </c>
      <c r="AX26" s="116">
        <v>0</v>
      </c>
      <c r="AY26" s="116">
        <v>0</v>
      </c>
    </row>
    <row r="27" spans="1:53" x14ac:dyDescent="0.2">
      <c r="A27" s="115"/>
      <c r="B27" s="126">
        <v>3</v>
      </c>
      <c r="C27" s="115" t="s">
        <v>293</v>
      </c>
      <c r="D27" s="116">
        <v>0</v>
      </c>
      <c r="E27" s="116">
        <v>3411.6093849829113</v>
      </c>
      <c r="F27" s="116">
        <v>0</v>
      </c>
      <c r="G27" s="116">
        <v>3417.6093849829113</v>
      </c>
      <c r="H27" s="116">
        <v>3</v>
      </c>
      <c r="I27" s="116">
        <v>0</v>
      </c>
      <c r="J27" s="116">
        <v>0</v>
      </c>
      <c r="K27" s="116">
        <v>0</v>
      </c>
      <c r="L27" s="116">
        <v>3</v>
      </c>
      <c r="M27" s="116">
        <v>0</v>
      </c>
      <c r="N27" s="116">
        <v>0</v>
      </c>
      <c r="O27" s="116">
        <v>3</v>
      </c>
      <c r="P27" s="116">
        <v>3411.6093849829113</v>
      </c>
      <c r="Q27" s="116">
        <v>0</v>
      </c>
      <c r="R27" s="116">
        <v>0</v>
      </c>
      <c r="S27" s="116">
        <v>3</v>
      </c>
      <c r="T27" s="116">
        <v>0</v>
      </c>
      <c r="U27" s="116">
        <v>0</v>
      </c>
      <c r="V27" s="116">
        <v>3803</v>
      </c>
      <c r="W27" s="116">
        <v>0</v>
      </c>
      <c r="X27" s="116">
        <v>0</v>
      </c>
      <c r="Y27" s="116">
        <v>0</v>
      </c>
      <c r="Z27" s="116">
        <v>0</v>
      </c>
      <c r="AA27" s="116">
        <v>0</v>
      </c>
      <c r="AB27" s="116">
        <v>0</v>
      </c>
      <c r="AC27" s="116">
        <v>0</v>
      </c>
      <c r="AD27" s="116">
        <v>3411.6093849829113</v>
      </c>
      <c r="AE27" s="116">
        <v>3</v>
      </c>
      <c r="AF27" s="116">
        <v>0</v>
      </c>
      <c r="AG27" s="116">
        <v>0</v>
      </c>
      <c r="AH27" s="116">
        <v>0</v>
      </c>
      <c r="AI27" s="116">
        <v>0</v>
      </c>
      <c r="AJ27" s="116">
        <v>3</v>
      </c>
      <c r="AK27" s="116">
        <v>3414.6093849829113</v>
      </c>
      <c r="AL27" s="116">
        <v>0</v>
      </c>
      <c r="AM27" s="116">
        <v>0</v>
      </c>
      <c r="AN27" s="116">
        <v>0</v>
      </c>
      <c r="AO27" s="116">
        <v>0</v>
      </c>
      <c r="AP27" s="116">
        <v>3</v>
      </c>
      <c r="AQ27" s="116">
        <v>0</v>
      </c>
      <c r="AR27" s="116">
        <v>0</v>
      </c>
      <c r="AS27" s="116">
        <v>0</v>
      </c>
      <c r="AT27" s="116">
        <v>0</v>
      </c>
      <c r="AU27" s="116">
        <v>0</v>
      </c>
      <c r="AV27" s="116">
        <v>0</v>
      </c>
      <c r="AW27" s="116">
        <v>0</v>
      </c>
      <c r="AX27" s="116">
        <v>3</v>
      </c>
      <c r="AY27" s="116">
        <v>3414.6093849829113</v>
      </c>
    </row>
    <row r="28" spans="1:53" x14ac:dyDescent="0.2">
      <c r="A28" s="115"/>
      <c r="B28" s="126">
        <v>4</v>
      </c>
      <c r="C28" s="115" t="s">
        <v>293</v>
      </c>
      <c r="D28" s="116">
        <v>0</v>
      </c>
      <c r="E28" s="116">
        <v>0</v>
      </c>
      <c r="F28" s="116">
        <v>0</v>
      </c>
      <c r="G28" s="116">
        <v>0</v>
      </c>
      <c r="H28" s="116">
        <v>0</v>
      </c>
      <c r="I28" s="116">
        <v>0</v>
      </c>
      <c r="J28" s="116">
        <v>3</v>
      </c>
      <c r="K28" s="116">
        <v>0</v>
      </c>
      <c r="L28" s="116">
        <v>0</v>
      </c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3</v>
      </c>
      <c r="S28" s="116">
        <v>0</v>
      </c>
      <c r="T28" s="116">
        <v>0</v>
      </c>
      <c r="U28" s="116">
        <v>0</v>
      </c>
      <c r="V28" s="116">
        <v>0</v>
      </c>
      <c r="W28" s="116">
        <v>0</v>
      </c>
      <c r="X28" s="116">
        <v>0</v>
      </c>
      <c r="Y28" s="116">
        <v>0</v>
      </c>
      <c r="Z28" s="116">
        <v>0</v>
      </c>
      <c r="AA28" s="116">
        <v>0</v>
      </c>
      <c r="AB28" s="116">
        <v>0</v>
      </c>
      <c r="AC28" s="116">
        <v>0</v>
      </c>
      <c r="AD28" s="116">
        <v>0</v>
      </c>
      <c r="AE28" s="116">
        <v>0</v>
      </c>
      <c r="AF28" s="116">
        <v>0</v>
      </c>
      <c r="AG28" s="116">
        <v>3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3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>
        <v>3</v>
      </c>
      <c r="AW28" s="116">
        <v>0</v>
      </c>
      <c r="AX28" s="116">
        <v>0</v>
      </c>
      <c r="AY28" s="116">
        <v>0</v>
      </c>
    </row>
    <row r="29" spans="1:53" x14ac:dyDescent="0.2">
      <c r="A29" s="115"/>
      <c r="B29" s="133">
        <v>5</v>
      </c>
      <c r="C29" s="115" t="s">
        <v>293</v>
      </c>
      <c r="D29" s="116">
        <v>0</v>
      </c>
      <c r="E29" s="116">
        <v>0</v>
      </c>
      <c r="F29" s="116">
        <v>0</v>
      </c>
      <c r="G29" s="116">
        <v>0</v>
      </c>
      <c r="H29" s="116">
        <v>0</v>
      </c>
      <c r="I29" s="116">
        <v>0</v>
      </c>
      <c r="J29" s="116">
        <v>0</v>
      </c>
      <c r="K29" s="116">
        <v>0</v>
      </c>
      <c r="L29" s="116">
        <v>0</v>
      </c>
      <c r="M29" s="116">
        <v>0</v>
      </c>
      <c r="N29" s="116">
        <v>0</v>
      </c>
      <c r="O29" s="116">
        <v>0</v>
      </c>
      <c r="P29" s="116">
        <v>0</v>
      </c>
      <c r="Q29" s="116">
        <v>0</v>
      </c>
      <c r="R29" s="116">
        <v>0</v>
      </c>
      <c r="S29" s="116">
        <v>0</v>
      </c>
      <c r="T29" s="116">
        <v>0</v>
      </c>
      <c r="U29" s="116">
        <v>0</v>
      </c>
      <c r="V29" s="116">
        <v>0</v>
      </c>
      <c r="W29" s="116">
        <v>0</v>
      </c>
      <c r="X29" s="116">
        <v>0</v>
      </c>
      <c r="Y29" s="116">
        <v>0</v>
      </c>
      <c r="Z29" s="116">
        <v>0</v>
      </c>
      <c r="AA29" s="116">
        <v>0</v>
      </c>
      <c r="AB29" s="116">
        <v>0</v>
      </c>
      <c r="AC29" s="116">
        <v>0</v>
      </c>
      <c r="AD29" s="116">
        <v>0</v>
      </c>
      <c r="AE29" s="116">
        <v>0</v>
      </c>
      <c r="AF29" s="116">
        <v>0</v>
      </c>
      <c r="AG29" s="116">
        <v>0</v>
      </c>
      <c r="AH29" s="116">
        <v>0</v>
      </c>
      <c r="AI29" s="116">
        <v>0</v>
      </c>
      <c r="AJ29" s="116">
        <v>0</v>
      </c>
      <c r="AK29" s="116">
        <v>0</v>
      </c>
      <c r="AL29" s="116">
        <v>0</v>
      </c>
      <c r="AM29" s="116">
        <v>0</v>
      </c>
      <c r="AN29" s="116">
        <v>0</v>
      </c>
      <c r="AO29" s="116">
        <v>0</v>
      </c>
      <c r="AP29" s="116">
        <v>0</v>
      </c>
      <c r="AQ29" s="116">
        <v>0</v>
      </c>
      <c r="AR29" s="116">
        <v>0</v>
      </c>
      <c r="AS29" s="116">
        <v>0</v>
      </c>
      <c r="AT29" s="116">
        <v>0</v>
      </c>
      <c r="AU29" s="116">
        <v>0</v>
      </c>
      <c r="AV29" s="116">
        <v>0</v>
      </c>
      <c r="AW29" s="116">
        <v>0</v>
      </c>
      <c r="AX29" s="116">
        <v>0</v>
      </c>
      <c r="AY29" s="116">
        <v>0</v>
      </c>
    </row>
    <row r="30" spans="1:53" x14ac:dyDescent="0.2">
      <c r="A30" s="115"/>
      <c r="B30" s="133">
        <v>6</v>
      </c>
      <c r="C30" s="115" t="s">
        <v>293</v>
      </c>
      <c r="D30" s="116">
        <v>0</v>
      </c>
      <c r="E30" s="116">
        <v>0</v>
      </c>
      <c r="F30" s="116">
        <v>0</v>
      </c>
      <c r="G30" s="116">
        <v>0</v>
      </c>
      <c r="H30" s="116">
        <v>0</v>
      </c>
      <c r="I30" s="116">
        <v>0</v>
      </c>
      <c r="J30" s="116">
        <v>0</v>
      </c>
      <c r="K30" s="116">
        <v>0</v>
      </c>
      <c r="L30" s="116">
        <v>0</v>
      </c>
      <c r="M30" s="116">
        <v>0</v>
      </c>
      <c r="N30" s="116">
        <v>0</v>
      </c>
      <c r="O30" s="116">
        <v>0</v>
      </c>
      <c r="P30" s="116">
        <v>0</v>
      </c>
      <c r="Q30" s="116">
        <v>0</v>
      </c>
      <c r="R30" s="116">
        <v>0</v>
      </c>
      <c r="S30" s="116">
        <v>0</v>
      </c>
      <c r="T30" s="116">
        <v>0</v>
      </c>
      <c r="U30" s="116">
        <v>0</v>
      </c>
      <c r="V30" s="116">
        <v>0</v>
      </c>
      <c r="W30" s="116">
        <v>0</v>
      </c>
      <c r="X30" s="116">
        <v>0</v>
      </c>
      <c r="Y30" s="116">
        <v>0</v>
      </c>
      <c r="Z30" s="116">
        <v>0</v>
      </c>
      <c r="AA30" s="116">
        <v>0</v>
      </c>
      <c r="AB30" s="116">
        <v>0</v>
      </c>
      <c r="AC30" s="116">
        <v>0</v>
      </c>
      <c r="AD30" s="116">
        <v>0</v>
      </c>
      <c r="AE30" s="116">
        <v>0</v>
      </c>
      <c r="AF30" s="116">
        <v>0</v>
      </c>
      <c r="AG30" s="116">
        <v>0</v>
      </c>
      <c r="AH30" s="116">
        <v>0</v>
      </c>
      <c r="AI30" s="116">
        <v>0</v>
      </c>
      <c r="AJ30" s="116">
        <v>0</v>
      </c>
      <c r="AK30" s="116">
        <v>0</v>
      </c>
      <c r="AL30" s="116">
        <v>0</v>
      </c>
      <c r="AM30" s="116">
        <v>0</v>
      </c>
      <c r="AN30" s="116">
        <v>0</v>
      </c>
      <c r="AO30" s="116">
        <v>0</v>
      </c>
      <c r="AP30" s="116">
        <v>0</v>
      </c>
      <c r="AQ30" s="116">
        <v>0</v>
      </c>
      <c r="AR30" s="116">
        <v>0</v>
      </c>
      <c r="AS30" s="116">
        <v>0</v>
      </c>
      <c r="AT30" s="116">
        <v>0</v>
      </c>
      <c r="AU30" s="116">
        <v>0</v>
      </c>
      <c r="AV30" s="116">
        <v>0</v>
      </c>
      <c r="AW30" s="116">
        <v>0</v>
      </c>
      <c r="AX30" s="116">
        <v>0</v>
      </c>
      <c r="AY30" s="116">
        <v>0</v>
      </c>
    </row>
    <row r="31" spans="1:53" x14ac:dyDescent="0.2">
      <c r="A31" s="115"/>
      <c r="B31" s="136">
        <v>7</v>
      </c>
      <c r="C31" s="115" t="s">
        <v>293</v>
      </c>
      <c r="D31" s="116">
        <v>0</v>
      </c>
      <c r="E31" s="116">
        <v>0</v>
      </c>
      <c r="F31" s="116">
        <v>0</v>
      </c>
      <c r="G31" s="116">
        <v>0</v>
      </c>
      <c r="H31" s="116">
        <v>0</v>
      </c>
      <c r="I31" s="116">
        <v>0</v>
      </c>
      <c r="J31" s="116">
        <v>0</v>
      </c>
      <c r="K31" s="116">
        <v>0</v>
      </c>
      <c r="L31" s="116">
        <v>0</v>
      </c>
      <c r="M31" s="116">
        <v>0</v>
      </c>
      <c r="N31" s="116">
        <v>0</v>
      </c>
      <c r="O31" s="116">
        <v>0</v>
      </c>
      <c r="P31" s="116">
        <v>0</v>
      </c>
      <c r="Q31" s="116">
        <v>0</v>
      </c>
      <c r="R31" s="116">
        <v>0</v>
      </c>
      <c r="S31" s="116">
        <v>0</v>
      </c>
      <c r="T31" s="116">
        <v>0</v>
      </c>
      <c r="U31" s="116">
        <v>0</v>
      </c>
      <c r="V31" s="116">
        <v>0</v>
      </c>
      <c r="W31" s="116">
        <v>0</v>
      </c>
      <c r="X31" s="116">
        <v>0</v>
      </c>
      <c r="Y31" s="116">
        <v>0</v>
      </c>
      <c r="Z31" s="116">
        <v>0</v>
      </c>
      <c r="AA31" s="116">
        <v>0</v>
      </c>
      <c r="AB31" s="116">
        <v>0</v>
      </c>
      <c r="AC31" s="116">
        <v>0</v>
      </c>
      <c r="AD31" s="116">
        <v>0</v>
      </c>
      <c r="AE31" s="116">
        <v>0</v>
      </c>
      <c r="AF31" s="116">
        <v>0</v>
      </c>
      <c r="AG31" s="116">
        <v>0</v>
      </c>
      <c r="AH31" s="116">
        <v>0</v>
      </c>
      <c r="AI31" s="116">
        <v>0</v>
      </c>
      <c r="AJ31" s="116">
        <v>0</v>
      </c>
      <c r="AK31" s="116">
        <v>0</v>
      </c>
      <c r="AL31" s="116">
        <v>0</v>
      </c>
      <c r="AM31" s="116">
        <v>0</v>
      </c>
      <c r="AN31" s="116">
        <v>0</v>
      </c>
      <c r="AO31" s="116">
        <v>0</v>
      </c>
      <c r="AP31" s="116">
        <v>0</v>
      </c>
      <c r="AQ31" s="116">
        <v>0</v>
      </c>
      <c r="AR31" s="116">
        <v>0</v>
      </c>
      <c r="AS31" s="116">
        <v>0</v>
      </c>
      <c r="AT31" s="116">
        <v>0</v>
      </c>
      <c r="AU31" s="116">
        <v>0</v>
      </c>
      <c r="AV31" s="116">
        <v>0</v>
      </c>
      <c r="AW31" s="116">
        <v>0</v>
      </c>
      <c r="AX31" s="116">
        <v>0</v>
      </c>
      <c r="AY31" s="116">
        <v>0</v>
      </c>
    </row>
    <row r="32" spans="1:53" x14ac:dyDescent="0.2">
      <c r="A32" s="134"/>
      <c r="B32" s="135">
        <v>8</v>
      </c>
      <c r="C32" s="134" t="s">
        <v>293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293</v>
      </c>
      <c r="D33" s="112">
        <v>21962.101628950815</v>
      </c>
      <c r="E33" s="112">
        <v>21962.101628950822</v>
      </c>
      <c r="F33" s="112">
        <v>21962.101628950819</v>
      </c>
      <c r="G33" s="112">
        <v>21962.101628950819</v>
      </c>
      <c r="H33" s="112">
        <v>21962.101628950819</v>
      </c>
      <c r="I33" s="112">
        <v>21962.101628950826</v>
      </c>
      <c r="J33" s="112">
        <v>21962.101628950826</v>
      </c>
      <c r="K33" s="112">
        <v>21962.101628950822</v>
      </c>
      <c r="L33" s="112">
        <v>21962.101628950826</v>
      </c>
      <c r="M33" s="112">
        <v>21962.101628950826</v>
      </c>
      <c r="N33" s="112">
        <v>21962.101628950826</v>
      </c>
      <c r="O33" s="112">
        <v>21962.101628950826</v>
      </c>
      <c r="P33" s="112">
        <v>21962.101628950826</v>
      </c>
      <c r="Q33" s="112">
        <v>21962.10162895083</v>
      </c>
      <c r="R33" s="112">
        <v>21962.10162895083</v>
      </c>
      <c r="S33" s="112">
        <v>21962.10162895083</v>
      </c>
      <c r="T33" s="112">
        <v>21962.10162895083</v>
      </c>
      <c r="U33" s="112">
        <v>21962.101628950826</v>
      </c>
      <c r="V33" s="112">
        <v>21962.101628950826</v>
      </c>
      <c r="W33" s="112">
        <v>21962.101628950826</v>
      </c>
      <c r="X33" s="112">
        <v>21962.101628950826</v>
      </c>
      <c r="Y33" s="112">
        <v>21962.101628950822</v>
      </c>
      <c r="Z33" s="112">
        <v>21962.101628950826</v>
      </c>
      <c r="AA33" s="112">
        <v>21962.101628950826</v>
      </c>
      <c r="AB33" s="112">
        <v>21962.101628950822</v>
      </c>
      <c r="AC33" s="112">
        <v>21962.101628950826</v>
      </c>
      <c r="AD33" s="112">
        <v>21962.101628950822</v>
      </c>
      <c r="AE33" s="112">
        <v>21962.101628950833</v>
      </c>
      <c r="AF33" s="112">
        <v>21962.10162895083</v>
      </c>
      <c r="AG33" s="112">
        <v>21962.101628950826</v>
      </c>
      <c r="AH33" s="112">
        <v>21962.101628950826</v>
      </c>
      <c r="AI33" s="112">
        <v>21962.101628950822</v>
      </c>
      <c r="AJ33" s="112">
        <v>21962.10162895083</v>
      </c>
      <c r="AK33" s="112">
        <v>21962.101628950822</v>
      </c>
      <c r="AL33" s="112">
        <v>21962.101628950826</v>
      </c>
      <c r="AM33" s="112">
        <v>21962.101628950826</v>
      </c>
      <c r="AN33" s="112">
        <v>21962.101628950826</v>
      </c>
      <c r="AO33" s="112">
        <v>21962.101628950822</v>
      </c>
      <c r="AP33" s="112">
        <v>21962.10162895083</v>
      </c>
      <c r="AQ33" s="112">
        <v>21962.10162895083</v>
      </c>
      <c r="AR33" s="112">
        <v>21962.10162895083</v>
      </c>
      <c r="AS33" s="112">
        <v>21962.101628950822</v>
      </c>
      <c r="AT33" s="112">
        <v>21962.101628950826</v>
      </c>
      <c r="AU33" s="112">
        <v>21962.101628950822</v>
      </c>
      <c r="AV33" s="112">
        <v>21962.10162895083</v>
      </c>
      <c r="AW33" s="112">
        <v>21962.101628950819</v>
      </c>
      <c r="AX33" s="112">
        <v>21962.101628950815</v>
      </c>
      <c r="AY33" s="112">
        <v>21962.101628950819</v>
      </c>
    </row>
    <row r="34" spans="1:51" x14ac:dyDescent="0.2">
      <c r="A34" s="115"/>
      <c r="B34" s="125">
        <v>2</v>
      </c>
      <c r="C34" s="115" t="s">
        <v>293</v>
      </c>
      <c r="D34" s="112">
        <v>0</v>
      </c>
      <c r="E34" s="112">
        <v>0</v>
      </c>
      <c r="F34" s="112">
        <v>0</v>
      </c>
      <c r="G34" s="112">
        <v>0</v>
      </c>
      <c r="H34" s="112">
        <v>0</v>
      </c>
      <c r="I34" s="112">
        <v>0</v>
      </c>
      <c r="J34" s="112">
        <v>0</v>
      </c>
      <c r="K34" s="112">
        <v>0</v>
      </c>
      <c r="L34" s="112">
        <v>0</v>
      </c>
      <c r="M34" s="112">
        <v>0</v>
      </c>
      <c r="N34" s="112">
        <v>0</v>
      </c>
      <c r="O34" s="112">
        <v>0</v>
      </c>
      <c r="P34" s="112">
        <v>0</v>
      </c>
      <c r="Q34" s="112">
        <v>0</v>
      </c>
      <c r="R34" s="112">
        <v>0</v>
      </c>
      <c r="S34" s="112">
        <v>0</v>
      </c>
      <c r="T34" s="112">
        <v>0</v>
      </c>
      <c r="U34" s="112">
        <v>0</v>
      </c>
      <c r="V34" s="112">
        <v>0</v>
      </c>
      <c r="W34" s="112">
        <v>0</v>
      </c>
      <c r="X34" s="112">
        <v>0</v>
      </c>
      <c r="Y34" s="112">
        <v>0</v>
      </c>
      <c r="Z34" s="112">
        <v>0</v>
      </c>
      <c r="AA34" s="112">
        <v>0</v>
      </c>
      <c r="AB34" s="112">
        <v>0</v>
      </c>
      <c r="AC34" s="112">
        <v>0</v>
      </c>
      <c r="AD34" s="112">
        <v>0</v>
      </c>
      <c r="AE34" s="112">
        <v>0</v>
      </c>
      <c r="AF34" s="112">
        <v>0</v>
      </c>
      <c r="AG34" s="112">
        <v>0</v>
      </c>
      <c r="AH34" s="112">
        <v>0</v>
      </c>
      <c r="AI34" s="112">
        <v>0</v>
      </c>
      <c r="AJ34" s="112">
        <v>0</v>
      </c>
      <c r="AK34" s="112">
        <v>0</v>
      </c>
      <c r="AL34" s="112">
        <v>0</v>
      </c>
      <c r="AM34" s="112">
        <v>0</v>
      </c>
      <c r="AN34" s="112">
        <v>0</v>
      </c>
      <c r="AO34" s="112">
        <v>0</v>
      </c>
      <c r="AP34" s="112">
        <v>0</v>
      </c>
      <c r="AQ34" s="112">
        <v>0</v>
      </c>
      <c r="AR34" s="112">
        <v>0</v>
      </c>
      <c r="AS34" s="112">
        <v>0</v>
      </c>
      <c r="AT34" s="112">
        <v>0</v>
      </c>
      <c r="AU34" s="112">
        <v>0</v>
      </c>
      <c r="AV34" s="112">
        <v>0</v>
      </c>
      <c r="AW34" s="112">
        <v>0</v>
      </c>
      <c r="AX34" s="112">
        <v>0</v>
      </c>
      <c r="AY34" s="112">
        <v>0</v>
      </c>
    </row>
    <row r="35" spans="1:51" x14ac:dyDescent="0.2">
      <c r="A35" s="115"/>
      <c r="B35" s="125">
        <v>3</v>
      </c>
      <c r="C35" s="115" t="s">
        <v>293</v>
      </c>
      <c r="D35" s="112">
        <v>0</v>
      </c>
      <c r="E35" s="112">
        <v>0</v>
      </c>
      <c r="F35" s="112">
        <v>0</v>
      </c>
      <c r="G35" s="112">
        <v>0</v>
      </c>
      <c r="H35" s="112">
        <v>0</v>
      </c>
      <c r="I35" s="112">
        <v>0</v>
      </c>
      <c r="J35" s="112">
        <v>0</v>
      </c>
      <c r="K35" s="112">
        <v>0</v>
      </c>
      <c r="L35" s="112">
        <v>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112">
        <v>0</v>
      </c>
      <c r="X35" s="112">
        <v>0</v>
      </c>
      <c r="Y35" s="112">
        <v>0</v>
      </c>
      <c r="Z35" s="112">
        <v>0</v>
      </c>
      <c r="AA35" s="112">
        <v>0</v>
      </c>
      <c r="AB35" s="112">
        <v>0</v>
      </c>
      <c r="AC35" s="112">
        <v>0</v>
      </c>
      <c r="AD35" s="112">
        <v>0</v>
      </c>
      <c r="AE35" s="112">
        <v>0</v>
      </c>
      <c r="AF35" s="112">
        <v>0</v>
      </c>
      <c r="AG35" s="112">
        <v>0</v>
      </c>
      <c r="AH35" s="112">
        <v>0</v>
      </c>
      <c r="AI35" s="112">
        <v>0</v>
      </c>
      <c r="AJ35" s="112">
        <v>0</v>
      </c>
      <c r="AK35" s="112">
        <v>0</v>
      </c>
      <c r="AL35" s="112">
        <v>0</v>
      </c>
      <c r="AM35" s="112">
        <v>0</v>
      </c>
      <c r="AN35" s="112">
        <v>0</v>
      </c>
      <c r="AO35" s="112">
        <v>0</v>
      </c>
      <c r="AP35" s="112">
        <v>0</v>
      </c>
      <c r="AQ35" s="112">
        <v>0</v>
      </c>
      <c r="AR35" s="112">
        <v>0</v>
      </c>
      <c r="AS35" s="112">
        <v>0</v>
      </c>
      <c r="AT35" s="112">
        <v>0</v>
      </c>
      <c r="AU35" s="112">
        <v>0</v>
      </c>
      <c r="AV35" s="112">
        <v>0</v>
      </c>
      <c r="AW35" s="112">
        <v>0</v>
      </c>
      <c r="AX35" s="112">
        <v>0</v>
      </c>
      <c r="AY35" s="112">
        <v>0</v>
      </c>
    </row>
    <row r="36" spans="1:51" x14ac:dyDescent="0.2">
      <c r="A36" s="115"/>
      <c r="B36" s="126">
        <v>4</v>
      </c>
      <c r="C36" s="115" t="s">
        <v>293</v>
      </c>
      <c r="D36" s="112">
        <v>0</v>
      </c>
      <c r="E36" s="112">
        <v>0</v>
      </c>
      <c r="F36" s="112">
        <v>0</v>
      </c>
      <c r="G36" s="112">
        <v>0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0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112">
        <v>0</v>
      </c>
      <c r="W36" s="112">
        <v>0</v>
      </c>
      <c r="X36" s="112">
        <v>0</v>
      </c>
      <c r="Y36" s="112">
        <v>0</v>
      </c>
      <c r="Z36" s="112">
        <v>0</v>
      </c>
      <c r="AA36" s="112">
        <v>0</v>
      </c>
      <c r="AB36" s="112">
        <v>0</v>
      </c>
      <c r="AC36" s="112">
        <v>0</v>
      </c>
      <c r="AD36" s="112">
        <v>0</v>
      </c>
      <c r="AE36" s="112">
        <v>0</v>
      </c>
      <c r="AF36" s="112">
        <v>0</v>
      </c>
      <c r="AG36" s="112">
        <v>0</v>
      </c>
      <c r="AH36" s="112">
        <v>0</v>
      </c>
      <c r="AI36" s="112">
        <v>0</v>
      </c>
      <c r="AJ36" s="112">
        <v>0</v>
      </c>
      <c r="AK36" s="112">
        <v>0</v>
      </c>
      <c r="AL36" s="112">
        <v>0</v>
      </c>
      <c r="AM36" s="112">
        <v>0</v>
      </c>
      <c r="AN36" s="112">
        <v>0</v>
      </c>
      <c r="AO36" s="112">
        <v>0</v>
      </c>
      <c r="AP36" s="112">
        <v>0</v>
      </c>
      <c r="AQ36" s="112">
        <v>0</v>
      </c>
      <c r="AR36" s="112">
        <v>0</v>
      </c>
      <c r="AS36" s="112">
        <v>0</v>
      </c>
      <c r="AT36" s="112">
        <v>0</v>
      </c>
      <c r="AU36" s="112">
        <v>0</v>
      </c>
      <c r="AV36" s="112">
        <v>0</v>
      </c>
      <c r="AW36" s="112">
        <v>0</v>
      </c>
      <c r="AX36" s="112">
        <v>0</v>
      </c>
      <c r="AY36" s="112">
        <v>0</v>
      </c>
    </row>
    <row r="37" spans="1:51" x14ac:dyDescent="0.2">
      <c r="A37" s="115"/>
      <c r="B37" s="126">
        <v>5</v>
      </c>
      <c r="C37" s="115" t="s">
        <v>293</v>
      </c>
      <c r="D37" s="112">
        <v>0</v>
      </c>
      <c r="E37" s="112">
        <v>0</v>
      </c>
      <c r="F37" s="112">
        <v>0</v>
      </c>
      <c r="G37" s="112">
        <v>0</v>
      </c>
      <c r="H37" s="112">
        <v>0</v>
      </c>
      <c r="I37" s="112">
        <v>0</v>
      </c>
      <c r="J37" s="112">
        <v>0</v>
      </c>
      <c r="K37" s="112">
        <v>0</v>
      </c>
      <c r="L37" s="112">
        <v>0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112">
        <v>0</v>
      </c>
      <c r="X37" s="112">
        <v>0</v>
      </c>
      <c r="Y37" s="112">
        <v>0</v>
      </c>
      <c r="Z37" s="112">
        <v>0</v>
      </c>
      <c r="AA37" s="112">
        <v>0</v>
      </c>
      <c r="AB37" s="112">
        <v>0</v>
      </c>
      <c r="AC37" s="112">
        <v>0</v>
      </c>
      <c r="AD37" s="112">
        <v>0</v>
      </c>
      <c r="AE37" s="112">
        <v>0</v>
      </c>
      <c r="AF37" s="112">
        <v>0</v>
      </c>
      <c r="AG37" s="112">
        <v>0</v>
      </c>
      <c r="AH37" s="112">
        <v>0</v>
      </c>
      <c r="AI37" s="112">
        <v>0</v>
      </c>
      <c r="AJ37" s="112">
        <v>0</v>
      </c>
      <c r="AK37" s="112">
        <v>0</v>
      </c>
      <c r="AL37" s="112">
        <v>0</v>
      </c>
      <c r="AM37" s="112">
        <v>0</v>
      </c>
      <c r="AN37" s="112">
        <v>0</v>
      </c>
      <c r="AO37" s="112">
        <v>0</v>
      </c>
      <c r="AP37" s="112">
        <v>0</v>
      </c>
      <c r="AQ37" s="112">
        <v>0</v>
      </c>
      <c r="AR37" s="112">
        <v>0</v>
      </c>
      <c r="AS37" s="112">
        <v>0</v>
      </c>
      <c r="AT37" s="112">
        <v>0</v>
      </c>
      <c r="AU37" s="112">
        <v>0</v>
      </c>
      <c r="AV37" s="112">
        <v>0</v>
      </c>
      <c r="AW37" s="112">
        <v>0</v>
      </c>
      <c r="AX37" s="112">
        <v>0</v>
      </c>
      <c r="AY37" s="112">
        <v>0</v>
      </c>
    </row>
    <row r="38" spans="1:51" x14ac:dyDescent="0.2">
      <c r="A38" s="115"/>
      <c r="B38" s="126">
        <v>6</v>
      </c>
      <c r="C38" s="115" t="s">
        <v>293</v>
      </c>
      <c r="D38" s="112">
        <v>0</v>
      </c>
      <c r="E38" s="112">
        <v>0</v>
      </c>
      <c r="F38" s="112">
        <v>0</v>
      </c>
      <c r="G38" s="112">
        <v>0</v>
      </c>
      <c r="H38" s="112">
        <v>0</v>
      </c>
      <c r="I38" s="112">
        <v>0</v>
      </c>
      <c r="J38" s="112">
        <v>0</v>
      </c>
      <c r="K38" s="112">
        <v>0</v>
      </c>
      <c r="L38" s="112">
        <v>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112">
        <v>0</v>
      </c>
      <c r="T38" s="112">
        <v>0</v>
      </c>
      <c r="U38" s="112">
        <v>0</v>
      </c>
      <c r="V38" s="112">
        <v>0</v>
      </c>
      <c r="W38" s="112">
        <v>0</v>
      </c>
      <c r="X38" s="112">
        <v>0</v>
      </c>
      <c r="Y38" s="112">
        <v>0</v>
      </c>
      <c r="Z38" s="112">
        <v>0</v>
      </c>
      <c r="AA38" s="112">
        <v>0</v>
      </c>
      <c r="AB38" s="112">
        <v>0</v>
      </c>
      <c r="AC38" s="112">
        <v>0</v>
      </c>
      <c r="AD38" s="112">
        <v>0</v>
      </c>
      <c r="AE38" s="112">
        <v>0</v>
      </c>
      <c r="AF38" s="112">
        <v>0</v>
      </c>
      <c r="AG38" s="112">
        <v>0</v>
      </c>
      <c r="AH38" s="112">
        <v>0</v>
      </c>
      <c r="AI38" s="112">
        <v>0</v>
      </c>
      <c r="AJ38" s="112">
        <v>0</v>
      </c>
      <c r="AK38" s="112">
        <v>0</v>
      </c>
      <c r="AL38" s="112">
        <v>0</v>
      </c>
      <c r="AM38" s="112">
        <v>0</v>
      </c>
      <c r="AN38" s="112">
        <v>0</v>
      </c>
      <c r="AO38" s="112">
        <v>0</v>
      </c>
      <c r="AP38" s="112">
        <v>0</v>
      </c>
      <c r="AQ38" s="112">
        <v>0</v>
      </c>
      <c r="AR38" s="112">
        <v>0</v>
      </c>
      <c r="AS38" s="112">
        <v>0</v>
      </c>
      <c r="AT38" s="112">
        <v>0</v>
      </c>
      <c r="AU38" s="112">
        <v>0</v>
      </c>
      <c r="AV38" s="112">
        <v>0</v>
      </c>
      <c r="AW38" s="112">
        <v>0</v>
      </c>
      <c r="AX38" s="112">
        <v>0</v>
      </c>
      <c r="AY38" s="112">
        <v>0</v>
      </c>
    </row>
    <row r="39" spans="1:51" x14ac:dyDescent="0.2">
      <c r="A39" s="115"/>
      <c r="B39" s="133">
        <v>7</v>
      </c>
      <c r="C39" s="115" t="s">
        <v>293</v>
      </c>
      <c r="D39" s="112">
        <v>0</v>
      </c>
      <c r="E39" s="112">
        <v>0</v>
      </c>
      <c r="F39" s="112">
        <v>0</v>
      </c>
      <c r="G39" s="112">
        <v>0</v>
      </c>
      <c r="H39" s="112">
        <v>0</v>
      </c>
      <c r="I39" s="112">
        <v>0</v>
      </c>
      <c r="J39" s="112">
        <v>0</v>
      </c>
      <c r="K39" s="112">
        <v>0</v>
      </c>
      <c r="L39" s="112">
        <v>0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112">
        <v>0</v>
      </c>
      <c r="Z39" s="112">
        <v>0</v>
      </c>
      <c r="AA39" s="112">
        <v>0</v>
      </c>
      <c r="AB39" s="112">
        <v>0</v>
      </c>
      <c r="AC39" s="112">
        <v>0</v>
      </c>
      <c r="AD39" s="112">
        <v>0</v>
      </c>
      <c r="AE39" s="112">
        <v>0</v>
      </c>
      <c r="AF39" s="112">
        <v>0</v>
      </c>
      <c r="AG39" s="112">
        <v>0</v>
      </c>
      <c r="AH39" s="112">
        <v>0</v>
      </c>
      <c r="AI39" s="112">
        <v>0</v>
      </c>
      <c r="AJ39" s="112">
        <v>0</v>
      </c>
      <c r="AK39" s="112">
        <v>0</v>
      </c>
      <c r="AL39" s="112">
        <v>0</v>
      </c>
      <c r="AM39" s="112">
        <v>0</v>
      </c>
      <c r="AN39" s="112">
        <v>0</v>
      </c>
      <c r="AO39" s="112">
        <v>0</v>
      </c>
      <c r="AP39" s="112">
        <v>0</v>
      </c>
      <c r="AQ39" s="112">
        <v>0</v>
      </c>
      <c r="AR39" s="112">
        <v>0</v>
      </c>
      <c r="AS39" s="112">
        <v>0</v>
      </c>
      <c r="AT39" s="112">
        <v>0</v>
      </c>
      <c r="AU39" s="112">
        <v>0</v>
      </c>
      <c r="AV39" s="112">
        <v>0</v>
      </c>
      <c r="AW39" s="112">
        <v>0</v>
      </c>
      <c r="AX39" s="112">
        <v>0</v>
      </c>
      <c r="AY39" s="112">
        <v>0</v>
      </c>
    </row>
    <row r="40" spans="1:51" x14ac:dyDescent="0.2">
      <c r="A40" s="115"/>
      <c r="B40" s="133">
        <v>8</v>
      </c>
      <c r="C40" s="115" t="s">
        <v>293</v>
      </c>
      <c r="D40" s="112">
        <v>0</v>
      </c>
      <c r="E40" s="112">
        <v>0</v>
      </c>
      <c r="F40" s="112">
        <v>0</v>
      </c>
      <c r="G40" s="112">
        <v>0</v>
      </c>
      <c r="H40" s="112">
        <v>0</v>
      </c>
      <c r="I40" s="112">
        <v>0</v>
      </c>
      <c r="J40" s="112">
        <v>0</v>
      </c>
      <c r="K40" s="112">
        <v>0</v>
      </c>
      <c r="L40" s="112">
        <v>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112">
        <v>0</v>
      </c>
      <c r="T40" s="112">
        <v>0</v>
      </c>
      <c r="U40" s="112">
        <v>0</v>
      </c>
      <c r="V40" s="112">
        <v>0</v>
      </c>
      <c r="W40" s="112">
        <v>0</v>
      </c>
      <c r="X40" s="112">
        <v>0</v>
      </c>
      <c r="Y40" s="112">
        <v>0</v>
      </c>
      <c r="Z40" s="112">
        <v>0</v>
      </c>
      <c r="AA40" s="112">
        <v>0</v>
      </c>
      <c r="AB40" s="112">
        <v>0</v>
      </c>
      <c r="AC40" s="112">
        <v>0</v>
      </c>
      <c r="AD40" s="112">
        <v>0</v>
      </c>
      <c r="AE40" s="112">
        <v>0</v>
      </c>
      <c r="AF40" s="112">
        <v>0</v>
      </c>
      <c r="AG40" s="112">
        <v>0</v>
      </c>
      <c r="AH40" s="112">
        <v>0</v>
      </c>
      <c r="AI40" s="112">
        <v>0</v>
      </c>
      <c r="AJ40" s="112">
        <v>0</v>
      </c>
      <c r="AK40" s="112">
        <v>0</v>
      </c>
      <c r="AL40" s="112">
        <v>0</v>
      </c>
      <c r="AM40" s="112">
        <v>0</v>
      </c>
      <c r="AN40" s="112">
        <v>0</v>
      </c>
      <c r="AO40" s="112">
        <v>0</v>
      </c>
      <c r="AP40" s="112">
        <v>0</v>
      </c>
      <c r="AQ40" s="112">
        <v>0</v>
      </c>
      <c r="AR40" s="112">
        <v>0</v>
      </c>
      <c r="AS40" s="112">
        <v>0</v>
      </c>
      <c r="AT40" s="112">
        <v>0</v>
      </c>
      <c r="AU40" s="112">
        <v>0</v>
      </c>
      <c r="AV40" s="112">
        <v>0</v>
      </c>
      <c r="AW40" s="112">
        <v>0</v>
      </c>
      <c r="AX40" s="112">
        <v>0</v>
      </c>
      <c r="AY40" s="112">
        <v>0</v>
      </c>
    </row>
    <row r="41" spans="1:51" x14ac:dyDescent="0.2">
      <c r="A41" s="115"/>
      <c r="B41" s="133">
        <v>9</v>
      </c>
      <c r="C41" s="115" t="s">
        <v>293</v>
      </c>
      <c r="D41" s="112">
        <v>0</v>
      </c>
      <c r="E41" s="112">
        <v>0</v>
      </c>
      <c r="F41" s="112">
        <v>0</v>
      </c>
      <c r="G41" s="112">
        <v>0</v>
      </c>
      <c r="H41" s="112">
        <v>0</v>
      </c>
      <c r="I41" s="112">
        <v>0</v>
      </c>
      <c r="J41" s="112">
        <v>0</v>
      </c>
      <c r="K41" s="112">
        <v>0</v>
      </c>
      <c r="L41" s="112">
        <v>0</v>
      </c>
      <c r="M41" s="112">
        <v>0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112">
        <v>0</v>
      </c>
      <c r="Z41" s="112">
        <v>0</v>
      </c>
      <c r="AA41" s="112">
        <v>0</v>
      </c>
      <c r="AB41" s="112">
        <v>0</v>
      </c>
      <c r="AC41" s="112">
        <v>0</v>
      </c>
      <c r="AD41" s="112">
        <v>0</v>
      </c>
      <c r="AE41" s="112">
        <v>0</v>
      </c>
      <c r="AF41" s="112">
        <v>0</v>
      </c>
      <c r="AG41" s="112">
        <v>0</v>
      </c>
      <c r="AH41" s="112">
        <v>0</v>
      </c>
      <c r="AI41" s="112">
        <v>0</v>
      </c>
      <c r="AJ41" s="112">
        <v>0</v>
      </c>
      <c r="AK41" s="112">
        <v>0</v>
      </c>
      <c r="AL41" s="112">
        <v>0</v>
      </c>
      <c r="AM41" s="112">
        <v>0</v>
      </c>
      <c r="AN41" s="112">
        <v>0</v>
      </c>
      <c r="AO41" s="112">
        <v>0</v>
      </c>
      <c r="AP41" s="112">
        <v>0</v>
      </c>
      <c r="AQ41" s="112">
        <v>0</v>
      </c>
      <c r="AR41" s="112">
        <v>0</v>
      </c>
      <c r="AS41" s="112">
        <v>0</v>
      </c>
      <c r="AT41" s="112">
        <v>0</v>
      </c>
      <c r="AU41" s="112">
        <v>0</v>
      </c>
      <c r="AV41" s="112">
        <v>0</v>
      </c>
      <c r="AW41" s="112">
        <v>0</v>
      </c>
      <c r="AX41" s="112">
        <v>0</v>
      </c>
      <c r="AY41" s="112">
        <v>0</v>
      </c>
    </row>
    <row r="42" spans="1:51" x14ac:dyDescent="0.2">
      <c r="A42" s="115"/>
      <c r="B42" s="136">
        <v>10</v>
      </c>
      <c r="C42" s="115" t="s">
        <v>293</v>
      </c>
      <c r="D42" s="112">
        <v>0</v>
      </c>
      <c r="E42" s="112">
        <v>0</v>
      </c>
      <c r="F42" s="112">
        <v>0</v>
      </c>
      <c r="G42" s="112">
        <v>0</v>
      </c>
      <c r="H42" s="112">
        <v>0</v>
      </c>
      <c r="I42" s="112">
        <v>0</v>
      </c>
      <c r="J42" s="112">
        <v>0</v>
      </c>
      <c r="K42" s="112">
        <v>0</v>
      </c>
      <c r="L42" s="112">
        <v>0</v>
      </c>
      <c r="M42" s="112">
        <v>0</v>
      </c>
      <c r="N42" s="112">
        <v>0</v>
      </c>
      <c r="O42" s="112">
        <v>0</v>
      </c>
      <c r="P42" s="112">
        <v>0</v>
      </c>
      <c r="Q42" s="112">
        <v>0</v>
      </c>
      <c r="R42" s="112">
        <v>0</v>
      </c>
      <c r="S42" s="112">
        <v>0</v>
      </c>
      <c r="T42" s="112">
        <v>0</v>
      </c>
      <c r="U42" s="112">
        <v>0</v>
      </c>
      <c r="V42" s="112">
        <v>0</v>
      </c>
      <c r="W42" s="112">
        <v>0</v>
      </c>
      <c r="X42" s="112">
        <v>0</v>
      </c>
      <c r="Y42" s="112">
        <v>0</v>
      </c>
      <c r="Z42" s="112">
        <v>0</v>
      </c>
      <c r="AA42" s="112">
        <v>0</v>
      </c>
      <c r="AB42" s="112">
        <v>0</v>
      </c>
      <c r="AC42" s="112">
        <v>0</v>
      </c>
      <c r="AD42" s="112">
        <v>0</v>
      </c>
      <c r="AE42" s="112">
        <v>0</v>
      </c>
      <c r="AF42" s="112">
        <v>0</v>
      </c>
      <c r="AG42" s="112">
        <v>0</v>
      </c>
      <c r="AH42" s="112">
        <v>0</v>
      </c>
      <c r="AI42" s="112">
        <v>0</v>
      </c>
      <c r="AJ42" s="112">
        <v>0</v>
      </c>
      <c r="AK42" s="112">
        <v>0</v>
      </c>
      <c r="AL42" s="112">
        <v>0</v>
      </c>
      <c r="AM42" s="112">
        <v>0</v>
      </c>
      <c r="AN42" s="112">
        <v>0</v>
      </c>
      <c r="AO42" s="112">
        <v>0</v>
      </c>
      <c r="AP42" s="112">
        <v>0</v>
      </c>
      <c r="AQ42" s="112">
        <v>0</v>
      </c>
      <c r="AR42" s="112">
        <v>0</v>
      </c>
      <c r="AS42" s="112">
        <v>0</v>
      </c>
      <c r="AT42" s="112">
        <v>0</v>
      </c>
      <c r="AU42" s="112">
        <v>0</v>
      </c>
      <c r="AV42" s="112">
        <v>0</v>
      </c>
      <c r="AW42" s="112">
        <v>0</v>
      </c>
      <c r="AX42" s="112">
        <v>0</v>
      </c>
      <c r="AY42" s="112">
        <v>0</v>
      </c>
    </row>
    <row r="43" spans="1:51" x14ac:dyDescent="0.2">
      <c r="A43" s="115"/>
      <c r="B43" s="136">
        <v>11</v>
      </c>
      <c r="C43" s="115" t="s">
        <v>293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0</v>
      </c>
      <c r="J43" s="112">
        <v>0</v>
      </c>
      <c r="K43" s="112">
        <v>0</v>
      </c>
      <c r="L43" s="112">
        <v>0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112">
        <v>0</v>
      </c>
      <c r="U43" s="112">
        <v>0</v>
      </c>
      <c r="V43" s="112">
        <v>0</v>
      </c>
      <c r="W43" s="112">
        <v>0</v>
      </c>
      <c r="X43" s="112">
        <v>0</v>
      </c>
      <c r="Y43" s="112">
        <v>0</v>
      </c>
      <c r="Z43" s="112">
        <v>0</v>
      </c>
      <c r="AA43" s="112">
        <v>0</v>
      </c>
      <c r="AB43" s="112">
        <v>0</v>
      </c>
      <c r="AC43" s="112">
        <v>0</v>
      </c>
      <c r="AD43" s="112">
        <v>0</v>
      </c>
      <c r="AE43" s="112">
        <v>0</v>
      </c>
      <c r="AF43" s="112">
        <v>0</v>
      </c>
      <c r="AG43" s="112">
        <v>0</v>
      </c>
      <c r="AH43" s="112">
        <v>0</v>
      </c>
      <c r="AI43" s="112">
        <v>0</v>
      </c>
      <c r="AJ43" s="112">
        <v>0</v>
      </c>
      <c r="AK43" s="112">
        <v>0</v>
      </c>
      <c r="AL43" s="112">
        <v>0</v>
      </c>
      <c r="AM43" s="112">
        <v>0</v>
      </c>
      <c r="AN43" s="112">
        <v>0</v>
      </c>
      <c r="AO43" s="112">
        <v>0</v>
      </c>
      <c r="AP43" s="112">
        <v>0</v>
      </c>
      <c r="AQ43" s="112">
        <v>0</v>
      </c>
      <c r="AR43" s="112">
        <v>0</v>
      </c>
      <c r="AS43" s="112">
        <v>0</v>
      </c>
      <c r="AT43" s="112">
        <v>0</v>
      </c>
      <c r="AU43" s="112">
        <v>0</v>
      </c>
      <c r="AV43" s="112">
        <v>0</v>
      </c>
      <c r="AW43" s="112">
        <v>0</v>
      </c>
      <c r="AX43" s="112">
        <v>0</v>
      </c>
      <c r="AY43" s="112">
        <v>0</v>
      </c>
    </row>
    <row r="44" spans="1:51" x14ac:dyDescent="0.2">
      <c r="A44" s="115"/>
      <c r="B44" s="136">
        <v>12</v>
      </c>
      <c r="C44" s="134" t="s">
        <v>293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293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293</v>
      </c>
      <c r="D46" s="116">
        <v>3661.7110302180317</v>
      </c>
      <c r="E46" s="116">
        <v>5957.7531136399721</v>
      </c>
      <c r="F46" s="116">
        <v>5957.7531136399739</v>
      </c>
      <c r="G46" s="116">
        <v>5957.7531136399684</v>
      </c>
      <c r="H46" s="116">
        <v>1925.1559622130171</v>
      </c>
      <c r="I46" s="116"/>
      <c r="J46" s="116"/>
      <c r="K46" s="116"/>
      <c r="L46" s="116"/>
      <c r="M46" s="116"/>
      <c r="N46" s="116"/>
      <c r="O46" s="116"/>
      <c r="P46" s="116">
        <v>3661.7110302180299</v>
      </c>
      <c r="Q46" s="116">
        <v>5957.7531136399593</v>
      </c>
      <c r="R46" s="116">
        <v>5957.7531136399593</v>
      </c>
      <c r="S46" s="116">
        <v>5957.7531136399593</v>
      </c>
      <c r="T46" s="116">
        <v>1925.1559622130153</v>
      </c>
      <c r="U46" s="116"/>
      <c r="V46" s="116"/>
      <c r="W46" s="116"/>
      <c r="X46" s="116"/>
      <c r="Y46" s="116"/>
      <c r="Z46" s="116"/>
      <c r="AA46" s="116"/>
      <c r="AB46" s="116">
        <v>3661.7110302180336</v>
      </c>
      <c r="AC46" s="116">
        <v>5957.7531136399721</v>
      </c>
      <c r="AD46" s="116">
        <v>5957.7531136399521</v>
      </c>
      <c r="AE46" s="116">
        <v>5957.7531136399593</v>
      </c>
      <c r="AF46" s="116">
        <v>1925.1559622130153</v>
      </c>
      <c r="AG46" s="116"/>
      <c r="AH46" s="116"/>
      <c r="AI46" s="116"/>
      <c r="AJ46" s="116"/>
      <c r="AK46" s="116"/>
      <c r="AL46" s="116"/>
      <c r="AM46" s="116"/>
      <c r="AN46" s="116">
        <v>3661.7110302180463</v>
      </c>
      <c r="AO46" s="116">
        <v>5957.7531136399612</v>
      </c>
      <c r="AP46" s="116">
        <v>5957.7531136399612</v>
      </c>
      <c r="AQ46" s="116">
        <v>5957.7531136399612</v>
      </c>
      <c r="AR46" s="116">
        <v>1925.1559622130208</v>
      </c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293</v>
      </c>
      <c r="D47" s="116">
        <v>10071.56170367374</v>
      </c>
      <c r="E47" s="116">
        <v>7969.5196202518218</v>
      </c>
      <c r="F47" s="116">
        <v>8004.5196202518164</v>
      </c>
      <c r="G47" s="116">
        <v>8075.5196202518146</v>
      </c>
      <c r="H47" s="116">
        <v>7973.5196202518182</v>
      </c>
      <c r="I47" s="116">
        <v>8668.6755824648244</v>
      </c>
      <c r="J47" s="116">
        <v>8985.6755824648353</v>
      </c>
      <c r="K47" s="116">
        <v>8640.6755824648244</v>
      </c>
      <c r="L47" s="116">
        <v>8479.6755824648244</v>
      </c>
      <c r="M47" s="116">
        <v>10067.675582464828</v>
      </c>
      <c r="N47" s="116">
        <v>10044.675582464824</v>
      </c>
      <c r="O47" s="116">
        <v>10004.675582464824</v>
      </c>
      <c r="P47" s="116">
        <v>10386.561703673746</v>
      </c>
      <c r="Q47" s="116">
        <v>7055.51962025182</v>
      </c>
      <c r="R47" s="116">
        <v>7046.51962025182</v>
      </c>
      <c r="S47" s="116">
        <v>7296.51962025182</v>
      </c>
      <c r="T47" s="116">
        <v>7186.51962025182</v>
      </c>
      <c r="U47" s="116">
        <v>9194.6755824648244</v>
      </c>
      <c r="V47" s="116">
        <v>9116.675582464828</v>
      </c>
      <c r="W47" s="116">
        <v>9249.675582464828</v>
      </c>
      <c r="X47" s="116">
        <v>9061.6755824648353</v>
      </c>
      <c r="Y47" s="116">
        <v>9205.6755824648244</v>
      </c>
      <c r="Z47" s="116">
        <v>9181.6755824648244</v>
      </c>
      <c r="AA47" s="116">
        <v>9418.6755824648353</v>
      </c>
      <c r="AB47" s="116">
        <v>9890.5617036737385</v>
      </c>
      <c r="AC47" s="116">
        <v>8049.5196202518182</v>
      </c>
      <c r="AD47" s="116">
        <v>8071.5196202518127</v>
      </c>
      <c r="AE47" s="116">
        <v>8068.5196202518237</v>
      </c>
      <c r="AF47" s="116">
        <v>8101.51962025182</v>
      </c>
      <c r="AG47" s="116">
        <v>9164.675582464828</v>
      </c>
      <c r="AH47" s="116">
        <v>9417.6755824648353</v>
      </c>
      <c r="AI47" s="116">
        <v>9370.6755824648135</v>
      </c>
      <c r="AJ47" s="116">
        <v>9190.6755824648353</v>
      </c>
      <c r="AK47" s="116">
        <v>9156.6755824648244</v>
      </c>
      <c r="AL47" s="116">
        <v>9152.6755824648244</v>
      </c>
      <c r="AM47" s="116">
        <v>9309.675582464828</v>
      </c>
      <c r="AN47" s="116">
        <v>9590.561703673744</v>
      </c>
      <c r="AO47" s="116">
        <v>6799.5196202518109</v>
      </c>
      <c r="AP47" s="116">
        <v>6405.5196202518182</v>
      </c>
      <c r="AQ47" s="116">
        <v>6587.5196202518182</v>
      </c>
      <c r="AR47" s="116">
        <v>6516.5196202518182</v>
      </c>
      <c r="AS47" s="116">
        <v>8775.6755824648171</v>
      </c>
      <c r="AT47" s="116">
        <v>8870.6755824648353</v>
      </c>
      <c r="AU47" s="116">
        <v>8698.6755824648135</v>
      </c>
      <c r="AV47" s="116">
        <v>9029.6755824648317</v>
      </c>
      <c r="AW47" s="116">
        <v>9701.6755824648426</v>
      </c>
      <c r="AX47" s="116">
        <v>9713.6755824648317</v>
      </c>
      <c r="AY47" s="116">
        <v>9671.675582464828</v>
      </c>
    </row>
    <row r="48" spans="1:51" x14ac:dyDescent="0.2">
      <c r="A48" s="115"/>
      <c r="B48" s="125">
        <v>4</v>
      </c>
      <c r="C48" s="115" t="s">
        <v>293</v>
      </c>
      <c r="D48" s="116">
        <v>0</v>
      </c>
      <c r="E48" s="116">
        <v>0</v>
      </c>
      <c r="F48" s="116">
        <v>0</v>
      </c>
      <c r="G48" s="116">
        <v>0</v>
      </c>
      <c r="H48" s="116">
        <v>0</v>
      </c>
      <c r="I48" s="116">
        <v>0</v>
      </c>
      <c r="J48" s="116">
        <v>0</v>
      </c>
      <c r="K48" s="116">
        <v>0</v>
      </c>
      <c r="L48" s="116">
        <v>0</v>
      </c>
      <c r="M48" s="116">
        <v>0</v>
      </c>
      <c r="N48" s="116">
        <v>0</v>
      </c>
      <c r="O48" s="116">
        <v>0</v>
      </c>
      <c r="P48" s="116">
        <v>0</v>
      </c>
      <c r="Q48" s="116">
        <v>0</v>
      </c>
      <c r="R48" s="116">
        <v>0</v>
      </c>
      <c r="S48" s="116">
        <v>0</v>
      </c>
      <c r="T48" s="116">
        <v>0</v>
      </c>
      <c r="U48" s="116">
        <v>0</v>
      </c>
      <c r="V48" s="116">
        <v>0</v>
      </c>
      <c r="W48" s="116">
        <v>0</v>
      </c>
      <c r="X48" s="116">
        <v>0</v>
      </c>
      <c r="Y48" s="116">
        <v>0</v>
      </c>
      <c r="Z48" s="116">
        <v>0</v>
      </c>
      <c r="AA48" s="116">
        <v>0</v>
      </c>
      <c r="AB48" s="116">
        <v>0</v>
      </c>
      <c r="AC48" s="116">
        <v>0</v>
      </c>
      <c r="AD48" s="116">
        <v>0</v>
      </c>
      <c r="AE48" s="116">
        <v>0</v>
      </c>
      <c r="AF48" s="116">
        <v>0</v>
      </c>
      <c r="AG48" s="116">
        <v>0</v>
      </c>
      <c r="AH48" s="116">
        <v>0</v>
      </c>
      <c r="AI48" s="116">
        <v>0</v>
      </c>
      <c r="AJ48" s="116">
        <v>0</v>
      </c>
      <c r="AK48" s="116">
        <v>0</v>
      </c>
      <c r="AL48" s="116">
        <v>0</v>
      </c>
      <c r="AM48" s="116">
        <v>0</v>
      </c>
      <c r="AN48" s="116">
        <v>0</v>
      </c>
      <c r="AO48" s="116">
        <v>0</v>
      </c>
      <c r="AP48" s="116">
        <v>0</v>
      </c>
      <c r="AQ48" s="116">
        <v>0</v>
      </c>
      <c r="AR48" s="116">
        <v>0</v>
      </c>
      <c r="AS48" s="116">
        <v>0</v>
      </c>
      <c r="AT48" s="116">
        <v>0</v>
      </c>
      <c r="AU48" s="116">
        <v>0</v>
      </c>
      <c r="AV48" s="116">
        <v>0</v>
      </c>
      <c r="AW48" s="116">
        <v>0</v>
      </c>
      <c r="AX48" s="116">
        <v>0</v>
      </c>
      <c r="AY48" s="116">
        <v>0</v>
      </c>
    </row>
    <row r="49" spans="1:51" x14ac:dyDescent="0.2">
      <c r="A49" s="115"/>
      <c r="B49" s="125">
        <v>5</v>
      </c>
      <c r="C49" s="115" t="s">
        <v>293</v>
      </c>
      <c r="D49" s="116">
        <v>0</v>
      </c>
      <c r="E49" s="116">
        <v>0</v>
      </c>
      <c r="F49" s="116">
        <v>0</v>
      </c>
      <c r="G49" s="116">
        <v>0</v>
      </c>
      <c r="H49" s="116">
        <v>0</v>
      </c>
      <c r="I49" s="116">
        <v>0</v>
      </c>
      <c r="J49" s="116">
        <v>0</v>
      </c>
      <c r="K49" s="116">
        <v>0</v>
      </c>
      <c r="L49" s="116">
        <v>0</v>
      </c>
      <c r="M49" s="116">
        <v>0</v>
      </c>
      <c r="N49" s="116">
        <v>0</v>
      </c>
      <c r="O49" s="116">
        <v>0</v>
      </c>
      <c r="P49" s="116">
        <v>0</v>
      </c>
      <c r="Q49" s="116">
        <v>0</v>
      </c>
      <c r="R49" s="116">
        <v>0</v>
      </c>
      <c r="S49" s="116">
        <v>0</v>
      </c>
      <c r="T49" s="116">
        <v>0</v>
      </c>
      <c r="U49" s="116">
        <v>0</v>
      </c>
      <c r="V49" s="116">
        <v>0</v>
      </c>
      <c r="W49" s="116">
        <v>0</v>
      </c>
      <c r="X49" s="116">
        <v>0</v>
      </c>
      <c r="Y49" s="116">
        <v>0</v>
      </c>
      <c r="Z49" s="116">
        <v>0</v>
      </c>
      <c r="AA49" s="116">
        <v>0</v>
      </c>
      <c r="AB49" s="116">
        <v>0</v>
      </c>
      <c r="AC49" s="116">
        <v>0</v>
      </c>
      <c r="AD49" s="116">
        <v>0</v>
      </c>
      <c r="AE49" s="116">
        <v>0</v>
      </c>
      <c r="AF49" s="116">
        <v>0</v>
      </c>
      <c r="AG49" s="116">
        <v>0</v>
      </c>
      <c r="AH49" s="116">
        <v>0</v>
      </c>
      <c r="AI49" s="116">
        <v>0</v>
      </c>
      <c r="AJ49" s="116">
        <v>0</v>
      </c>
      <c r="AK49" s="116">
        <v>0</v>
      </c>
      <c r="AL49" s="116">
        <v>0</v>
      </c>
      <c r="AM49" s="116">
        <v>0</v>
      </c>
      <c r="AN49" s="116">
        <v>0</v>
      </c>
      <c r="AO49" s="116">
        <v>0</v>
      </c>
      <c r="AP49" s="116">
        <v>0</v>
      </c>
      <c r="AQ49" s="116">
        <v>0</v>
      </c>
      <c r="AR49" s="116">
        <v>0</v>
      </c>
      <c r="AS49" s="116">
        <v>0</v>
      </c>
      <c r="AT49" s="116">
        <v>0</v>
      </c>
      <c r="AU49" s="116">
        <v>0</v>
      </c>
      <c r="AV49" s="116">
        <v>0</v>
      </c>
      <c r="AW49" s="116">
        <v>0</v>
      </c>
      <c r="AX49" s="116">
        <v>0</v>
      </c>
      <c r="AY49" s="116">
        <v>0</v>
      </c>
    </row>
    <row r="50" spans="1:51" x14ac:dyDescent="0.2">
      <c r="A50" s="115"/>
      <c r="B50" s="125">
        <v>6</v>
      </c>
      <c r="C50" s="115" t="s">
        <v>293</v>
      </c>
      <c r="D50" s="116">
        <v>0</v>
      </c>
      <c r="E50" s="116">
        <v>0</v>
      </c>
      <c r="F50" s="116">
        <v>0</v>
      </c>
      <c r="G50" s="116">
        <v>0</v>
      </c>
      <c r="H50" s="116">
        <v>0</v>
      </c>
      <c r="I50" s="116">
        <v>0</v>
      </c>
      <c r="J50" s="116">
        <v>0</v>
      </c>
      <c r="K50" s="116">
        <v>0</v>
      </c>
      <c r="L50" s="116">
        <v>0</v>
      </c>
      <c r="M50" s="116">
        <v>0</v>
      </c>
      <c r="N50" s="116">
        <v>0</v>
      </c>
      <c r="O50" s="116">
        <v>0</v>
      </c>
      <c r="P50" s="116">
        <v>0</v>
      </c>
      <c r="Q50" s="116">
        <v>0</v>
      </c>
      <c r="R50" s="116">
        <v>0</v>
      </c>
      <c r="S50" s="116">
        <v>0</v>
      </c>
      <c r="T50" s="116">
        <v>0</v>
      </c>
      <c r="U50" s="116">
        <v>0</v>
      </c>
      <c r="V50" s="116">
        <v>0</v>
      </c>
      <c r="W50" s="116">
        <v>0</v>
      </c>
      <c r="X50" s="116">
        <v>0</v>
      </c>
      <c r="Y50" s="116">
        <v>0</v>
      </c>
      <c r="Z50" s="116">
        <v>0</v>
      </c>
      <c r="AA50" s="116">
        <v>0</v>
      </c>
      <c r="AB50" s="116">
        <v>0</v>
      </c>
      <c r="AC50" s="116">
        <v>0</v>
      </c>
      <c r="AD50" s="116">
        <v>0</v>
      </c>
      <c r="AE50" s="116">
        <v>0</v>
      </c>
      <c r="AF50" s="116">
        <v>0</v>
      </c>
      <c r="AG50" s="116">
        <v>0</v>
      </c>
      <c r="AH50" s="116">
        <v>0</v>
      </c>
      <c r="AI50" s="116">
        <v>0</v>
      </c>
      <c r="AJ50" s="116">
        <v>0</v>
      </c>
      <c r="AK50" s="116">
        <v>0</v>
      </c>
      <c r="AL50" s="116">
        <v>0</v>
      </c>
      <c r="AM50" s="116">
        <v>0</v>
      </c>
      <c r="AN50" s="116">
        <v>0</v>
      </c>
      <c r="AO50" s="116">
        <v>0</v>
      </c>
      <c r="AP50" s="116">
        <v>0</v>
      </c>
      <c r="AQ50" s="116">
        <v>0</v>
      </c>
      <c r="AR50" s="116">
        <v>0</v>
      </c>
      <c r="AS50" s="116">
        <v>0</v>
      </c>
      <c r="AT50" s="116">
        <v>0</v>
      </c>
      <c r="AU50" s="116">
        <v>0</v>
      </c>
      <c r="AV50" s="116">
        <v>0</v>
      </c>
      <c r="AW50" s="116">
        <v>0</v>
      </c>
      <c r="AX50" s="116">
        <v>0</v>
      </c>
      <c r="AY50" s="116">
        <v>0</v>
      </c>
    </row>
    <row r="51" spans="1:51" x14ac:dyDescent="0.2">
      <c r="A51" s="115"/>
      <c r="B51" s="125">
        <v>7</v>
      </c>
      <c r="C51" s="115" t="s">
        <v>293</v>
      </c>
      <c r="D51" s="116">
        <v>0</v>
      </c>
      <c r="E51" s="116">
        <v>0</v>
      </c>
      <c r="F51" s="116">
        <v>0</v>
      </c>
      <c r="G51" s="116">
        <v>0</v>
      </c>
      <c r="H51" s="116">
        <v>0</v>
      </c>
      <c r="I51" s="116">
        <v>0</v>
      </c>
      <c r="J51" s="116">
        <v>0</v>
      </c>
      <c r="K51" s="116">
        <v>0</v>
      </c>
      <c r="L51" s="116">
        <v>0</v>
      </c>
      <c r="M51" s="116">
        <v>0</v>
      </c>
      <c r="N51" s="116">
        <v>0</v>
      </c>
      <c r="O51" s="116">
        <v>0</v>
      </c>
      <c r="P51" s="116">
        <v>0</v>
      </c>
      <c r="Q51" s="116">
        <v>0</v>
      </c>
      <c r="R51" s="116">
        <v>0</v>
      </c>
      <c r="S51" s="116">
        <v>0</v>
      </c>
      <c r="T51" s="116">
        <v>0</v>
      </c>
      <c r="U51" s="116">
        <v>0</v>
      </c>
      <c r="V51" s="116">
        <v>0</v>
      </c>
      <c r="W51" s="116">
        <v>0</v>
      </c>
      <c r="X51" s="116">
        <v>0</v>
      </c>
      <c r="Y51" s="116">
        <v>0</v>
      </c>
      <c r="Z51" s="116">
        <v>0</v>
      </c>
      <c r="AA51" s="116">
        <v>0</v>
      </c>
      <c r="AB51" s="116">
        <v>0</v>
      </c>
      <c r="AC51" s="116">
        <v>0</v>
      </c>
      <c r="AD51" s="116">
        <v>0</v>
      </c>
      <c r="AE51" s="116">
        <v>0</v>
      </c>
      <c r="AF51" s="116">
        <v>0</v>
      </c>
      <c r="AG51" s="116">
        <v>0</v>
      </c>
      <c r="AH51" s="116">
        <v>0</v>
      </c>
      <c r="AI51" s="116">
        <v>0</v>
      </c>
      <c r="AJ51" s="116">
        <v>0</v>
      </c>
      <c r="AK51" s="116">
        <v>0</v>
      </c>
      <c r="AL51" s="116">
        <v>0</v>
      </c>
      <c r="AM51" s="116">
        <v>0</v>
      </c>
      <c r="AN51" s="116">
        <v>0</v>
      </c>
      <c r="AO51" s="116">
        <v>0</v>
      </c>
      <c r="AP51" s="116">
        <v>0</v>
      </c>
      <c r="AQ51" s="116">
        <v>0</v>
      </c>
      <c r="AR51" s="116">
        <v>0</v>
      </c>
      <c r="AS51" s="116">
        <v>0</v>
      </c>
      <c r="AT51" s="116">
        <v>0</v>
      </c>
      <c r="AU51" s="116">
        <v>0</v>
      </c>
      <c r="AV51" s="116">
        <v>0</v>
      </c>
      <c r="AW51" s="116">
        <v>0</v>
      </c>
      <c r="AX51" s="116">
        <v>0</v>
      </c>
      <c r="AY51" s="116">
        <v>0</v>
      </c>
    </row>
    <row r="52" spans="1:51" x14ac:dyDescent="0.2">
      <c r="A52" s="115"/>
      <c r="B52" s="125">
        <v>8</v>
      </c>
      <c r="C52" s="115" t="s">
        <v>293</v>
      </c>
      <c r="D52" s="116">
        <v>0</v>
      </c>
      <c r="E52" s="116">
        <v>0</v>
      </c>
      <c r="F52" s="116">
        <v>0</v>
      </c>
      <c r="G52" s="116">
        <v>0</v>
      </c>
      <c r="H52" s="116">
        <v>0</v>
      </c>
      <c r="I52" s="116">
        <v>0</v>
      </c>
      <c r="J52" s="116">
        <v>0</v>
      </c>
      <c r="K52" s="116">
        <v>0</v>
      </c>
      <c r="L52" s="116">
        <v>0</v>
      </c>
      <c r="M52" s="116">
        <v>0</v>
      </c>
      <c r="N52" s="116">
        <v>0</v>
      </c>
      <c r="O52" s="116">
        <v>0</v>
      </c>
      <c r="P52" s="116">
        <v>0</v>
      </c>
      <c r="Q52" s="116">
        <v>0</v>
      </c>
      <c r="R52" s="116">
        <v>0</v>
      </c>
      <c r="S52" s="116">
        <v>0</v>
      </c>
      <c r="T52" s="116">
        <v>0</v>
      </c>
      <c r="U52" s="116">
        <v>0</v>
      </c>
      <c r="V52" s="116">
        <v>0</v>
      </c>
      <c r="W52" s="116">
        <v>0</v>
      </c>
      <c r="X52" s="116">
        <v>0</v>
      </c>
      <c r="Y52" s="116">
        <v>0</v>
      </c>
      <c r="Z52" s="116">
        <v>0</v>
      </c>
      <c r="AA52" s="116">
        <v>0</v>
      </c>
      <c r="AB52" s="116">
        <v>0</v>
      </c>
      <c r="AC52" s="116">
        <v>0</v>
      </c>
      <c r="AD52" s="116">
        <v>0</v>
      </c>
      <c r="AE52" s="116">
        <v>0</v>
      </c>
      <c r="AF52" s="116">
        <v>0</v>
      </c>
      <c r="AG52" s="116">
        <v>0</v>
      </c>
      <c r="AH52" s="116">
        <v>0</v>
      </c>
      <c r="AI52" s="116">
        <v>0</v>
      </c>
      <c r="AJ52" s="116">
        <v>0</v>
      </c>
      <c r="AK52" s="116">
        <v>0</v>
      </c>
      <c r="AL52" s="116">
        <v>0</v>
      </c>
      <c r="AM52" s="116">
        <v>0</v>
      </c>
      <c r="AN52" s="116">
        <v>0</v>
      </c>
      <c r="AO52" s="116">
        <v>0</v>
      </c>
      <c r="AP52" s="116">
        <v>0</v>
      </c>
      <c r="AQ52" s="116">
        <v>0</v>
      </c>
      <c r="AR52" s="116">
        <v>0</v>
      </c>
      <c r="AS52" s="116">
        <v>0</v>
      </c>
      <c r="AT52" s="116">
        <v>0</v>
      </c>
      <c r="AU52" s="116">
        <v>0</v>
      </c>
      <c r="AV52" s="116">
        <v>0</v>
      </c>
      <c r="AW52" s="116">
        <v>0</v>
      </c>
      <c r="AX52" s="116">
        <v>0</v>
      </c>
      <c r="AY52" s="116">
        <v>0</v>
      </c>
    </row>
    <row r="53" spans="1:51" x14ac:dyDescent="0.2">
      <c r="A53" s="115"/>
      <c r="B53" s="125">
        <v>9</v>
      </c>
      <c r="C53" s="115" t="s">
        <v>293</v>
      </c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</row>
    <row r="54" spans="1:51" x14ac:dyDescent="0.2">
      <c r="A54" s="115"/>
      <c r="B54" s="125">
        <v>10</v>
      </c>
      <c r="C54" s="115" t="s">
        <v>293</v>
      </c>
      <c r="D54" s="116">
        <v>0</v>
      </c>
      <c r="E54" s="116">
        <v>0</v>
      </c>
      <c r="F54" s="116">
        <v>0</v>
      </c>
      <c r="G54" s="116">
        <v>0</v>
      </c>
      <c r="H54" s="116">
        <v>0</v>
      </c>
      <c r="I54" s="116">
        <v>0</v>
      </c>
      <c r="J54" s="116">
        <v>0</v>
      </c>
      <c r="K54" s="116">
        <v>0</v>
      </c>
      <c r="L54" s="116">
        <v>0</v>
      </c>
      <c r="M54" s="116">
        <v>0</v>
      </c>
      <c r="N54" s="116">
        <v>0</v>
      </c>
      <c r="O54" s="116">
        <v>0</v>
      </c>
      <c r="P54" s="116">
        <v>0</v>
      </c>
      <c r="Q54" s="116">
        <v>0</v>
      </c>
      <c r="R54" s="116">
        <v>0</v>
      </c>
      <c r="S54" s="116">
        <v>0</v>
      </c>
      <c r="T54" s="116">
        <v>0</v>
      </c>
      <c r="U54" s="116">
        <v>0</v>
      </c>
      <c r="V54" s="116">
        <v>0</v>
      </c>
      <c r="W54" s="116">
        <v>0</v>
      </c>
      <c r="X54" s="116">
        <v>0</v>
      </c>
      <c r="Y54" s="116">
        <v>0</v>
      </c>
      <c r="Z54" s="116">
        <v>0</v>
      </c>
      <c r="AA54" s="116">
        <v>0</v>
      </c>
      <c r="AB54" s="116">
        <v>0</v>
      </c>
      <c r="AC54" s="116">
        <v>0</v>
      </c>
      <c r="AD54" s="116">
        <v>0</v>
      </c>
      <c r="AE54" s="116">
        <v>0</v>
      </c>
      <c r="AF54" s="116">
        <v>0</v>
      </c>
      <c r="AG54" s="116">
        <v>0</v>
      </c>
      <c r="AH54" s="116">
        <v>0</v>
      </c>
      <c r="AI54" s="116">
        <v>0</v>
      </c>
      <c r="AJ54" s="116">
        <v>0</v>
      </c>
      <c r="AK54" s="116">
        <v>0</v>
      </c>
      <c r="AL54" s="116">
        <v>0</v>
      </c>
      <c r="AM54" s="116">
        <v>0</v>
      </c>
      <c r="AN54" s="116">
        <v>0</v>
      </c>
      <c r="AO54" s="116">
        <v>0</v>
      </c>
      <c r="AP54" s="116">
        <v>0</v>
      </c>
      <c r="AQ54" s="116">
        <v>0</v>
      </c>
      <c r="AR54" s="116">
        <v>0</v>
      </c>
      <c r="AS54" s="116">
        <v>0</v>
      </c>
      <c r="AT54" s="116">
        <v>0</v>
      </c>
      <c r="AU54" s="116">
        <v>0</v>
      </c>
      <c r="AV54" s="116">
        <v>0</v>
      </c>
      <c r="AW54" s="116">
        <v>0</v>
      </c>
      <c r="AX54" s="116">
        <v>0</v>
      </c>
      <c r="AY54" s="116">
        <v>0</v>
      </c>
    </row>
    <row r="55" spans="1:51" x14ac:dyDescent="0.2">
      <c r="A55" s="115"/>
      <c r="B55" s="125">
        <v>11</v>
      </c>
      <c r="C55" s="115" t="s">
        <v>293</v>
      </c>
      <c r="D55" s="116">
        <v>0</v>
      </c>
      <c r="E55" s="116">
        <v>0</v>
      </c>
      <c r="F55" s="116">
        <v>0</v>
      </c>
      <c r="G55" s="116">
        <v>0</v>
      </c>
      <c r="H55" s="116">
        <v>0</v>
      </c>
      <c r="I55" s="116">
        <v>0</v>
      </c>
      <c r="J55" s="116">
        <v>0</v>
      </c>
      <c r="K55" s="116">
        <v>0</v>
      </c>
      <c r="L55" s="116">
        <v>0</v>
      </c>
      <c r="M55" s="116">
        <v>0</v>
      </c>
      <c r="N55" s="116">
        <v>0</v>
      </c>
      <c r="O55" s="116">
        <v>0</v>
      </c>
      <c r="P55" s="116">
        <v>0</v>
      </c>
      <c r="Q55" s="116">
        <v>0</v>
      </c>
      <c r="R55" s="116">
        <v>0</v>
      </c>
      <c r="S55" s="116">
        <v>0</v>
      </c>
      <c r="T55" s="116">
        <v>0</v>
      </c>
      <c r="U55" s="116">
        <v>0</v>
      </c>
      <c r="V55" s="116">
        <v>0</v>
      </c>
      <c r="W55" s="116">
        <v>0</v>
      </c>
      <c r="X55" s="116">
        <v>0</v>
      </c>
      <c r="Y55" s="116">
        <v>0</v>
      </c>
      <c r="Z55" s="116">
        <v>0</v>
      </c>
      <c r="AA55" s="116">
        <v>0</v>
      </c>
      <c r="AB55" s="116">
        <v>0</v>
      </c>
      <c r="AC55" s="116">
        <v>0</v>
      </c>
      <c r="AD55" s="116">
        <v>0</v>
      </c>
      <c r="AE55" s="116">
        <v>0</v>
      </c>
      <c r="AF55" s="116">
        <v>0</v>
      </c>
      <c r="AG55" s="116">
        <v>0</v>
      </c>
      <c r="AH55" s="116">
        <v>0</v>
      </c>
      <c r="AI55" s="116">
        <v>0</v>
      </c>
      <c r="AJ55" s="116">
        <v>0</v>
      </c>
      <c r="AK55" s="116">
        <v>0</v>
      </c>
      <c r="AL55" s="116">
        <v>0</v>
      </c>
      <c r="AM55" s="116">
        <v>0</v>
      </c>
      <c r="AN55" s="116">
        <v>0</v>
      </c>
      <c r="AO55" s="116">
        <v>0</v>
      </c>
      <c r="AP55" s="116">
        <v>0</v>
      </c>
      <c r="AQ55" s="116">
        <v>0</v>
      </c>
      <c r="AR55" s="116">
        <v>0</v>
      </c>
      <c r="AS55" s="116">
        <v>0</v>
      </c>
      <c r="AT55" s="116">
        <v>0</v>
      </c>
      <c r="AU55" s="116">
        <v>0</v>
      </c>
      <c r="AV55" s="116">
        <v>0</v>
      </c>
      <c r="AW55" s="116">
        <v>0</v>
      </c>
      <c r="AX55" s="116">
        <v>0</v>
      </c>
      <c r="AY55" s="116">
        <v>0</v>
      </c>
    </row>
    <row r="56" spans="1:51" x14ac:dyDescent="0.2">
      <c r="A56" s="115"/>
      <c r="B56" s="125">
        <v>12</v>
      </c>
      <c r="C56" s="115" t="s">
        <v>293</v>
      </c>
      <c r="D56" s="116">
        <v>0</v>
      </c>
      <c r="E56" s="116">
        <v>0</v>
      </c>
      <c r="F56" s="116">
        <v>0</v>
      </c>
      <c r="G56" s="116">
        <v>0</v>
      </c>
      <c r="H56" s="116">
        <v>0</v>
      </c>
      <c r="I56" s="116">
        <v>0</v>
      </c>
      <c r="J56" s="116">
        <v>0</v>
      </c>
      <c r="K56" s="116">
        <v>0</v>
      </c>
      <c r="L56" s="116">
        <v>0</v>
      </c>
      <c r="M56" s="116">
        <v>0</v>
      </c>
      <c r="N56" s="116">
        <v>0</v>
      </c>
      <c r="O56" s="116">
        <v>0</v>
      </c>
      <c r="P56" s="116">
        <v>0</v>
      </c>
      <c r="Q56" s="116">
        <v>0</v>
      </c>
      <c r="R56" s="116">
        <v>0</v>
      </c>
      <c r="S56" s="116">
        <v>0</v>
      </c>
      <c r="T56" s="116">
        <v>0</v>
      </c>
      <c r="U56" s="116">
        <v>0</v>
      </c>
      <c r="V56" s="116">
        <v>0</v>
      </c>
      <c r="W56" s="116">
        <v>0</v>
      </c>
      <c r="X56" s="116">
        <v>0</v>
      </c>
      <c r="Y56" s="116">
        <v>0</v>
      </c>
      <c r="Z56" s="116">
        <v>0</v>
      </c>
      <c r="AA56" s="116">
        <v>0</v>
      </c>
      <c r="AB56" s="116">
        <v>0</v>
      </c>
      <c r="AC56" s="116">
        <v>0</v>
      </c>
      <c r="AD56" s="116">
        <v>0</v>
      </c>
      <c r="AE56" s="116">
        <v>0</v>
      </c>
      <c r="AF56" s="116">
        <v>0</v>
      </c>
      <c r="AG56" s="116">
        <v>0</v>
      </c>
      <c r="AH56" s="116">
        <v>0</v>
      </c>
      <c r="AI56" s="116">
        <v>0</v>
      </c>
      <c r="AJ56" s="116">
        <v>0</v>
      </c>
      <c r="AK56" s="116">
        <v>0</v>
      </c>
      <c r="AL56" s="116">
        <v>0</v>
      </c>
      <c r="AM56" s="116">
        <v>0</v>
      </c>
      <c r="AN56" s="116">
        <v>0</v>
      </c>
      <c r="AO56" s="116">
        <v>0</v>
      </c>
      <c r="AP56" s="116">
        <v>0</v>
      </c>
      <c r="AQ56" s="116">
        <v>0</v>
      </c>
      <c r="AR56" s="116">
        <v>0</v>
      </c>
      <c r="AS56" s="116">
        <v>0</v>
      </c>
      <c r="AT56" s="116">
        <v>0</v>
      </c>
      <c r="AU56" s="116">
        <v>0</v>
      </c>
      <c r="AV56" s="116">
        <v>0</v>
      </c>
      <c r="AW56" s="116">
        <v>0</v>
      </c>
      <c r="AX56" s="116">
        <v>0</v>
      </c>
      <c r="AY56" s="116">
        <v>0</v>
      </c>
    </row>
    <row r="57" spans="1:51" x14ac:dyDescent="0.2">
      <c r="A57" s="115"/>
      <c r="B57" s="126">
        <v>13</v>
      </c>
      <c r="C57" s="115" t="s">
        <v>293</v>
      </c>
      <c r="D57" s="116">
        <v>0</v>
      </c>
      <c r="E57" s="116">
        <v>0</v>
      </c>
      <c r="F57" s="116">
        <v>0</v>
      </c>
      <c r="G57" s="116">
        <v>0</v>
      </c>
      <c r="H57" s="116">
        <v>0</v>
      </c>
      <c r="I57" s="116">
        <v>0</v>
      </c>
      <c r="J57" s="116">
        <v>0</v>
      </c>
      <c r="K57" s="116">
        <v>0</v>
      </c>
      <c r="L57" s="116">
        <v>0</v>
      </c>
      <c r="M57" s="116">
        <v>0</v>
      </c>
      <c r="N57" s="116">
        <v>0</v>
      </c>
      <c r="O57" s="116">
        <v>0</v>
      </c>
      <c r="P57" s="116">
        <v>0</v>
      </c>
      <c r="Q57" s="116">
        <v>0</v>
      </c>
      <c r="R57" s="116">
        <v>0</v>
      </c>
      <c r="S57" s="116">
        <v>0</v>
      </c>
      <c r="T57" s="116">
        <v>0</v>
      </c>
      <c r="U57" s="116">
        <v>0</v>
      </c>
      <c r="V57" s="116">
        <v>0</v>
      </c>
      <c r="W57" s="116">
        <v>0</v>
      </c>
      <c r="X57" s="116">
        <v>0</v>
      </c>
      <c r="Y57" s="116">
        <v>0</v>
      </c>
      <c r="Z57" s="116">
        <v>0</v>
      </c>
      <c r="AA57" s="116">
        <v>0</v>
      </c>
      <c r="AB57" s="116">
        <v>0</v>
      </c>
      <c r="AC57" s="116">
        <v>0</v>
      </c>
      <c r="AD57" s="116">
        <v>0</v>
      </c>
      <c r="AE57" s="116">
        <v>0</v>
      </c>
      <c r="AF57" s="116">
        <v>0</v>
      </c>
      <c r="AG57" s="116">
        <v>0</v>
      </c>
      <c r="AH57" s="116">
        <v>0</v>
      </c>
      <c r="AI57" s="116">
        <v>0</v>
      </c>
      <c r="AJ57" s="116">
        <v>0</v>
      </c>
      <c r="AK57" s="116">
        <v>0</v>
      </c>
      <c r="AL57" s="116">
        <v>0</v>
      </c>
      <c r="AM57" s="116">
        <v>0</v>
      </c>
      <c r="AN57" s="116">
        <v>0</v>
      </c>
      <c r="AO57" s="116">
        <v>0</v>
      </c>
      <c r="AP57" s="116">
        <v>0</v>
      </c>
      <c r="AQ57" s="116">
        <v>0</v>
      </c>
      <c r="AR57" s="116">
        <v>0</v>
      </c>
      <c r="AS57" s="116">
        <v>0</v>
      </c>
      <c r="AT57" s="116">
        <v>0</v>
      </c>
      <c r="AU57" s="116">
        <v>0</v>
      </c>
      <c r="AV57" s="116">
        <v>0</v>
      </c>
      <c r="AW57" s="116">
        <v>0</v>
      </c>
      <c r="AX57" s="116">
        <v>0</v>
      </c>
      <c r="AY57" s="116">
        <v>0</v>
      </c>
    </row>
    <row r="58" spans="1:51" x14ac:dyDescent="0.2">
      <c r="A58" s="115"/>
      <c r="B58" s="126">
        <v>14</v>
      </c>
      <c r="C58" s="115" t="s">
        <v>293</v>
      </c>
      <c r="D58" s="116">
        <v>0</v>
      </c>
      <c r="E58" s="116">
        <v>0</v>
      </c>
      <c r="F58" s="116">
        <v>0</v>
      </c>
      <c r="G58" s="116">
        <v>0</v>
      </c>
      <c r="H58" s="116">
        <v>0</v>
      </c>
      <c r="I58" s="116">
        <v>0</v>
      </c>
      <c r="J58" s="116">
        <v>0</v>
      </c>
      <c r="K58" s="116">
        <v>0</v>
      </c>
      <c r="L58" s="116">
        <v>0</v>
      </c>
      <c r="M58" s="116">
        <v>0</v>
      </c>
      <c r="N58" s="116">
        <v>0</v>
      </c>
      <c r="O58" s="116">
        <v>0</v>
      </c>
      <c r="P58" s="116">
        <v>0</v>
      </c>
      <c r="Q58" s="116">
        <v>0</v>
      </c>
      <c r="R58" s="116">
        <v>0</v>
      </c>
      <c r="S58" s="116">
        <v>0</v>
      </c>
      <c r="T58" s="116">
        <v>0</v>
      </c>
      <c r="U58" s="116">
        <v>0</v>
      </c>
      <c r="V58" s="116">
        <v>0</v>
      </c>
      <c r="W58" s="116">
        <v>0</v>
      </c>
      <c r="X58" s="116">
        <v>0</v>
      </c>
      <c r="Y58" s="116">
        <v>0</v>
      </c>
      <c r="Z58" s="116">
        <v>0</v>
      </c>
      <c r="AA58" s="116">
        <v>0</v>
      </c>
      <c r="AB58" s="116">
        <v>0</v>
      </c>
      <c r="AC58" s="116">
        <v>0</v>
      </c>
      <c r="AD58" s="116">
        <v>0</v>
      </c>
      <c r="AE58" s="116">
        <v>0</v>
      </c>
      <c r="AF58" s="116">
        <v>0</v>
      </c>
      <c r="AG58" s="116">
        <v>0</v>
      </c>
      <c r="AH58" s="116">
        <v>0</v>
      </c>
      <c r="AI58" s="116">
        <v>0</v>
      </c>
      <c r="AJ58" s="116">
        <v>0</v>
      </c>
      <c r="AK58" s="116">
        <v>0</v>
      </c>
      <c r="AL58" s="116">
        <v>0</v>
      </c>
      <c r="AM58" s="116">
        <v>0</v>
      </c>
      <c r="AN58" s="116">
        <v>0</v>
      </c>
      <c r="AO58" s="116">
        <v>0</v>
      </c>
      <c r="AP58" s="116">
        <v>0</v>
      </c>
      <c r="AQ58" s="116">
        <v>0</v>
      </c>
      <c r="AR58" s="116">
        <v>0</v>
      </c>
      <c r="AS58" s="116">
        <v>0</v>
      </c>
      <c r="AT58" s="116">
        <v>0</v>
      </c>
      <c r="AU58" s="116">
        <v>0</v>
      </c>
      <c r="AV58" s="116">
        <v>0</v>
      </c>
      <c r="AW58" s="116">
        <v>0</v>
      </c>
      <c r="AX58" s="116">
        <v>0</v>
      </c>
      <c r="AY58" s="116">
        <v>0</v>
      </c>
    </row>
    <row r="59" spans="1:51" x14ac:dyDescent="0.2">
      <c r="A59" s="115"/>
      <c r="B59" s="126">
        <v>15</v>
      </c>
      <c r="C59" s="115" t="s">
        <v>293</v>
      </c>
      <c r="D59" s="116">
        <v>0</v>
      </c>
      <c r="E59" s="116">
        <v>0</v>
      </c>
      <c r="F59" s="116">
        <v>0</v>
      </c>
      <c r="G59" s="116">
        <v>0</v>
      </c>
      <c r="H59" s="116">
        <v>0</v>
      </c>
      <c r="I59" s="116">
        <v>0</v>
      </c>
      <c r="J59" s="116">
        <v>0</v>
      </c>
      <c r="K59" s="116">
        <v>0</v>
      </c>
      <c r="L59" s="116">
        <v>0</v>
      </c>
      <c r="M59" s="116">
        <v>0</v>
      </c>
      <c r="N59" s="116">
        <v>0</v>
      </c>
      <c r="O59" s="116">
        <v>0</v>
      </c>
      <c r="P59" s="116">
        <v>0</v>
      </c>
      <c r="Q59" s="116">
        <v>0</v>
      </c>
      <c r="R59" s="116">
        <v>0</v>
      </c>
      <c r="S59" s="116">
        <v>0</v>
      </c>
      <c r="T59" s="116">
        <v>0</v>
      </c>
      <c r="U59" s="116">
        <v>0</v>
      </c>
      <c r="V59" s="116">
        <v>0</v>
      </c>
      <c r="W59" s="116">
        <v>0</v>
      </c>
      <c r="X59" s="116">
        <v>0</v>
      </c>
      <c r="Y59" s="116">
        <v>0</v>
      </c>
      <c r="Z59" s="116">
        <v>0</v>
      </c>
      <c r="AA59" s="116">
        <v>0</v>
      </c>
      <c r="AB59" s="116">
        <v>0</v>
      </c>
      <c r="AC59" s="116">
        <v>0</v>
      </c>
      <c r="AD59" s="116">
        <v>0</v>
      </c>
      <c r="AE59" s="116">
        <v>0</v>
      </c>
      <c r="AF59" s="116">
        <v>0</v>
      </c>
      <c r="AG59" s="116">
        <v>0</v>
      </c>
      <c r="AH59" s="116">
        <v>0</v>
      </c>
      <c r="AI59" s="116">
        <v>0</v>
      </c>
      <c r="AJ59" s="116">
        <v>0</v>
      </c>
      <c r="AK59" s="116">
        <v>0</v>
      </c>
      <c r="AL59" s="116">
        <v>0</v>
      </c>
      <c r="AM59" s="116">
        <v>0</v>
      </c>
      <c r="AN59" s="116">
        <v>0</v>
      </c>
      <c r="AO59" s="116">
        <v>0</v>
      </c>
      <c r="AP59" s="116">
        <v>0</v>
      </c>
      <c r="AQ59" s="116">
        <v>0</v>
      </c>
      <c r="AR59" s="116">
        <v>0</v>
      </c>
      <c r="AS59" s="116">
        <v>0</v>
      </c>
      <c r="AT59" s="116">
        <v>0</v>
      </c>
      <c r="AU59" s="116">
        <v>0</v>
      </c>
      <c r="AV59" s="116">
        <v>0</v>
      </c>
      <c r="AW59" s="116">
        <v>0</v>
      </c>
      <c r="AX59" s="116">
        <v>0</v>
      </c>
      <c r="AY59" s="116">
        <v>0</v>
      </c>
    </row>
    <row r="60" spans="1:51" x14ac:dyDescent="0.2">
      <c r="A60" s="115"/>
      <c r="B60" s="126">
        <v>16</v>
      </c>
      <c r="C60" s="115" t="s">
        <v>293</v>
      </c>
      <c r="D60" s="116">
        <v>0</v>
      </c>
      <c r="E60" s="116">
        <v>0</v>
      </c>
      <c r="F60" s="116">
        <v>0</v>
      </c>
      <c r="G60" s="116">
        <v>0</v>
      </c>
      <c r="H60" s="116">
        <v>0</v>
      </c>
      <c r="I60" s="116">
        <v>0</v>
      </c>
      <c r="J60" s="116">
        <v>0</v>
      </c>
      <c r="K60" s="116">
        <v>0</v>
      </c>
      <c r="L60" s="116">
        <v>0</v>
      </c>
      <c r="M60" s="116">
        <v>0</v>
      </c>
      <c r="N60" s="116">
        <v>0</v>
      </c>
      <c r="O60" s="116">
        <v>0</v>
      </c>
      <c r="P60" s="116">
        <v>0</v>
      </c>
      <c r="Q60" s="116">
        <v>0</v>
      </c>
      <c r="R60" s="116">
        <v>0</v>
      </c>
      <c r="S60" s="116">
        <v>0</v>
      </c>
      <c r="T60" s="116">
        <v>0</v>
      </c>
      <c r="U60" s="116">
        <v>0</v>
      </c>
      <c r="V60" s="116">
        <v>0</v>
      </c>
      <c r="W60" s="116">
        <v>0</v>
      </c>
      <c r="X60" s="116">
        <v>0</v>
      </c>
      <c r="Y60" s="116">
        <v>0</v>
      </c>
      <c r="Z60" s="116">
        <v>0</v>
      </c>
      <c r="AA60" s="116">
        <v>0</v>
      </c>
      <c r="AB60" s="116">
        <v>0</v>
      </c>
      <c r="AC60" s="116">
        <v>0</v>
      </c>
      <c r="AD60" s="116">
        <v>0</v>
      </c>
      <c r="AE60" s="116">
        <v>0</v>
      </c>
      <c r="AF60" s="116">
        <v>0</v>
      </c>
      <c r="AG60" s="116">
        <v>0</v>
      </c>
      <c r="AH60" s="116">
        <v>0</v>
      </c>
      <c r="AI60" s="116">
        <v>0</v>
      </c>
      <c r="AJ60" s="116">
        <v>0</v>
      </c>
      <c r="AK60" s="116">
        <v>0</v>
      </c>
      <c r="AL60" s="116">
        <v>0</v>
      </c>
      <c r="AM60" s="116">
        <v>0</v>
      </c>
      <c r="AN60" s="116">
        <v>0</v>
      </c>
      <c r="AO60" s="116">
        <v>0</v>
      </c>
      <c r="AP60" s="116">
        <v>0</v>
      </c>
      <c r="AQ60" s="116">
        <v>0</v>
      </c>
      <c r="AR60" s="116">
        <v>0</v>
      </c>
      <c r="AS60" s="116">
        <v>0</v>
      </c>
      <c r="AT60" s="116">
        <v>0</v>
      </c>
      <c r="AU60" s="116">
        <v>0</v>
      </c>
      <c r="AV60" s="116">
        <v>0</v>
      </c>
      <c r="AW60" s="116">
        <v>0</v>
      </c>
      <c r="AX60" s="116">
        <v>0</v>
      </c>
      <c r="AY60" s="116">
        <v>0</v>
      </c>
    </row>
    <row r="61" spans="1:51" x14ac:dyDescent="0.2">
      <c r="A61" s="115"/>
      <c r="B61" s="126">
        <v>17</v>
      </c>
      <c r="C61" s="115" t="s">
        <v>293</v>
      </c>
      <c r="D61" s="116">
        <v>0</v>
      </c>
      <c r="E61" s="116">
        <v>0</v>
      </c>
      <c r="F61" s="116">
        <v>0</v>
      </c>
      <c r="G61" s="116">
        <v>0</v>
      </c>
      <c r="H61" s="116">
        <v>0</v>
      </c>
      <c r="I61" s="116">
        <v>0</v>
      </c>
      <c r="J61" s="116">
        <v>0</v>
      </c>
      <c r="K61" s="116">
        <v>0</v>
      </c>
      <c r="L61" s="116">
        <v>0</v>
      </c>
      <c r="M61" s="116">
        <v>0</v>
      </c>
      <c r="N61" s="116">
        <v>0</v>
      </c>
      <c r="O61" s="116">
        <v>0</v>
      </c>
      <c r="P61" s="116">
        <v>0</v>
      </c>
      <c r="Q61" s="116">
        <v>0</v>
      </c>
      <c r="R61" s="116">
        <v>0</v>
      </c>
      <c r="S61" s="116">
        <v>0</v>
      </c>
      <c r="T61" s="116">
        <v>0</v>
      </c>
      <c r="U61" s="116">
        <v>0</v>
      </c>
      <c r="V61" s="116">
        <v>0</v>
      </c>
      <c r="W61" s="116">
        <v>0</v>
      </c>
      <c r="X61" s="116">
        <v>0</v>
      </c>
      <c r="Y61" s="116">
        <v>0</v>
      </c>
      <c r="Z61" s="116">
        <v>0</v>
      </c>
      <c r="AA61" s="116">
        <v>0</v>
      </c>
      <c r="AB61" s="116">
        <v>0</v>
      </c>
      <c r="AC61" s="116">
        <v>0</v>
      </c>
      <c r="AD61" s="116">
        <v>0</v>
      </c>
      <c r="AE61" s="116">
        <v>0</v>
      </c>
      <c r="AF61" s="116">
        <v>0</v>
      </c>
      <c r="AG61" s="116">
        <v>0</v>
      </c>
      <c r="AH61" s="116">
        <v>0</v>
      </c>
      <c r="AI61" s="116">
        <v>0</v>
      </c>
      <c r="AJ61" s="116">
        <v>0</v>
      </c>
      <c r="AK61" s="116">
        <v>0</v>
      </c>
      <c r="AL61" s="116">
        <v>0</v>
      </c>
      <c r="AM61" s="116">
        <v>0</v>
      </c>
      <c r="AN61" s="116">
        <v>0</v>
      </c>
      <c r="AO61" s="116">
        <v>0</v>
      </c>
      <c r="AP61" s="116">
        <v>0</v>
      </c>
      <c r="AQ61" s="116">
        <v>0</v>
      </c>
      <c r="AR61" s="116">
        <v>0</v>
      </c>
      <c r="AS61" s="116">
        <v>0</v>
      </c>
      <c r="AT61" s="116">
        <v>0</v>
      </c>
      <c r="AU61" s="116">
        <v>0</v>
      </c>
      <c r="AV61" s="116">
        <v>0</v>
      </c>
      <c r="AW61" s="116">
        <v>0</v>
      </c>
      <c r="AX61" s="116">
        <v>0</v>
      </c>
      <c r="AY61" s="116">
        <v>0</v>
      </c>
    </row>
    <row r="62" spans="1:51" x14ac:dyDescent="0.2">
      <c r="A62" s="115"/>
      <c r="B62" s="126">
        <v>18</v>
      </c>
      <c r="C62" s="115" t="s">
        <v>293</v>
      </c>
      <c r="D62" s="116">
        <v>0</v>
      </c>
      <c r="E62" s="116">
        <v>0</v>
      </c>
      <c r="F62" s="116">
        <v>0</v>
      </c>
      <c r="G62" s="116">
        <v>0</v>
      </c>
      <c r="H62" s="116">
        <v>0</v>
      </c>
      <c r="I62" s="116">
        <v>0</v>
      </c>
      <c r="J62" s="116">
        <v>0</v>
      </c>
      <c r="K62" s="116">
        <v>0</v>
      </c>
      <c r="L62" s="116">
        <v>0</v>
      </c>
      <c r="M62" s="116">
        <v>0</v>
      </c>
      <c r="N62" s="116">
        <v>0</v>
      </c>
      <c r="O62" s="116">
        <v>0</v>
      </c>
      <c r="P62" s="116">
        <v>0</v>
      </c>
      <c r="Q62" s="116">
        <v>0</v>
      </c>
      <c r="R62" s="116">
        <v>0</v>
      </c>
      <c r="S62" s="116">
        <v>0</v>
      </c>
      <c r="T62" s="116">
        <v>0</v>
      </c>
      <c r="U62" s="116">
        <v>0</v>
      </c>
      <c r="V62" s="116">
        <v>0</v>
      </c>
      <c r="W62" s="116">
        <v>0</v>
      </c>
      <c r="X62" s="116">
        <v>0</v>
      </c>
      <c r="Y62" s="116">
        <v>0</v>
      </c>
      <c r="Z62" s="116">
        <v>0</v>
      </c>
      <c r="AA62" s="116">
        <v>0</v>
      </c>
      <c r="AB62" s="116">
        <v>0</v>
      </c>
      <c r="AC62" s="116">
        <v>0</v>
      </c>
      <c r="AD62" s="116">
        <v>0</v>
      </c>
      <c r="AE62" s="116">
        <v>0</v>
      </c>
      <c r="AF62" s="116">
        <v>0</v>
      </c>
      <c r="AG62" s="116">
        <v>0</v>
      </c>
      <c r="AH62" s="116">
        <v>0</v>
      </c>
      <c r="AI62" s="116">
        <v>0</v>
      </c>
      <c r="AJ62" s="116">
        <v>0</v>
      </c>
      <c r="AK62" s="116">
        <v>0</v>
      </c>
      <c r="AL62" s="116">
        <v>0</v>
      </c>
      <c r="AM62" s="116">
        <v>0</v>
      </c>
      <c r="AN62" s="116">
        <v>0</v>
      </c>
      <c r="AO62" s="116">
        <v>0</v>
      </c>
      <c r="AP62" s="116">
        <v>0</v>
      </c>
      <c r="AQ62" s="116">
        <v>0</v>
      </c>
      <c r="AR62" s="116">
        <v>0</v>
      </c>
      <c r="AS62" s="116">
        <v>0</v>
      </c>
      <c r="AT62" s="116">
        <v>0</v>
      </c>
      <c r="AU62" s="116">
        <v>0</v>
      </c>
      <c r="AV62" s="116">
        <v>0</v>
      </c>
      <c r="AW62" s="116">
        <v>0</v>
      </c>
      <c r="AX62" s="116">
        <v>0</v>
      </c>
      <c r="AY62" s="116">
        <v>0</v>
      </c>
    </row>
    <row r="63" spans="1:51" x14ac:dyDescent="0.2">
      <c r="A63" s="115"/>
      <c r="B63" s="126">
        <v>19</v>
      </c>
      <c r="C63" s="115" t="s">
        <v>293</v>
      </c>
      <c r="D63" s="116">
        <v>0</v>
      </c>
      <c r="E63" s="116">
        <v>0</v>
      </c>
      <c r="F63" s="116">
        <v>0</v>
      </c>
      <c r="G63" s="116">
        <v>0</v>
      </c>
      <c r="H63" s="116">
        <v>0</v>
      </c>
      <c r="I63" s="116">
        <v>0</v>
      </c>
      <c r="J63" s="116">
        <v>0</v>
      </c>
      <c r="K63" s="116">
        <v>0</v>
      </c>
      <c r="L63" s="116">
        <v>0</v>
      </c>
      <c r="M63" s="116">
        <v>0</v>
      </c>
      <c r="N63" s="116">
        <v>0</v>
      </c>
      <c r="O63" s="116">
        <v>0</v>
      </c>
      <c r="P63" s="116">
        <v>0</v>
      </c>
      <c r="Q63" s="116">
        <v>0</v>
      </c>
      <c r="R63" s="116">
        <v>0</v>
      </c>
      <c r="S63" s="116">
        <v>0</v>
      </c>
      <c r="T63" s="116">
        <v>0</v>
      </c>
      <c r="U63" s="116">
        <v>0</v>
      </c>
      <c r="V63" s="116">
        <v>0</v>
      </c>
      <c r="W63" s="116">
        <v>0</v>
      </c>
      <c r="X63" s="116">
        <v>0</v>
      </c>
      <c r="Y63" s="116">
        <v>0</v>
      </c>
      <c r="Z63" s="116">
        <v>0</v>
      </c>
      <c r="AA63" s="116">
        <v>0</v>
      </c>
      <c r="AB63" s="116">
        <v>0</v>
      </c>
      <c r="AC63" s="116">
        <v>0</v>
      </c>
      <c r="AD63" s="116">
        <v>0</v>
      </c>
      <c r="AE63" s="116">
        <v>0</v>
      </c>
      <c r="AF63" s="116">
        <v>0</v>
      </c>
      <c r="AG63" s="116">
        <v>0</v>
      </c>
      <c r="AH63" s="116">
        <v>0</v>
      </c>
      <c r="AI63" s="116">
        <v>0</v>
      </c>
      <c r="AJ63" s="116">
        <v>0</v>
      </c>
      <c r="AK63" s="116">
        <v>0</v>
      </c>
      <c r="AL63" s="116">
        <v>0</v>
      </c>
      <c r="AM63" s="116">
        <v>0</v>
      </c>
      <c r="AN63" s="116">
        <v>0</v>
      </c>
      <c r="AO63" s="116">
        <v>0</v>
      </c>
      <c r="AP63" s="116">
        <v>0</v>
      </c>
      <c r="AQ63" s="116">
        <v>0</v>
      </c>
      <c r="AR63" s="116">
        <v>0</v>
      </c>
      <c r="AS63" s="116">
        <v>0</v>
      </c>
      <c r="AT63" s="116">
        <v>0</v>
      </c>
      <c r="AU63" s="116">
        <v>0</v>
      </c>
      <c r="AV63" s="116">
        <v>0</v>
      </c>
      <c r="AW63" s="116">
        <v>0</v>
      </c>
      <c r="AX63" s="116">
        <v>0</v>
      </c>
      <c r="AY63" s="116">
        <v>0</v>
      </c>
    </row>
    <row r="64" spans="1:51" x14ac:dyDescent="0.2">
      <c r="A64" s="115"/>
      <c r="B64" s="126">
        <v>20</v>
      </c>
      <c r="C64" s="115" t="s">
        <v>293</v>
      </c>
      <c r="D64" s="116">
        <v>0</v>
      </c>
      <c r="E64" s="116">
        <v>0</v>
      </c>
      <c r="F64" s="116">
        <v>0</v>
      </c>
      <c r="G64" s="116">
        <v>0</v>
      </c>
      <c r="H64" s="116">
        <v>0</v>
      </c>
      <c r="I64" s="116">
        <v>0</v>
      </c>
      <c r="J64" s="116">
        <v>0</v>
      </c>
      <c r="K64" s="116">
        <v>0</v>
      </c>
      <c r="L64" s="116">
        <v>0</v>
      </c>
      <c r="M64" s="116">
        <v>0</v>
      </c>
      <c r="N64" s="116">
        <v>0</v>
      </c>
      <c r="O64" s="116">
        <v>0</v>
      </c>
      <c r="P64" s="116">
        <v>0</v>
      </c>
      <c r="Q64" s="116">
        <v>0</v>
      </c>
      <c r="R64" s="116">
        <v>0</v>
      </c>
      <c r="S64" s="116">
        <v>0</v>
      </c>
      <c r="T64" s="116">
        <v>0</v>
      </c>
      <c r="U64" s="116">
        <v>0</v>
      </c>
      <c r="V64" s="116">
        <v>0</v>
      </c>
      <c r="W64" s="116">
        <v>0</v>
      </c>
      <c r="X64" s="116">
        <v>0</v>
      </c>
      <c r="Y64" s="116">
        <v>0</v>
      </c>
      <c r="Z64" s="116">
        <v>0</v>
      </c>
      <c r="AA64" s="116">
        <v>0</v>
      </c>
      <c r="AB64" s="116">
        <v>0</v>
      </c>
      <c r="AC64" s="116">
        <v>0</v>
      </c>
      <c r="AD64" s="116">
        <v>0</v>
      </c>
      <c r="AE64" s="116">
        <v>0</v>
      </c>
      <c r="AF64" s="116">
        <v>0</v>
      </c>
      <c r="AG64" s="116">
        <v>0</v>
      </c>
      <c r="AH64" s="116">
        <v>0</v>
      </c>
      <c r="AI64" s="116">
        <v>0</v>
      </c>
      <c r="AJ64" s="116">
        <v>0</v>
      </c>
      <c r="AK64" s="116">
        <v>0</v>
      </c>
      <c r="AL64" s="116">
        <v>0</v>
      </c>
      <c r="AM64" s="116">
        <v>0</v>
      </c>
      <c r="AN64" s="116">
        <v>0</v>
      </c>
      <c r="AO64" s="116">
        <v>0</v>
      </c>
      <c r="AP64" s="116">
        <v>0</v>
      </c>
      <c r="AQ64" s="116">
        <v>0</v>
      </c>
      <c r="AR64" s="116">
        <v>0</v>
      </c>
      <c r="AS64" s="116">
        <v>0</v>
      </c>
      <c r="AT64" s="116">
        <v>0</v>
      </c>
      <c r="AU64" s="116">
        <v>0</v>
      </c>
      <c r="AV64" s="116">
        <v>0</v>
      </c>
      <c r="AW64" s="116">
        <v>0</v>
      </c>
      <c r="AX64" s="116">
        <v>0</v>
      </c>
      <c r="AY64" s="116">
        <v>0</v>
      </c>
    </row>
    <row r="65" spans="1:51" x14ac:dyDescent="0.2">
      <c r="A65" s="115"/>
      <c r="B65" s="126">
        <v>21</v>
      </c>
      <c r="C65" s="115" t="s">
        <v>293</v>
      </c>
      <c r="D65" s="116">
        <v>0</v>
      </c>
      <c r="E65" s="116">
        <v>0</v>
      </c>
      <c r="F65" s="116">
        <v>0</v>
      </c>
      <c r="G65" s="116">
        <v>0</v>
      </c>
      <c r="H65" s="116">
        <v>0</v>
      </c>
      <c r="I65" s="116">
        <v>0</v>
      </c>
      <c r="J65" s="116">
        <v>0</v>
      </c>
      <c r="K65" s="116">
        <v>0</v>
      </c>
      <c r="L65" s="116">
        <v>0</v>
      </c>
      <c r="M65" s="116">
        <v>0</v>
      </c>
      <c r="N65" s="116">
        <v>0</v>
      </c>
      <c r="O65" s="116">
        <v>0</v>
      </c>
      <c r="P65" s="116">
        <v>0</v>
      </c>
      <c r="Q65" s="116">
        <v>0</v>
      </c>
      <c r="R65" s="116">
        <v>0</v>
      </c>
      <c r="S65" s="116">
        <v>0</v>
      </c>
      <c r="T65" s="116">
        <v>0</v>
      </c>
      <c r="U65" s="116">
        <v>0</v>
      </c>
      <c r="V65" s="116">
        <v>0</v>
      </c>
      <c r="W65" s="116">
        <v>0</v>
      </c>
      <c r="X65" s="116">
        <v>0</v>
      </c>
      <c r="Y65" s="116">
        <v>0</v>
      </c>
      <c r="Z65" s="116">
        <v>0</v>
      </c>
      <c r="AA65" s="116">
        <v>0</v>
      </c>
      <c r="AB65" s="116">
        <v>0</v>
      </c>
      <c r="AC65" s="116">
        <v>0</v>
      </c>
      <c r="AD65" s="116">
        <v>0</v>
      </c>
      <c r="AE65" s="116">
        <v>0</v>
      </c>
      <c r="AF65" s="116">
        <v>0</v>
      </c>
      <c r="AG65" s="116">
        <v>0</v>
      </c>
      <c r="AH65" s="116">
        <v>0</v>
      </c>
      <c r="AI65" s="116">
        <v>0</v>
      </c>
      <c r="AJ65" s="116">
        <v>0</v>
      </c>
      <c r="AK65" s="116">
        <v>0</v>
      </c>
      <c r="AL65" s="116">
        <v>0</v>
      </c>
      <c r="AM65" s="116">
        <v>0</v>
      </c>
      <c r="AN65" s="116">
        <v>0</v>
      </c>
      <c r="AO65" s="116">
        <v>0</v>
      </c>
      <c r="AP65" s="116">
        <v>0</v>
      </c>
      <c r="AQ65" s="116">
        <v>0</v>
      </c>
      <c r="AR65" s="116">
        <v>0</v>
      </c>
      <c r="AS65" s="116">
        <v>0</v>
      </c>
      <c r="AT65" s="116">
        <v>0</v>
      </c>
      <c r="AU65" s="116">
        <v>0</v>
      </c>
      <c r="AV65" s="116">
        <v>0</v>
      </c>
      <c r="AW65" s="116">
        <v>0</v>
      </c>
      <c r="AX65" s="116">
        <v>0</v>
      </c>
      <c r="AY65" s="116">
        <v>0</v>
      </c>
    </row>
    <row r="66" spans="1:51" x14ac:dyDescent="0.2">
      <c r="A66" s="115"/>
      <c r="B66" s="126">
        <v>22</v>
      </c>
      <c r="C66" s="115" t="s">
        <v>293</v>
      </c>
      <c r="D66" s="116">
        <v>0</v>
      </c>
      <c r="E66" s="116">
        <v>0</v>
      </c>
      <c r="F66" s="116">
        <v>0</v>
      </c>
      <c r="G66" s="116">
        <v>0</v>
      </c>
      <c r="H66" s="116">
        <v>0</v>
      </c>
      <c r="I66" s="116">
        <v>0</v>
      </c>
      <c r="J66" s="116">
        <v>0</v>
      </c>
      <c r="K66" s="116">
        <v>0</v>
      </c>
      <c r="L66" s="116">
        <v>0</v>
      </c>
      <c r="M66" s="116">
        <v>0</v>
      </c>
      <c r="N66" s="116">
        <v>0</v>
      </c>
      <c r="O66" s="116">
        <v>0</v>
      </c>
      <c r="P66" s="116">
        <v>0</v>
      </c>
      <c r="Q66" s="116">
        <v>0</v>
      </c>
      <c r="R66" s="116">
        <v>0</v>
      </c>
      <c r="S66" s="116">
        <v>0</v>
      </c>
      <c r="T66" s="116">
        <v>0</v>
      </c>
      <c r="U66" s="116">
        <v>0</v>
      </c>
      <c r="V66" s="116">
        <v>0</v>
      </c>
      <c r="W66" s="116">
        <v>0</v>
      </c>
      <c r="X66" s="116">
        <v>0</v>
      </c>
      <c r="Y66" s="116">
        <v>0</v>
      </c>
      <c r="Z66" s="116">
        <v>0</v>
      </c>
      <c r="AA66" s="116">
        <v>0</v>
      </c>
      <c r="AB66" s="116">
        <v>0</v>
      </c>
      <c r="AC66" s="116">
        <v>0</v>
      </c>
      <c r="AD66" s="116">
        <v>0</v>
      </c>
      <c r="AE66" s="116">
        <v>0</v>
      </c>
      <c r="AF66" s="116">
        <v>0</v>
      </c>
      <c r="AG66" s="116">
        <v>0</v>
      </c>
      <c r="AH66" s="116">
        <v>0</v>
      </c>
      <c r="AI66" s="116">
        <v>0</v>
      </c>
      <c r="AJ66" s="116">
        <v>0</v>
      </c>
      <c r="AK66" s="116">
        <v>0</v>
      </c>
      <c r="AL66" s="116">
        <v>0</v>
      </c>
      <c r="AM66" s="116">
        <v>0</v>
      </c>
      <c r="AN66" s="116">
        <v>0</v>
      </c>
      <c r="AO66" s="116">
        <v>0</v>
      </c>
      <c r="AP66" s="116">
        <v>0</v>
      </c>
      <c r="AQ66" s="116">
        <v>0</v>
      </c>
      <c r="AR66" s="116">
        <v>0</v>
      </c>
      <c r="AS66" s="116">
        <v>0</v>
      </c>
      <c r="AT66" s="116">
        <v>0</v>
      </c>
      <c r="AU66" s="116">
        <v>0</v>
      </c>
      <c r="AV66" s="116">
        <v>0</v>
      </c>
      <c r="AW66" s="116">
        <v>0</v>
      </c>
      <c r="AX66" s="116">
        <v>0</v>
      </c>
      <c r="AY66" s="116">
        <v>0</v>
      </c>
    </row>
    <row r="67" spans="1:51" x14ac:dyDescent="0.2">
      <c r="A67" s="115"/>
      <c r="B67" s="126">
        <v>23</v>
      </c>
      <c r="C67" s="115" t="s">
        <v>293</v>
      </c>
      <c r="D67" s="116">
        <v>0</v>
      </c>
      <c r="E67" s="116">
        <v>0</v>
      </c>
      <c r="F67" s="116">
        <v>0</v>
      </c>
      <c r="G67" s="116">
        <v>0</v>
      </c>
      <c r="H67" s="116">
        <v>0</v>
      </c>
      <c r="I67" s="116">
        <v>0</v>
      </c>
      <c r="J67" s="116">
        <v>0</v>
      </c>
      <c r="K67" s="116">
        <v>0</v>
      </c>
      <c r="L67" s="116">
        <v>0</v>
      </c>
      <c r="M67" s="116">
        <v>0</v>
      </c>
      <c r="N67" s="116">
        <v>0</v>
      </c>
      <c r="O67" s="116">
        <v>0</v>
      </c>
      <c r="P67" s="116">
        <v>0</v>
      </c>
      <c r="Q67" s="116">
        <v>0</v>
      </c>
      <c r="R67" s="116">
        <v>0</v>
      </c>
      <c r="S67" s="116">
        <v>0</v>
      </c>
      <c r="T67" s="116">
        <v>0</v>
      </c>
      <c r="U67" s="116">
        <v>0</v>
      </c>
      <c r="V67" s="116">
        <v>0</v>
      </c>
      <c r="W67" s="116">
        <v>0</v>
      </c>
      <c r="X67" s="116">
        <v>0</v>
      </c>
      <c r="Y67" s="116">
        <v>0</v>
      </c>
      <c r="Z67" s="116">
        <v>0</v>
      </c>
      <c r="AA67" s="116">
        <v>0</v>
      </c>
      <c r="AB67" s="116">
        <v>0</v>
      </c>
      <c r="AC67" s="116">
        <v>0</v>
      </c>
      <c r="AD67" s="116">
        <v>0</v>
      </c>
      <c r="AE67" s="116">
        <v>0</v>
      </c>
      <c r="AF67" s="116">
        <v>0</v>
      </c>
      <c r="AG67" s="116">
        <v>0</v>
      </c>
      <c r="AH67" s="116">
        <v>0</v>
      </c>
      <c r="AI67" s="116">
        <v>0</v>
      </c>
      <c r="AJ67" s="116">
        <v>0</v>
      </c>
      <c r="AK67" s="116">
        <v>0</v>
      </c>
      <c r="AL67" s="116">
        <v>0</v>
      </c>
      <c r="AM67" s="116">
        <v>0</v>
      </c>
      <c r="AN67" s="116">
        <v>0</v>
      </c>
      <c r="AO67" s="116">
        <v>0</v>
      </c>
      <c r="AP67" s="116">
        <v>0</v>
      </c>
      <c r="AQ67" s="116">
        <v>0</v>
      </c>
      <c r="AR67" s="116">
        <v>0</v>
      </c>
      <c r="AS67" s="116">
        <v>0</v>
      </c>
      <c r="AT67" s="116">
        <v>0</v>
      </c>
      <c r="AU67" s="116">
        <v>0</v>
      </c>
      <c r="AV67" s="116">
        <v>0</v>
      </c>
      <c r="AW67" s="116">
        <v>0</v>
      </c>
      <c r="AX67" s="116">
        <v>0</v>
      </c>
      <c r="AY67" s="116">
        <v>0</v>
      </c>
    </row>
    <row r="68" spans="1:51" x14ac:dyDescent="0.2">
      <c r="A68" s="115"/>
      <c r="B68" s="126">
        <v>24</v>
      </c>
      <c r="C68" s="115" t="s">
        <v>293</v>
      </c>
      <c r="D68" s="116">
        <v>0</v>
      </c>
      <c r="E68" s="116">
        <v>0</v>
      </c>
      <c r="F68" s="116">
        <v>0</v>
      </c>
      <c r="G68" s="116">
        <v>0</v>
      </c>
      <c r="H68" s="116">
        <v>0</v>
      </c>
      <c r="I68" s="116">
        <v>0</v>
      </c>
      <c r="J68" s="116">
        <v>0</v>
      </c>
      <c r="K68" s="116">
        <v>0</v>
      </c>
      <c r="L68" s="116">
        <v>0</v>
      </c>
      <c r="M68" s="116">
        <v>0</v>
      </c>
      <c r="N68" s="116">
        <v>0</v>
      </c>
      <c r="O68" s="116">
        <v>0</v>
      </c>
      <c r="P68" s="116">
        <v>0</v>
      </c>
      <c r="Q68" s="116">
        <v>0</v>
      </c>
      <c r="R68" s="116">
        <v>0</v>
      </c>
      <c r="S68" s="116">
        <v>0</v>
      </c>
      <c r="T68" s="116">
        <v>0</v>
      </c>
      <c r="U68" s="116">
        <v>0</v>
      </c>
      <c r="V68" s="116">
        <v>0</v>
      </c>
      <c r="W68" s="116">
        <v>0</v>
      </c>
      <c r="X68" s="116">
        <v>0</v>
      </c>
      <c r="Y68" s="116">
        <v>0</v>
      </c>
      <c r="Z68" s="116">
        <v>0</v>
      </c>
      <c r="AA68" s="116">
        <v>0</v>
      </c>
      <c r="AB68" s="116">
        <v>0</v>
      </c>
      <c r="AC68" s="116">
        <v>0</v>
      </c>
      <c r="AD68" s="116">
        <v>0</v>
      </c>
      <c r="AE68" s="116">
        <v>0</v>
      </c>
      <c r="AF68" s="116">
        <v>0</v>
      </c>
      <c r="AG68" s="116">
        <v>0</v>
      </c>
      <c r="AH68" s="116">
        <v>0</v>
      </c>
      <c r="AI68" s="116">
        <v>0</v>
      </c>
      <c r="AJ68" s="116">
        <v>0</v>
      </c>
      <c r="AK68" s="116">
        <v>0</v>
      </c>
      <c r="AL68" s="116">
        <v>0</v>
      </c>
      <c r="AM68" s="116">
        <v>0</v>
      </c>
      <c r="AN68" s="116">
        <v>0</v>
      </c>
      <c r="AO68" s="116">
        <v>0</v>
      </c>
      <c r="AP68" s="116">
        <v>0</v>
      </c>
      <c r="AQ68" s="116">
        <v>0</v>
      </c>
      <c r="AR68" s="116">
        <v>0</v>
      </c>
      <c r="AS68" s="116">
        <v>0</v>
      </c>
      <c r="AT68" s="116">
        <v>0</v>
      </c>
      <c r="AU68" s="116">
        <v>0</v>
      </c>
      <c r="AV68" s="116">
        <v>0</v>
      </c>
      <c r="AW68" s="116">
        <v>0</v>
      </c>
      <c r="AX68" s="116">
        <v>0</v>
      </c>
      <c r="AY68" s="116">
        <v>0</v>
      </c>
    </row>
    <row r="69" spans="1:51" x14ac:dyDescent="0.2">
      <c r="A69" s="115"/>
      <c r="B69" s="133">
        <v>25</v>
      </c>
      <c r="C69" s="115" t="s">
        <v>293</v>
      </c>
      <c r="D69" s="116">
        <v>0</v>
      </c>
      <c r="E69" s="116">
        <v>0</v>
      </c>
      <c r="F69" s="116">
        <v>0</v>
      </c>
      <c r="G69" s="116">
        <v>0</v>
      </c>
      <c r="H69" s="116">
        <v>0</v>
      </c>
      <c r="I69" s="116">
        <v>0</v>
      </c>
      <c r="J69" s="116">
        <v>0</v>
      </c>
      <c r="K69" s="116">
        <v>0</v>
      </c>
      <c r="L69" s="116">
        <v>0</v>
      </c>
      <c r="M69" s="116">
        <v>0</v>
      </c>
      <c r="N69" s="116">
        <v>0</v>
      </c>
      <c r="O69" s="116">
        <v>0</v>
      </c>
      <c r="P69" s="116">
        <v>0</v>
      </c>
      <c r="Q69" s="116">
        <v>0</v>
      </c>
      <c r="R69" s="116">
        <v>0</v>
      </c>
      <c r="S69" s="116">
        <v>0</v>
      </c>
      <c r="T69" s="116">
        <v>0</v>
      </c>
      <c r="U69" s="116">
        <v>0</v>
      </c>
      <c r="V69" s="116">
        <v>0</v>
      </c>
      <c r="W69" s="116">
        <v>0</v>
      </c>
      <c r="X69" s="116">
        <v>0</v>
      </c>
      <c r="Y69" s="116">
        <v>0</v>
      </c>
      <c r="Z69" s="116">
        <v>0</v>
      </c>
      <c r="AA69" s="116">
        <v>0</v>
      </c>
      <c r="AB69" s="116">
        <v>0</v>
      </c>
      <c r="AC69" s="116">
        <v>0</v>
      </c>
      <c r="AD69" s="116">
        <v>0</v>
      </c>
      <c r="AE69" s="116">
        <v>0</v>
      </c>
      <c r="AF69" s="116">
        <v>0</v>
      </c>
      <c r="AG69" s="116">
        <v>0</v>
      </c>
      <c r="AH69" s="116">
        <v>0</v>
      </c>
      <c r="AI69" s="116">
        <v>0</v>
      </c>
      <c r="AJ69" s="116">
        <v>0</v>
      </c>
      <c r="AK69" s="116">
        <v>0</v>
      </c>
      <c r="AL69" s="116">
        <v>0</v>
      </c>
      <c r="AM69" s="116">
        <v>0</v>
      </c>
      <c r="AN69" s="116">
        <v>0</v>
      </c>
      <c r="AO69" s="116">
        <v>0</v>
      </c>
      <c r="AP69" s="116">
        <v>0</v>
      </c>
      <c r="AQ69" s="116">
        <v>0</v>
      </c>
      <c r="AR69" s="116">
        <v>0</v>
      </c>
      <c r="AS69" s="116">
        <v>0</v>
      </c>
      <c r="AT69" s="116">
        <v>0</v>
      </c>
      <c r="AU69" s="116">
        <v>0</v>
      </c>
      <c r="AV69" s="116">
        <v>0</v>
      </c>
      <c r="AW69" s="116">
        <v>0</v>
      </c>
      <c r="AX69" s="116">
        <v>0</v>
      </c>
      <c r="AY69" s="116">
        <v>0</v>
      </c>
    </row>
    <row r="70" spans="1:51" x14ac:dyDescent="0.2">
      <c r="A70" s="115"/>
      <c r="B70" s="133">
        <v>26</v>
      </c>
      <c r="C70" s="115" t="s">
        <v>293</v>
      </c>
      <c r="D70" s="116">
        <v>0</v>
      </c>
      <c r="E70" s="116">
        <v>0</v>
      </c>
      <c r="F70" s="116">
        <v>0</v>
      </c>
      <c r="G70" s="116">
        <v>0</v>
      </c>
      <c r="H70" s="116">
        <v>0</v>
      </c>
      <c r="I70" s="116">
        <v>0</v>
      </c>
      <c r="J70" s="116">
        <v>0</v>
      </c>
      <c r="K70" s="116">
        <v>0</v>
      </c>
      <c r="L70" s="116">
        <v>0</v>
      </c>
      <c r="M70" s="116">
        <v>0</v>
      </c>
      <c r="N70" s="116">
        <v>0</v>
      </c>
      <c r="O70" s="116">
        <v>0</v>
      </c>
      <c r="P70" s="116">
        <v>0</v>
      </c>
      <c r="Q70" s="116">
        <v>0</v>
      </c>
      <c r="R70" s="116">
        <v>0</v>
      </c>
      <c r="S70" s="116">
        <v>0</v>
      </c>
      <c r="T70" s="116">
        <v>0</v>
      </c>
      <c r="U70" s="116">
        <v>0</v>
      </c>
      <c r="V70" s="116">
        <v>0</v>
      </c>
      <c r="W70" s="116">
        <v>0</v>
      </c>
      <c r="X70" s="116">
        <v>0</v>
      </c>
      <c r="Y70" s="116">
        <v>0</v>
      </c>
      <c r="Z70" s="116">
        <v>0</v>
      </c>
      <c r="AA70" s="116">
        <v>0</v>
      </c>
      <c r="AB70" s="116">
        <v>0</v>
      </c>
      <c r="AC70" s="116">
        <v>0</v>
      </c>
      <c r="AD70" s="116">
        <v>0</v>
      </c>
      <c r="AE70" s="116">
        <v>0</v>
      </c>
      <c r="AF70" s="116">
        <v>0</v>
      </c>
      <c r="AG70" s="116">
        <v>0</v>
      </c>
      <c r="AH70" s="116">
        <v>0</v>
      </c>
      <c r="AI70" s="116">
        <v>0</v>
      </c>
      <c r="AJ70" s="116">
        <v>0</v>
      </c>
      <c r="AK70" s="116">
        <v>0</v>
      </c>
      <c r="AL70" s="116">
        <v>0</v>
      </c>
      <c r="AM70" s="116">
        <v>0</v>
      </c>
      <c r="AN70" s="116">
        <v>0</v>
      </c>
      <c r="AO70" s="116">
        <v>0</v>
      </c>
      <c r="AP70" s="116">
        <v>0</v>
      </c>
      <c r="AQ70" s="116">
        <v>0</v>
      </c>
      <c r="AR70" s="116">
        <v>0</v>
      </c>
      <c r="AS70" s="116">
        <v>0</v>
      </c>
      <c r="AT70" s="116">
        <v>0</v>
      </c>
      <c r="AU70" s="116">
        <v>0</v>
      </c>
      <c r="AV70" s="116">
        <v>0</v>
      </c>
      <c r="AW70" s="116">
        <v>0</v>
      </c>
      <c r="AX70" s="116">
        <v>0</v>
      </c>
      <c r="AY70" s="116">
        <v>0</v>
      </c>
    </row>
    <row r="71" spans="1:51" x14ac:dyDescent="0.2">
      <c r="A71" s="115"/>
      <c r="B71" s="133">
        <v>27</v>
      </c>
      <c r="C71" s="115" t="s">
        <v>293</v>
      </c>
      <c r="D71" s="116">
        <v>0</v>
      </c>
      <c r="E71" s="116">
        <v>0</v>
      </c>
      <c r="F71" s="116">
        <v>0</v>
      </c>
      <c r="G71" s="116">
        <v>0</v>
      </c>
      <c r="H71" s="116">
        <v>0</v>
      </c>
      <c r="I71" s="116">
        <v>0</v>
      </c>
      <c r="J71" s="116">
        <v>0</v>
      </c>
      <c r="K71" s="116">
        <v>0</v>
      </c>
      <c r="L71" s="116">
        <v>0</v>
      </c>
      <c r="M71" s="116">
        <v>0</v>
      </c>
      <c r="N71" s="116">
        <v>0</v>
      </c>
      <c r="O71" s="116">
        <v>0</v>
      </c>
      <c r="P71" s="116">
        <v>0</v>
      </c>
      <c r="Q71" s="116">
        <v>0</v>
      </c>
      <c r="R71" s="116">
        <v>0</v>
      </c>
      <c r="S71" s="116">
        <v>0</v>
      </c>
      <c r="T71" s="116">
        <v>0</v>
      </c>
      <c r="U71" s="116">
        <v>0</v>
      </c>
      <c r="V71" s="116">
        <v>0</v>
      </c>
      <c r="W71" s="116">
        <v>0</v>
      </c>
      <c r="X71" s="116">
        <v>0</v>
      </c>
      <c r="Y71" s="116">
        <v>0</v>
      </c>
      <c r="Z71" s="116">
        <v>0</v>
      </c>
      <c r="AA71" s="116">
        <v>0</v>
      </c>
      <c r="AB71" s="116">
        <v>0</v>
      </c>
      <c r="AC71" s="116">
        <v>0</v>
      </c>
      <c r="AD71" s="116">
        <v>0</v>
      </c>
      <c r="AE71" s="116">
        <v>0</v>
      </c>
      <c r="AF71" s="116">
        <v>0</v>
      </c>
      <c r="AG71" s="116">
        <v>0</v>
      </c>
      <c r="AH71" s="116">
        <v>0</v>
      </c>
      <c r="AI71" s="116">
        <v>0</v>
      </c>
      <c r="AJ71" s="116">
        <v>0</v>
      </c>
      <c r="AK71" s="116">
        <v>0</v>
      </c>
      <c r="AL71" s="116">
        <v>0</v>
      </c>
      <c r="AM71" s="116">
        <v>0</v>
      </c>
      <c r="AN71" s="116">
        <v>0</v>
      </c>
      <c r="AO71" s="116">
        <v>0</v>
      </c>
      <c r="AP71" s="116">
        <v>0</v>
      </c>
      <c r="AQ71" s="116">
        <v>0</v>
      </c>
      <c r="AR71" s="116">
        <v>0</v>
      </c>
      <c r="AS71" s="116">
        <v>0</v>
      </c>
      <c r="AT71" s="116">
        <v>0</v>
      </c>
      <c r="AU71" s="116">
        <v>0</v>
      </c>
      <c r="AV71" s="116">
        <v>0</v>
      </c>
      <c r="AW71" s="116">
        <v>0</v>
      </c>
      <c r="AX71" s="116">
        <v>0</v>
      </c>
      <c r="AY71" s="116">
        <v>0</v>
      </c>
    </row>
    <row r="72" spans="1:51" x14ac:dyDescent="0.2">
      <c r="A72" s="115"/>
      <c r="B72" s="133">
        <v>28</v>
      </c>
      <c r="C72" s="115" t="s">
        <v>293</v>
      </c>
      <c r="D72" s="116">
        <v>0</v>
      </c>
      <c r="E72" s="116">
        <v>0</v>
      </c>
      <c r="F72" s="116">
        <v>0</v>
      </c>
      <c r="G72" s="116">
        <v>0</v>
      </c>
      <c r="H72" s="116">
        <v>0</v>
      </c>
      <c r="I72" s="116">
        <v>0</v>
      </c>
      <c r="J72" s="116">
        <v>0</v>
      </c>
      <c r="K72" s="116">
        <v>0</v>
      </c>
      <c r="L72" s="116">
        <v>0</v>
      </c>
      <c r="M72" s="116">
        <v>0</v>
      </c>
      <c r="N72" s="116">
        <v>0</v>
      </c>
      <c r="O72" s="116">
        <v>0</v>
      </c>
      <c r="P72" s="116">
        <v>0</v>
      </c>
      <c r="Q72" s="116">
        <v>0</v>
      </c>
      <c r="R72" s="116">
        <v>0</v>
      </c>
      <c r="S72" s="116">
        <v>0</v>
      </c>
      <c r="T72" s="116">
        <v>0</v>
      </c>
      <c r="U72" s="116">
        <v>0</v>
      </c>
      <c r="V72" s="116">
        <v>0</v>
      </c>
      <c r="W72" s="116">
        <v>0</v>
      </c>
      <c r="X72" s="116">
        <v>0</v>
      </c>
      <c r="Y72" s="116">
        <v>0</v>
      </c>
      <c r="Z72" s="116">
        <v>0</v>
      </c>
      <c r="AA72" s="116">
        <v>0</v>
      </c>
      <c r="AB72" s="116">
        <v>0</v>
      </c>
      <c r="AC72" s="116">
        <v>0</v>
      </c>
      <c r="AD72" s="116">
        <v>0</v>
      </c>
      <c r="AE72" s="116">
        <v>0</v>
      </c>
      <c r="AF72" s="116">
        <v>0</v>
      </c>
      <c r="AG72" s="116">
        <v>0</v>
      </c>
      <c r="AH72" s="116">
        <v>0</v>
      </c>
      <c r="AI72" s="116">
        <v>0</v>
      </c>
      <c r="AJ72" s="116">
        <v>0</v>
      </c>
      <c r="AK72" s="116">
        <v>0</v>
      </c>
      <c r="AL72" s="116">
        <v>0</v>
      </c>
      <c r="AM72" s="116">
        <v>0</v>
      </c>
      <c r="AN72" s="116">
        <v>0</v>
      </c>
      <c r="AO72" s="116">
        <v>0</v>
      </c>
      <c r="AP72" s="116">
        <v>0</v>
      </c>
      <c r="AQ72" s="116">
        <v>0</v>
      </c>
      <c r="AR72" s="116">
        <v>0</v>
      </c>
      <c r="AS72" s="116">
        <v>0</v>
      </c>
      <c r="AT72" s="116">
        <v>0</v>
      </c>
      <c r="AU72" s="116">
        <v>0</v>
      </c>
      <c r="AV72" s="116">
        <v>0</v>
      </c>
      <c r="AW72" s="116">
        <v>0</v>
      </c>
      <c r="AX72" s="116">
        <v>0</v>
      </c>
      <c r="AY72" s="116">
        <v>0</v>
      </c>
    </row>
    <row r="73" spans="1:51" x14ac:dyDescent="0.2">
      <c r="A73" s="115"/>
      <c r="B73" s="133">
        <v>29</v>
      </c>
      <c r="C73" s="115" t="s">
        <v>293</v>
      </c>
      <c r="D73" s="116">
        <v>0</v>
      </c>
      <c r="E73" s="116">
        <v>0</v>
      </c>
      <c r="F73" s="116">
        <v>0</v>
      </c>
      <c r="G73" s="116">
        <v>0</v>
      </c>
      <c r="H73" s="116">
        <v>0</v>
      </c>
      <c r="I73" s="116">
        <v>0</v>
      </c>
      <c r="J73" s="116">
        <v>0</v>
      </c>
      <c r="K73" s="116">
        <v>0</v>
      </c>
      <c r="L73" s="116">
        <v>0</v>
      </c>
      <c r="M73" s="116">
        <v>0</v>
      </c>
      <c r="N73" s="116">
        <v>0</v>
      </c>
      <c r="O73" s="116">
        <v>0</v>
      </c>
      <c r="P73" s="116">
        <v>0</v>
      </c>
      <c r="Q73" s="116">
        <v>0</v>
      </c>
      <c r="R73" s="116">
        <v>0</v>
      </c>
      <c r="S73" s="116">
        <v>0</v>
      </c>
      <c r="T73" s="116">
        <v>0</v>
      </c>
      <c r="U73" s="116">
        <v>0</v>
      </c>
      <c r="V73" s="116">
        <v>0</v>
      </c>
      <c r="W73" s="116">
        <v>0</v>
      </c>
      <c r="X73" s="116">
        <v>0</v>
      </c>
      <c r="Y73" s="116">
        <v>0</v>
      </c>
      <c r="Z73" s="116">
        <v>0</v>
      </c>
      <c r="AA73" s="116">
        <v>0</v>
      </c>
      <c r="AB73" s="116">
        <v>0</v>
      </c>
      <c r="AC73" s="116">
        <v>0</v>
      </c>
      <c r="AD73" s="116">
        <v>0</v>
      </c>
      <c r="AE73" s="116">
        <v>0</v>
      </c>
      <c r="AF73" s="116">
        <v>0</v>
      </c>
      <c r="AG73" s="116">
        <v>0</v>
      </c>
      <c r="AH73" s="116">
        <v>0</v>
      </c>
      <c r="AI73" s="116">
        <v>0</v>
      </c>
      <c r="AJ73" s="116">
        <v>0</v>
      </c>
      <c r="AK73" s="116">
        <v>0</v>
      </c>
      <c r="AL73" s="116">
        <v>0</v>
      </c>
      <c r="AM73" s="116">
        <v>0</v>
      </c>
      <c r="AN73" s="116">
        <v>0</v>
      </c>
      <c r="AO73" s="116">
        <v>0</v>
      </c>
      <c r="AP73" s="116">
        <v>0</v>
      </c>
      <c r="AQ73" s="116">
        <v>0</v>
      </c>
      <c r="AR73" s="116">
        <v>0</v>
      </c>
      <c r="AS73" s="116">
        <v>0</v>
      </c>
      <c r="AT73" s="116">
        <v>0</v>
      </c>
      <c r="AU73" s="116">
        <v>0</v>
      </c>
      <c r="AV73" s="116">
        <v>0</v>
      </c>
      <c r="AW73" s="116">
        <v>0</v>
      </c>
      <c r="AX73" s="116">
        <v>0</v>
      </c>
      <c r="AY73" s="116">
        <v>0</v>
      </c>
    </row>
    <row r="74" spans="1:51" x14ac:dyDescent="0.2">
      <c r="A74" s="115"/>
      <c r="B74" s="133">
        <v>30</v>
      </c>
      <c r="C74" s="115" t="s">
        <v>293</v>
      </c>
      <c r="D74" s="116">
        <v>0</v>
      </c>
      <c r="E74" s="116">
        <v>0</v>
      </c>
      <c r="F74" s="116">
        <v>0</v>
      </c>
      <c r="G74" s="116">
        <v>0</v>
      </c>
      <c r="H74" s="116">
        <v>0</v>
      </c>
      <c r="I74" s="116">
        <v>0</v>
      </c>
      <c r="J74" s="116">
        <v>0</v>
      </c>
      <c r="K74" s="116">
        <v>0</v>
      </c>
      <c r="L74" s="116">
        <v>0</v>
      </c>
      <c r="M74" s="116">
        <v>0</v>
      </c>
      <c r="N74" s="116">
        <v>0</v>
      </c>
      <c r="O74" s="116">
        <v>0</v>
      </c>
      <c r="P74" s="116">
        <v>0</v>
      </c>
      <c r="Q74" s="116">
        <v>0</v>
      </c>
      <c r="R74" s="116">
        <v>0</v>
      </c>
      <c r="S74" s="116">
        <v>0</v>
      </c>
      <c r="T74" s="116">
        <v>0</v>
      </c>
      <c r="U74" s="116">
        <v>0</v>
      </c>
      <c r="V74" s="116">
        <v>0</v>
      </c>
      <c r="W74" s="116">
        <v>0</v>
      </c>
      <c r="X74" s="116">
        <v>0</v>
      </c>
      <c r="Y74" s="116">
        <v>0</v>
      </c>
      <c r="Z74" s="116">
        <v>0</v>
      </c>
      <c r="AA74" s="116">
        <v>0</v>
      </c>
      <c r="AB74" s="116">
        <v>0</v>
      </c>
      <c r="AC74" s="116">
        <v>0</v>
      </c>
      <c r="AD74" s="116">
        <v>0</v>
      </c>
      <c r="AE74" s="116">
        <v>0</v>
      </c>
      <c r="AF74" s="116">
        <v>0</v>
      </c>
      <c r="AG74" s="116">
        <v>0</v>
      </c>
      <c r="AH74" s="116">
        <v>0</v>
      </c>
      <c r="AI74" s="116">
        <v>0</v>
      </c>
      <c r="AJ74" s="116">
        <v>0</v>
      </c>
      <c r="AK74" s="116">
        <v>0</v>
      </c>
      <c r="AL74" s="116">
        <v>0</v>
      </c>
      <c r="AM74" s="116">
        <v>0</v>
      </c>
      <c r="AN74" s="116">
        <v>0</v>
      </c>
      <c r="AO74" s="116">
        <v>0</v>
      </c>
      <c r="AP74" s="116">
        <v>0</v>
      </c>
      <c r="AQ74" s="116">
        <v>0</v>
      </c>
      <c r="AR74" s="116">
        <v>0</v>
      </c>
      <c r="AS74" s="116">
        <v>0</v>
      </c>
      <c r="AT74" s="116">
        <v>0</v>
      </c>
      <c r="AU74" s="116">
        <v>0</v>
      </c>
      <c r="AV74" s="116">
        <v>0</v>
      </c>
      <c r="AW74" s="116">
        <v>0</v>
      </c>
      <c r="AX74" s="116">
        <v>0</v>
      </c>
      <c r="AY74" s="116">
        <v>0</v>
      </c>
    </row>
    <row r="75" spans="1:51" x14ac:dyDescent="0.2">
      <c r="A75" s="115"/>
      <c r="B75" s="133">
        <v>31</v>
      </c>
      <c r="C75" s="115" t="s">
        <v>293</v>
      </c>
      <c r="D75" s="116">
        <v>0</v>
      </c>
      <c r="E75" s="116">
        <v>0</v>
      </c>
      <c r="F75" s="116">
        <v>0</v>
      </c>
      <c r="G75" s="116">
        <v>0</v>
      </c>
      <c r="H75" s="116">
        <v>0</v>
      </c>
      <c r="I75" s="116">
        <v>0</v>
      </c>
      <c r="J75" s="116">
        <v>0</v>
      </c>
      <c r="K75" s="116">
        <v>0</v>
      </c>
      <c r="L75" s="116">
        <v>0</v>
      </c>
      <c r="M75" s="116">
        <v>0</v>
      </c>
      <c r="N75" s="116">
        <v>0</v>
      </c>
      <c r="O75" s="116">
        <v>0</v>
      </c>
      <c r="P75" s="116">
        <v>0</v>
      </c>
      <c r="Q75" s="116">
        <v>0</v>
      </c>
      <c r="R75" s="116">
        <v>0</v>
      </c>
      <c r="S75" s="116">
        <v>0</v>
      </c>
      <c r="T75" s="116">
        <v>0</v>
      </c>
      <c r="U75" s="116">
        <v>0</v>
      </c>
      <c r="V75" s="116">
        <v>0</v>
      </c>
      <c r="W75" s="116">
        <v>0</v>
      </c>
      <c r="X75" s="116">
        <v>0</v>
      </c>
      <c r="Y75" s="116">
        <v>0</v>
      </c>
      <c r="Z75" s="116">
        <v>0</v>
      </c>
      <c r="AA75" s="116">
        <v>0</v>
      </c>
      <c r="AB75" s="116">
        <v>0</v>
      </c>
      <c r="AC75" s="116">
        <v>0</v>
      </c>
      <c r="AD75" s="116">
        <v>0</v>
      </c>
      <c r="AE75" s="116">
        <v>0</v>
      </c>
      <c r="AF75" s="116">
        <v>0</v>
      </c>
      <c r="AG75" s="116">
        <v>0</v>
      </c>
      <c r="AH75" s="116">
        <v>0</v>
      </c>
      <c r="AI75" s="116">
        <v>0</v>
      </c>
      <c r="AJ75" s="116">
        <v>0</v>
      </c>
      <c r="AK75" s="116">
        <v>0</v>
      </c>
      <c r="AL75" s="116">
        <v>0</v>
      </c>
      <c r="AM75" s="116">
        <v>0</v>
      </c>
      <c r="AN75" s="116">
        <v>0</v>
      </c>
      <c r="AO75" s="116">
        <v>0</v>
      </c>
      <c r="AP75" s="116">
        <v>0</v>
      </c>
      <c r="AQ75" s="116">
        <v>0</v>
      </c>
      <c r="AR75" s="116">
        <v>0</v>
      </c>
      <c r="AS75" s="116">
        <v>0</v>
      </c>
      <c r="AT75" s="116">
        <v>0</v>
      </c>
      <c r="AU75" s="116">
        <v>0</v>
      </c>
      <c r="AV75" s="116">
        <v>0</v>
      </c>
      <c r="AW75" s="116">
        <v>0</v>
      </c>
      <c r="AX75" s="116">
        <v>0</v>
      </c>
      <c r="AY75" s="116">
        <v>0</v>
      </c>
    </row>
    <row r="76" spans="1:51" x14ac:dyDescent="0.2">
      <c r="A76" s="115"/>
      <c r="B76" s="133">
        <v>32</v>
      </c>
      <c r="C76" s="115" t="s">
        <v>293</v>
      </c>
      <c r="D76" s="116">
        <v>0</v>
      </c>
      <c r="E76" s="116">
        <v>0</v>
      </c>
      <c r="F76" s="116">
        <v>0</v>
      </c>
      <c r="G76" s="116">
        <v>0</v>
      </c>
      <c r="H76" s="116">
        <v>0</v>
      </c>
      <c r="I76" s="116">
        <v>0</v>
      </c>
      <c r="J76" s="116">
        <v>0</v>
      </c>
      <c r="K76" s="116">
        <v>0</v>
      </c>
      <c r="L76" s="116">
        <v>0</v>
      </c>
      <c r="M76" s="116">
        <v>0</v>
      </c>
      <c r="N76" s="116">
        <v>0</v>
      </c>
      <c r="O76" s="116">
        <v>0</v>
      </c>
      <c r="P76" s="116">
        <v>0</v>
      </c>
      <c r="Q76" s="116">
        <v>0</v>
      </c>
      <c r="R76" s="116">
        <v>0</v>
      </c>
      <c r="S76" s="116">
        <v>0</v>
      </c>
      <c r="T76" s="116">
        <v>0</v>
      </c>
      <c r="U76" s="116">
        <v>0</v>
      </c>
      <c r="V76" s="116">
        <v>0</v>
      </c>
      <c r="W76" s="116">
        <v>0</v>
      </c>
      <c r="X76" s="116">
        <v>0</v>
      </c>
      <c r="Y76" s="116">
        <v>0</v>
      </c>
      <c r="Z76" s="116">
        <v>0</v>
      </c>
      <c r="AA76" s="116">
        <v>0</v>
      </c>
      <c r="AB76" s="116">
        <v>0</v>
      </c>
      <c r="AC76" s="116">
        <v>0</v>
      </c>
      <c r="AD76" s="116">
        <v>0</v>
      </c>
      <c r="AE76" s="116">
        <v>0</v>
      </c>
      <c r="AF76" s="116">
        <v>0</v>
      </c>
      <c r="AG76" s="116">
        <v>0</v>
      </c>
      <c r="AH76" s="116">
        <v>0</v>
      </c>
      <c r="AI76" s="116">
        <v>0</v>
      </c>
      <c r="AJ76" s="116">
        <v>0</v>
      </c>
      <c r="AK76" s="116">
        <v>0</v>
      </c>
      <c r="AL76" s="116">
        <v>0</v>
      </c>
      <c r="AM76" s="116">
        <v>0</v>
      </c>
      <c r="AN76" s="116">
        <v>0</v>
      </c>
      <c r="AO76" s="116">
        <v>0</v>
      </c>
      <c r="AP76" s="116">
        <v>0</v>
      </c>
      <c r="AQ76" s="116">
        <v>0</v>
      </c>
      <c r="AR76" s="116">
        <v>0</v>
      </c>
      <c r="AS76" s="116">
        <v>0</v>
      </c>
      <c r="AT76" s="116">
        <v>0</v>
      </c>
      <c r="AU76" s="116">
        <v>0</v>
      </c>
      <c r="AV76" s="116">
        <v>0</v>
      </c>
      <c r="AW76" s="116">
        <v>0</v>
      </c>
      <c r="AX76" s="116">
        <v>0</v>
      </c>
      <c r="AY76" s="116">
        <v>0</v>
      </c>
    </row>
    <row r="77" spans="1:51" x14ac:dyDescent="0.2">
      <c r="A77" s="115"/>
      <c r="B77" s="133">
        <v>33</v>
      </c>
      <c r="C77" s="115" t="s">
        <v>293</v>
      </c>
      <c r="D77" s="116">
        <v>0</v>
      </c>
      <c r="E77" s="116">
        <v>0</v>
      </c>
      <c r="F77" s="116">
        <v>0</v>
      </c>
      <c r="G77" s="116">
        <v>0</v>
      </c>
      <c r="H77" s="116">
        <v>0</v>
      </c>
      <c r="I77" s="116">
        <v>0</v>
      </c>
      <c r="J77" s="116">
        <v>0</v>
      </c>
      <c r="K77" s="116">
        <v>0</v>
      </c>
      <c r="L77" s="116">
        <v>0</v>
      </c>
      <c r="M77" s="116">
        <v>0</v>
      </c>
      <c r="N77" s="116">
        <v>0</v>
      </c>
      <c r="O77" s="116">
        <v>0</v>
      </c>
      <c r="P77" s="116">
        <v>0</v>
      </c>
      <c r="Q77" s="116">
        <v>0</v>
      </c>
      <c r="R77" s="116">
        <v>0</v>
      </c>
      <c r="S77" s="116">
        <v>0</v>
      </c>
      <c r="T77" s="116">
        <v>0</v>
      </c>
      <c r="U77" s="116">
        <v>0</v>
      </c>
      <c r="V77" s="116">
        <v>0</v>
      </c>
      <c r="W77" s="116">
        <v>0</v>
      </c>
      <c r="X77" s="116">
        <v>0</v>
      </c>
      <c r="Y77" s="116">
        <v>0</v>
      </c>
      <c r="Z77" s="116">
        <v>0</v>
      </c>
      <c r="AA77" s="116">
        <v>0</v>
      </c>
      <c r="AB77" s="116">
        <v>0</v>
      </c>
      <c r="AC77" s="116">
        <v>0</v>
      </c>
      <c r="AD77" s="116">
        <v>0</v>
      </c>
      <c r="AE77" s="116">
        <v>0</v>
      </c>
      <c r="AF77" s="116">
        <v>0</v>
      </c>
      <c r="AG77" s="116">
        <v>0</v>
      </c>
      <c r="AH77" s="116">
        <v>0</v>
      </c>
      <c r="AI77" s="116">
        <v>0</v>
      </c>
      <c r="AJ77" s="116">
        <v>0</v>
      </c>
      <c r="AK77" s="116">
        <v>0</v>
      </c>
      <c r="AL77" s="116">
        <v>0</v>
      </c>
      <c r="AM77" s="116">
        <v>0</v>
      </c>
      <c r="AN77" s="116">
        <v>0</v>
      </c>
      <c r="AO77" s="116">
        <v>0</v>
      </c>
      <c r="AP77" s="116">
        <v>0</v>
      </c>
      <c r="AQ77" s="116">
        <v>0</v>
      </c>
      <c r="AR77" s="116">
        <v>0</v>
      </c>
      <c r="AS77" s="116">
        <v>0</v>
      </c>
      <c r="AT77" s="116">
        <v>0</v>
      </c>
      <c r="AU77" s="116">
        <v>0</v>
      </c>
      <c r="AV77" s="116">
        <v>0</v>
      </c>
      <c r="AW77" s="116">
        <v>0</v>
      </c>
      <c r="AX77" s="116">
        <v>0</v>
      </c>
      <c r="AY77" s="116">
        <v>0</v>
      </c>
    </row>
    <row r="78" spans="1:51" x14ac:dyDescent="0.2">
      <c r="A78" s="115"/>
      <c r="B78" s="133">
        <v>34</v>
      </c>
      <c r="C78" s="115" t="s">
        <v>293</v>
      </c>
      <c r="D78" s="116">
        <v>0</v>
      </c>
      <c r="E78" s="116">
        <v>0</v>
      </c>
      <c r="F78" s="116">
        <v>0</v>
      </c>
      <c r="G78" s="116">
        <v>0</v>
      </c>
      <c r="H78" s="116">
        <v>0</v>
      </c>
      <c r="I78" s="116">
        <v>0</v>
      </c>
      <c r="J78" s="116">
        <v>0</v>
      </c>
      <c r="K78" s="116">
        <v>0</v>
      </c>
      <c r="L78" s="116">
        <v>0</v>
      </c>
      <c r="M78" s="116">
        <v>0</v>
      </c>
      <c r="N78" s="116">
        <v>0</v>
      </c>
      <c r="O78" s="116">
        <v>0</v>
      </c>
      <c r="P78" s="116">
        <v>0</v>
      </c>
      <c r="Q78" s="116">
        <v>0</v>
      </c>
      <c r="R78" s="116">
        <v>0</v>
      </c>
      <c r="S78" s="116">
        <v>0</v>
      </c>
      <c r="T78" s="116">
        <v>0</v>
      </c>
      <c r="U78" s="116">
        <v>0</v>
      </c>
      <c r="V78" s="116">
        <v>0</v>
      </c>
      <c r="W78" s="116">
        <v>0</v>
      </c>
      <c r="X78" s="116">
        <v>0</v>
      </c>
      <c r="Y78" s="116">
        <v>0</v>
      </c>
      <c r="Z78" s="116">
        <v>0</v>
      </c>
      <c r="AA78" s="116">
        <v>0</v>
      </c>
      <c r="AB78" s="116">
        <v>0</v>
      </c>
      <c r="AC78" s="116">
        <v>0</v>
      </c>
      <c r="AD78" s="116">
        <v>0</v>
      </c>
      <c r="AE78" s="116">
        <v>0</v>
      </c>
      <c r="AF78" s="116">
        <v>0</v>
      </c>
      <c r="AG78" s="116">
        <v>0</v>
      </c>
      <c r="AH78" s="116">
        <v>0</v>
      </c>
      <c r="AI78" s="116">
        <v>0</v>
      </c>
      <c r="AJ78" s="116">
        <v>0</v>
      </c>
      <c r="AK78" s="116">
        <v>0</v>
      </c>
      <c r="AL78" s="116">
        <v>0</v>
      </c>
      <c r="AM78" s="116">
        <v>0</v>
      </c>
      <c r="AN78" s="116">
        <v>0</v>
      </c>
      <c r="AO78" s="116">
        <v>0</v>
      </c>
      <c r="AP78" s="116">
        <v>0</v>
      </c>
      <c r="AQ78" s="116">
        <v>0</v>
      </c>
      <c r="AR78" s="116">
        <v>0</v>
      </c>
      <c r="AS78" s="116">
        <v>0</v>
      </c>
      <c r="AT78" s="116">
        <v>0</v>
      </c>
      <c r="AU78" s="116">
        <v>0</v>
      </c>
      <c r="AV78" s="116">
        <v>0</v>
      </c>
      <c r="AW78" s="116">
        <v>0</v>
      </c>
      <c r="AX78" s="116">
        <v>0</v>
      </c>
      <c r="AY78" s="116">
        <v>0</v>
      </c>
    </row>
    <row r="79" spans="1:51" x14ac:dyDescent="0.2">
      <c r="A79" s="115"/>
      <c r="B79" s="133">
        <v>35</v>
      </c>
      <c r="C79" s="115" t="s">
        <v>293</v>
      </c>
      <c r="D79" s="116">
        <v>0</v>
      </c>
      <c r="E79" s="116">
        <v>0</v>
      </c>
      <c r="F79" s="116">
        <v>0</v>
      </c>
      <c r="G79" s="116">
        <v>0</v>
      </c>
      <c r="H79" s="116">
        <v>0</v>
      </c>
      <c r="I79" s="116">
        <v>0</v>
      </c>
      <c r="J79" s="116">
        <v>0</v>
      </c>
      <c r="K79" s="116">
        <v>0</v>
      </c>
      <c r="L79" s="116">
        <v>0</v>
      </c>
      <c r="M79" s="116">
        <v>0</v>
      </c>
      <c r="N79" s="116">
        <v>0</v>
      </c>
      <c r="O79" s="116">
        <v>0</v>
      </c>
      <c r="P79" s="116">
        <v>0</v>
      </c>
      <c r="Q79" s="116">
        <v>0</v>
      </c>
      <c r="R79" s="116">
        <v>0</v>
      </c>
      <c r="S79" s="116">
        <v>0</v>
      </c>
      <c r="T79" s="116">
        <v>0</v>
      </c>
      <c r="U79" s="116">
        <v>0</v>
      </c>
      <c r="V79" s="116">
        <v>0</v>
      </c>
      <c r="W79" s="116">
        <v>0</v>
      </c>
      <c r="X79" s="116">
        <v>0</v>
      </c>
      <c r="Y79" s="116">
        <v>0</v>
      </c>
      <c r="Z79" s="116">
        <v>0</v>
      </c>
      <c r="AA79" s="116">
        <v>0</v>
      </c>
      <c r="AB79" s="116">
        <v>0</v>
      </c>
      <c r="AC79" s="116">
        <v>0</v>
      </c>
      <c r="AD79" s="116">
        <v>0</v>
      </c>
      <c r="AE79" s="116">
        <v>0</v>
      </c>
      <c r="AF79" s="116">
        <v>0</v>
      </c>
      <c r="AG79" s="116">
        <v>0</v>
      </c>
      <c r="AH79" s="116">
        <v>0</v>
      </c>
      <c r="AI79" s="116">
        <v>0</v>
      </c>
      <c r="AJ79" s="116">
        <v>0</v>
      </c>
      <c r="AK79" s="116">
        <v>0</v>
      </c>
      <c r="AL79" s="116">
        <v>0</v>
      </c>
      <c r="AM79" s="116">
        <v>0</v>
      </c>
      <c r="AN79" s="116">
        <v>0</v>
      </c>
      <c r="AO79" s="116">
        <v>0</v>
      </c>
      <c r="AP79" s="116">
        <v>0</v>
      </c>
      <c r="AQ79" s="116">
        <v>0</v>
      </c>
      <c r="AR79" s="116">
        <v>0</v>
      </c>
      <c r="AS79" s="116">
        <v>0</v>
      </c>
      <c r="AT79" s="116">
        <v>0</v>
      </c>
      <c r="AU79" s="116">
        <v>0</v>
      </c>
      <c r="AV79" s="116">
        <v>0</v>
      </c>
      <c r="AW79" s="116">
        <v>0</v>
      </c>
      <c r="AX79" s="116">
        <v>0</v>
      </c>
      <c r="AY79" s="116">
        <v>0</v>
      </c>
    </row>
    <row r="80" spans="1:51" x14ac:dyDescent="0.2">
      <c r="A80" s="115"/>
      <c r="B80" s="133">
        <v>36</v>
      </c>
      <c r="C80" s="115" t="s">
        <v>293</v>
      </c>
      <c r="D80" s="116">
        <v>0</v>
      </c>
      <c r="E80" s="116">
        <v>0</v>
      </c>
      <c r="F80" s="116">
        <v>0</v>
      </c>
      <c r="G80" s="116">
        <v>0</v>
      </c>
      <c r="H80" s="116">
        <v>0</v>
      </c>
      <c r="I80" s="116">
        <v>0</v>
      </c>
      <c r="J80" s="116">
        <v>0</v>
      </c>
      <c r="K80" s="116">
        <v>0</v>
      </c>
      <c r="L80" s="116">
        <v>0</v>
      </c>
      <c r="M80" s="116">
        <v>0</v>
      </c>
      <c r="N80" s="116">
        <v>0</v>
      </c>
      <c r="O80" s="116">
        <v>0</v>
      </c>
      <c r="P80" s="116">
        <v>0</v>
      </c>
      <c r="Q80" s="116">
        <v>0</v>
      </c>
      <c r="R80" s="116">
        <v>0</v>
      </c>
      <c r="S80" s="116">
        <v>0</v>
      </c>
      <c r="T80" s="116">
        <v>0</v>
      </c>
      <c r="U80" s="116">
        <v>0</v>
      </c>
      <c r="V80" s="116">
        <v>0</v>
      </c>
      <c r="W80" s="116">
        <v>0</v>
      </c>
      <c r="X80" s="116">
        <v>0</v>
      </c>
      <c r="Y80" s="116">
        <v>0</v>
      </c>
      <c r="Z80" s="116">
        <v>0</v>
      </c>
      <c r="AA80" s="116">
        <v>0</v>
      </c>
      <c r="AB80" s="116">
        <v>0</v>
      </c>
      <c r="AC80" s="116">
        <v>0</v>
      </c>
      <c r="AD80" s="116">
        <v>0</v>
      </c>
      <c r="AE80" s="116">
        <v>0</v>
      </c>
      <c r="AF80" s="116">
        <v>0</v>
      </c>
      <c r="AG80" s="116">
        <v>0</v>
      </c>
      <c r="AH80" s="116">
        <v>0</v>
      </c>
      <c r="AI80" s="116">
        <v>0</v>
      </c>
      <c r="AJ80" s="116">
        <v>0</v>
      </c>
      <c r="AK80" s="116">
        <v>0</v>
      </c>
      <c r="AL80" s="116">
        <v>0</v>
      </c>
      <c r="AM80" s="116">
        <v>0</v>
      </c>
      <c r="AN80" s="116">
        <v>0</v>
      </c>
      <c r="AO80" s="116">
        <v>0</v>
      </c>
      <c r="AP80" s="116">
        <v>0</v>
      </c>
      <c r="AQ80" s="116">
        <v>0</v>
      </c>
      <c r="AR80" s="116">
        <v>0</v>
      </c>
      <c r="AS80" s="116">
        <v>0</v>
      </c>
      <c r="AT80" s="116">
        <v>0</v>
      </c>
      <c r="AU80" s="116">
        <v>0</v>
      </c>
      <c r="AV80" s="116">
        <v>0</v>
      </c>
      <c r="AW80" s="116">
        <v>0</v>
      </c>
      <c r="AX80" s="116">
        <v>0</v>
      </c>
      <c r="AY80" s="116">
        <v>0</v>
      </c>
    </row>
    <row r="81" spans="1:52" x14ac:dyDescent="0.2">
      <c r="A81" s="115"/>
      <c r="B81" s="136">
        <v>37</v>
      </c>
      <c r="C81" s="115" t="s">
        <v>293</v>
      </c>
      <c r="D81" s="116">
        <v>0</v>
      </c>
      <c r="E81" s="116">
        <v>0</v>
      </c>
      <c r="F81" s="116">
        <v>0</v>
      </c>
      <c r="G81" s="116">
        <v>0</v>
      </c>
      <c r="H81" s="116">
        <v>0</v>
      </c>
      <c r="I81" s="116">
        <v>0</v>
      </c>
      <c r="J81" s="116">
        <v>0</v>
      </c>
      <c r="K81" s="116">
        <v>0</v>
      </c>
      <c r="L81" s="116">
        <v>0</v>
      </c>
      <c r="M81" s="116">
        <v>0</v>
      </c>
      <c r="N81" s="116">
        <v>0</v>
      </c>
      <c r="O81" s="116">
        <v>0</v>
      </c>
      <c r="P81" s="116">
        <v>0</v>
      </c>
      <c r="Q81" s="116">
        <v>0</v>
      </c>
      <c r="R81" s="116">
        <v>0</v>
      </c>
      <c r="S81" s="116">
        <v>0</v>
      </c>
      <c r="T81" s="116">
        <v>0</v>
      </c>
      <c r="U81" s="116">
        <v>0</v>
      </c>
      <c r="V81" s="116">
        <v>0</v>
      </c>
      <c r="W81" s="116">
        <v>0</v>
      </c>
      <c r="X81" s="116">
        <v>0</v>
      </c>
      <c r="Y81" s="116">
        <v>0</v>
      </c>
      <c r="Z81" s="116">
        <v>0</v>
      </c>
      <c r="AA81" s="116">
        <v>0</v>
      </c>
      <c r="AB81" s="116">
        <v>0</v>
      </c>
      <c r="AC81" s="116">
        <v>0</v>
      </c>
      <c r="AD81" s="116">
        <v>0</v>
      </c>
      <c r="AE81" s="116">
        <v>0</v>
      </c>
      <c r="AF81" s="116">
        <v>0</v>
      </c>
      <c r="AG81" s="116">
        <v>0</v>
      </c>
      <c r="AH81" s="116">
        <v>0</v>
      </c>
      <c r="AI81" s="116">
        <v>0</v>
      </c>
      <c r="AJ81" s="116">
        <v>0</v>
      </c>
      <c r="AK81" s="116">
        <v>0</v>
      </c>
      <c r="AL81" s="116">
        <v>0</v>
      </c>
      <c r="AM81" s="116">
        <v>0</v>
      </c>
      <c r="AN81" s="116">
        <v>0</v>
      </c>
      <c r="AO81" s="116">
        <v>0</v>
      </c>
      <c r="AP81" s="116">
        <v>0</v>
      </c>
      <c r="AQ81" s="116">
        <v>0</v>
      </c>
      <c r="AR81" s="116">
        <v>0</v>
      </c>
      <c r="AS81" s="116">
        <v>0</v>
      </c>
      <c r="AT81" s="116">
        <v>0</v>
      </c>
      <c r="AU81" s="116">
        <v>0</v>
      </c>
      <c r="AV81" s="116">
        <v>0</v>
      </c>
      <c r="AW81" s="116">
        <v>0</v>
      </c>
      <c r="AX81" s="116">
        <v>0</v>
      </c>
      <c r="AY81" s="116">
        <v>0</v>
      </c>
    </row>
    <row r="82" spans="1:52" x14ac:dyDescent="0.2">
      <c r="A82" s="115"/>
      <c r="B82" s="136">
        <v>38</v>
      </c>
      <c r="C82" s="115" t="s">
        <v>293</v>
      </c>
      <c r="D82" s="116">
        <v>0</v>
      </c>
      <c r="E82" s="116">
        <v>0</v>
      </c>
      <c r="F82" s="116">
        <v>0</v>
      </c>
      <c r="G82" s="116">
        <v>0</v>
      </c>
      <c r="H82" s="116">
        <v>0</v>
      </c>
      <c r="I82" s="116">
        <v>0</v>
      </c>
      <c r="J82" s="116">
        <v>0</v>
      </c>
      <c r="K82" s="116">
        <v>0</v>
      </c>
      <c r="L82" s="116">
        <v>0</v>
      </c>
      <c r="M82" s="116">
        <v>0</v>
      </c>
      <c r="N82" s="116">
        <v>0</v>
      </c>
      <c r="O82" s="116">
        <v>0</v>
      </c>
      <c r="P82" s="116">
        <v>0</v>
      </c>
      <c r="Q82" s="116">
        <v>0</v>
      </c>
      <c r="R82" s="116">
        <v>0</v>
      </c>
      <c r="S82" s="116">
        <v>0</v>
      </c>
      <c r="T82" s="116">
        <v>0</v>
      </c>
      <c r="U82" s="116">
        <v>0</v>
      </c>
      <c r="V82" s="116">
        <v>0</v>
      </c>
      <c r="W82" s="116">
        <v>0</v>
      </c>
      <c r="X82" s="116">
        <v>0</v>
      </c>
      <c r="Y82" s="116">
        <v>0</v>
      </c>
      <c r="Z82" s="116">
        <v>0</v>
      </c>
      <c r="AA82" s="116">
        <v>0</v>
      </c>
      <c r="AB82" s="116">
        <v>0</v>
      </c>
      <c r="AC82" s="116">
        <v>0</v>
      </c>
      <c r="AD82" s="116">
        <v>0</v>
      </c>
      <c r="AE82" s="116">
        <v>0</v>
      </c>
      <c r="AF82" s="116">
        <v>0</v>
      </c>
      <c r="AG82" s="116">
        <v>0</v>
      </c>
      <c r="AH82" s="116">
        <v>0</v>
      </c>
      <c r="AI82" s="116">
        <v>0</v>
      </c>
      <c r="AJ82" s="116">
        <v>0</v>
      </c>
      <c r="AK82" s="116">
        <v>0</v>
      </c>
      <c r="AL82" s="116">
        <v>0</v>
      </c>
      <c r="AM82" s="116">
        <v>0</v>
      </c>
      <c r="AN82" s="116">
        <v>0</v>
      </c>
      <c r="AO82" s="116">
        <v>0</v>
      </c>
      <c r="AP82" s="116">
        <v>0</v>
      </c>
      <c r="AQ82" s="116">
        <v>0</v>
      </c>
      <c r="AR82" s="116">
        <v>0</v>
      </c>
      <c r="AS82" s="116">
        <v>0</v>
      </c>
      <c r="AT82" s="116">
        <v>0</v>
      </c>
      <c r="AU82" s="116">
        <v>0</v>
      </c>
      <c r="AV82" s="116">
        <v>0</v>
      </c>
      <c r="AW82" s="116">
        <v>0</v>
      </c>
      <c r="AX82" s="116">
        <v>0</v>
      </c>
      <c r="AY82" s="116">
        <v>0</v>
      </c>
    </row>
    <row r="83" spans="1:52" x14ac:dyDescent="0.2">
      <c r="A83" s="115"/>
      <c r="B83" s="136">
        <v>39</v>
      </c>
      <c r="C83" s="115" t="s">
        <v>293</v>
      </c>
      <c r="D83" s="116">
        <v>0</v>
      </c>
      <c r="E83" s="116">
        <v>0</v>
      </c>
      <c r="F83" s="116">
        <v>0</v>
      </c>
      <c r="G83" s="116">
        <v>0</v>
      </c>
      <c r="H83" s="116">
        <v>0</v>
      </c>
      <c r="I83" s="116">
        <v>0</v>
      </c>
      <c r="J83" s="116">
        <v>0</v>
      </c>
      <c r="K83" s="116">
        <v>0</v>
      </c>
      <c r="L83" s="116">
        <v>0</v>
      </c>
      <c r="M83" s="116">
        <v>0</v>
      </c>
      <c r="N83" s="116">
        <v>0</v>
      </c>
      <c r="O83" s="116">
        <v>0</v>
      </c>
      <c r="P83" s="116">
        <v>0</v>
      </c>
      <c r="Q83" s="116">
        <v>0</v>
      </c>
      <c r="R83" s="116">
        <v>0</v>
      </c>
      <c r="S83" s="116">
        <v>0</v>
      </c>
      <c r="T83" s="116">
        <v>0</v>
      </c>
      <c r="U83" s="116">
        <v>0</v>
      </c>
      <c r="V83" s="116">
        <v>0</v>
      </c>
      <c r="W83" s="116">
        <v>0</v>
      </c>
      <c r="X83" s="116">
        <v>0</v>
      </c>
      <c r="Y83" s="116">
        <v>0</v>
      </c>
      <c r="Z83" s="116">
        <v>0</v>
      </c>
      <c r="AA83" s="116">
        <v>0</v>
      </c>
      <c r="AB83" s="116">
        <v>0</v>
      </c>
      <c r="AC83" s="116">
        <v>0</v>
      </c>
      <c r="AD83" s="116">
        <v>0</v>
      </c>
      <c r="AE83" s="116">
        <v>0</v>
      </c>
      <c r="AF83" s="116">
        <v>0</v>
      </c>
      <c r="AG83" s="116">
        <v>0</v>
      </c>
      <c r="AH83" s="116">
        <v>0</v>
      </c>
      <c r="AI83" s="116">
        <v>0</v>
      </c>
      <c r="AJ83" s="116">
        <v>0</v>
      </c>
      <c r="AK83" s="116">
        <v>0</v>
      </c>
      <c r="AL83" s="116">
        <v>0</v>
      </c>
      <c r="AM83" s="116">
        <v>0</v>
      </c>
      <c r="AN83" s="116">
        <v>0</v>
      </c>
      <c r="AO83" s="116">
        <v>0</v>
      </c>
      <c r="AP83" s="116">
        <v>0</v>
      </c>
      <c r="AQ83" s="116">
        <v>0</v>
      </c>
      <c r="AR83" s="116">
        <v>0</v>
      </c>
      <c r="AS83" s="116">
        <v>0</v>
      </c>
      <c r="AT83" s="116">
        <v>0</v>
      </c>
      <c r="AU83" s="116">
        <v>0</v>
      </c>
      <c r="AV83" s="116">
        <v>0</v>
      </c>
      <c r="AW83" s="116">
        <v>0</v>
      </c>
      <c r="AX83" s="116">
        <v>0</v>
      </c>
      <c r="AY83" s="116">
        <v>0</v>
      </c>
    </row>
    <row r="84" spans="1:52" x14ac:dyDescent="0.2">
      <c r="A84" s="115"/>
      <c r="B84" s="136">
        <v>40</v>
      </c>
      <c r="C84" s="115" t="s">
        <v>293</v>
      </c>
      <c r="D84" s="116">
        <v>0</v>
      </c>
      <c r="E84" s="116">
        <v>0</v>
      </c>
      <c r="F84" s="116">
        <v>0</v>
      </c>
      <c r="G84" s="116">
        <v>0</v>
      </c>
      <c r="H84" s="116">
        <v>0</v>
      </c>
      <c r="I84" s="116">
        <v>0</v>
      </c>
      <c r="J84" s="116">
        <v>0</v>
      </c>
      <c r="K84" s="116">
        <v>0</v>
      </c>
      <c r="L84" s="116">
        <v>0</v>
      </c>
      <c r="M84" s="116">
        <v>0</v>
      </c>
      <c r="N84" s="116">
        <v>0</v>
      </c>
      <c r="O84" s="116">
        <v>0</v>
      </c>
      <c r="P84" s="116">
        <v>0</v>
      </c>
      <c r="Q84" s="116">
        <v>0</v>
      </c>
      <c r="R84" s="116">
        <v>0</v>
      </c>
      <c r="S84" s="116">
        <v>0</v>
      </c>
      <c r="T84" s="116">
        <v>0</v>
      </c>
      <c r="U84" s="116">
        <v>0</v>
      </c>
      <c r="V84" s="116">
        <v>0</v>
      </c>
      <c r="W84" s="116">
        <v>0</v>
      </c>
      <c r="X84" s="116">
        <v>0</v>
      </c>
      <c r="Y84" s="116">
        <v>0</v>
      </c>
      <c r="Z84" s="116">
        <v>0</v>
      </c>
      <c r="AA84" s="116">
        <v>0</v>
      </c>
      <c r="AB84" s="116">
        <v>0</v>
      </c>
      <c r="AC84" s="116">
        <v>0</v>
      </c>
      <c r="AD84" s="116">
        <v>0</v>
      </c>
      <c r="AE84" s="116">
        <v>0</v>
      </c>
      <c r="AF84" s="116">
        <v>0</v>
      </c>
      <c r="AG84" s="116">
        <v>0</v>
      </c>
      <c r="AH84" s="116">
        <v>0</v>
      </c>
      <c r="AI84" s="116">
        <v>0</v>
      </c>
      <c r="AJ84" s="116">
        <v>0</v>
      </c>
      <c r="AK84" s="116">
        <v>0</v>
      </c>
      <c r="AL84" s="116">
        <v>0</v>
      </c>
      <c r="AM84" s="116">
        <v>0</v>
      </c>
      <c r="AN84" s="116">
        <v>0</v>
      </c>
      <c r="AO84" s="116">
        <v>0</v>
      </c>
      <c r="AP84" s="116">
        <v>0</v>
      </c>
      <c r="AQ84" s="116">
        <v>0</v>
      </c>
      <c r="AR84" s="116">
        <v>0</v>
      </c>
      <c r="AS84" s="116">
        <v>0</v>
      </c>
      <c r="AT84" s="116">
        <v>0</v>
      </c>
      <c r="AU84" s="116">
        <v>0</v>
      </c>
      <c r="AV84" s="116">
        <v>0</v>
      </c>
      <c r="AW84" s="116">
        <v>0</v>
      </c>
      <c r="AX84" s="116">
        <v>0</v>
      </c>
      <c r="AY84" s="116">
        <v>0</v>
      </c>
    </row>
    <row r="85" spans="1:52" x14ac:dyDescent="0.2">
      <c r="A85" s="115"/>
      <c r="B85" s="136">
        <v>41</v>
      </c>
      <c r="C85" s="115" t="s">
        <v>293</v>
      </c>
      <c r="D85" s="116">
        <v>0</v>
      </c>
      <c r="E85" s="116">
        <v>0</v>
      </c>
      <c r="F85" s="116">
        <v>0</v>
      </c>
      <c r="G85" s="116">
        <v>0</v>
      </c>
      <c r="H85" s="116">
        <v>0</v>
      </c>
      <c r="I85" s="116">
        <v>0</v>
      </c>
      <c r="J85" s="116">
        <v>0</v>
      </c>
      <c r="K85" s="116">
        <v>0</v>
      </c>
      <c r="L85" s="116">
        <v>0</v>
      </c>
      <c r="M85" s="116">
        <v>0</v>
      </c>
      <c r="N85" s="116">
        <v>0</v>
      </c>
      <c r="O85" s="116">
        <v>0</v>
      </c>
      <c r="P85" s="116">
        <v>0</v>
      </c>
      <c r="Q85" s="116">
        <v>0</v>
      </c>
      <c r="R85" s="116">
        <v>0</v>
      </c>
      <c r="S85" s="116">
        <v>0</v>
      </c>
      <c r="T85" s="116">
        <v>0</v>
      </c>
      <c r="U85" s="116">
        <v>0</v>
      </c>
      <c r="V85" s="116">
        <v>0</v>
      </c>
      <c r="W85" s="116">
        <v>0</v>
      </c>
      <c r="X85" s="116">
        <v>0</v>
      </c>
      <c r="Y85" s="116">
        <v>0</v>
      </c>
      <c r="Z85" s="116">
        <v>0</v>
      </c>
      <c r="AA85" s="116">
        <v>0</v>
      </c>
      <c r="AB85" s="116">
        <v>0</v>
      </c>
      <c r="AC85" s="116">
        <v>0</v>
      </c>
      <c r="AD85" s="116">
        <v>0</v>
      </c>
      <c r="AE85" s="116">
        <v>0</v>
      </c>
      <c r="AF85" s="116">
        <v>0</v>
      </c>
      <c r="AG85" s="116">
        <v>0</v>
      </c>
      <c r="AH85" s="116">
        <v>0</v>
      </c>
      <c r="AI85" s="116">
        <v>0</v>
      </c>
      <c r="AJ85" s="116">
        <v>0</v>
      </c>
      <c r="AK85" s="116">
        <v>0</v>
      </c>
      <c r="AL85" s="116">
        <v>0</v>
      </c>
      <c r="AM85" s="116">
        <v>0</v>
      </c>
      <c r="AN85" s="116">
        <v>0</v>
      </c>
      <c r="AO85" s="116">
        <v>0</v>
      </c>
      <c r="AP85" s="116">
        <v>0</v>
      </c>
      <c r="AQ85" s="116">
        <v>0</v>
      </c>
      <c r="AR85" s="116">
        <v>0</v>
      </c>
      <c r="AS85" s="116">
        <v>0</v>
      </c>
      <c r="AT85" s="116">
        <v>0</v>
      </c>
      <c r="AU85" s="116">
        <v>0</v>
      </c>
      <c r="AV85" s="116">
        <v>0</v>
      </c>
      <c r="AW85" s="116">
        <v>0</v>
      </c>
      <c r="AX85" s="116">
        <v>0</v>
      </c>
      <c r="AY85" s="116">
        <v>0</v>
      </c>
    </row>
    <row r="86" spans="1:52" x14ac:dyDescent="0.2">
      <c r="A86" s="115"/>
      <c r="B86" s="136">
        <v>42</v>
      </c>
      <c r="C86" s="115" t="s">
        <v>293</v>
      </c>
      <c r="D86" s="116">
        <v>0</v>
      </c>
      <c r="E86" s="116">
        <v>0</v>
      </c>
      <c r="F86" s="116">
        <v>0</v>
      </c>
      <c r="G86" s="116">
        <v>0</v>
      </c>
      <c r="H86" s="116">
        <v>0</v>
      </c>
      <c r="I86" s="116">
        <v>0</v>
      </c>
      <c r="J86" s="116">
        <v>0</v>
      </c>
      <c r="K86" s="116">
        <v>0</v>
      </c>
      <c r="L86" s="116">
        <v>0</v>
      </c>
      <c r="M86" s="116">
        <v>0</v>
      </c>
      <c r="N86" s="116">
        <v>0</v>
      </c>
      <c r="O86" s="116">
        <v>0</v>
      </c>
      <c r="P86" s="116">
        <v>0</v>
      </c>
      <c r="Q86" s="116">
        <v>0</v>
      </c>
      <c r="R86" s="116">
        <v>0</v>
      </c>
      <c r="S86" s="116">
        <v>0</v>
      </c>
      <c r="T86" s="116">
        <v>0</v>
      </c>
      <c r="U86" s="116">
        <v>0</v>
      </c>
      <c r="V86" s="116">
        <v>0</v>
      </c>
      <c r="W86" s="116">
        <v>0</v>
      </c>
      <c r="X86" s="116">
        <v>0</v>
      </c>
      <c r="Y86" s="116">
        <v>0</v>
      </c>
      <c r="Z86" s="116">
        <v>0</v>
      </c>
      <c r="AA86" s="116">
        <v>0</v>
      </c>
      <c r="AB86" s="116">
        <v>0</v>
      </c>
      <c r="AC86" s="116">
        <v>0</v>
      </c>
      <c r="AD86" s="116">
        <v>0</v>
      </c>
      <c r="AE86" s="116">
        <v>0</v>
      </c>
      <c r="AF86" s="116">
        <v>0</v>
      </c>
      <c r="AG86" s="116">
        <v>0</v>
      </c>
      <c r="AH86" s="116">
        <v>0</v>
      </c>
      <c r="AI86" s="116">
        <v>0</v>
      </c>
      <c r="AJ86" s="116">
        <v>0</v>
      </c>
      <c r="AK86" s="116">
        <v>0</v>
      </c>
      <c r="AL86" s="116">
        <v>0</v>
      </c>
      <c r="AM86" s="116">
        <v>0</v>
      </c>
      <c r="AN86" s="116">
        <v>0</v>
      </c>
      <c r="AO86" s="116">
        <v>0</v>
      </c>
      <c r="AP86" s="116">
        <v>0</v>
      </c>
      <c r="AQ86" s="116">
        <v>0</v>
      </c>
      <c r="AR86" s="116">
        <v>0</v>
      </c>
      <c r="AS86" s="116">
        <v>0</v>
      </c>
      <c r="AT86" s="116">
        <v>0</v>
      </c>
      <c r="AU86" s="116">
        <v>0</v>
      </c>
      <c r="AV86" s="116">
        <v>0</v>
      </c>
      <c r="AW86" s="116">
        <v>0</v>
      </c>
      <c r="AX86" s="116">
        <v>0</v>
      </c>
      <c r="AY86" s="116">
        <v>0</v>
      </c>
    </row>
    <row r="87" spans="1:52" x14ac:dyDescent="0.2">
      <c r="A87" s="115"/>
      <c r="B87" s="136">
        <v>43</v>
      </c>
      <c r="C87" s="115" t="s">
        <v>293</v>
      </c>
      <c r="D87" s="116">
        <v>0</v>
      </c>
      <c r="E87" s="116">
        <v>0</v>
      </c>
      <c r="F87" s="116">
        <v>0</v>
      </c>
      <c r="G87" s="116">
        <v>0</v>
      </c>
      <c r="H87" s="116">
        <v>0</v>
      </c>
      <c r="I87" s="116">
        <v>0</v>
      </c>
      <c r="J87" s="116">
        <v>0</v>
      </c>
      <c r="K87" s="116">
        <v>0</v>
      </c>
      <c r="L87" s="116">
        <v>0</v>
      </c>
      <c r="M87" s="116">
        <v>0</v>
      </c>
      <c r="N87" s="116">
        <v>0</v>
      </c>
      <c r="O87" s="116">
        <v>0</v>
      </c>
      <c r="P87" s="116">
        <v>0</v>
      </c>
      <c r="Q87" s="116">
        <v>0</v>
      </c>
      <c r="R87" s="116">
        <v>0</v>
      </c>
      <c r="S87" s="116">
        <v>0</v>
      </c>
      <c r="T87" s="116">
        <v>0</v>
      </c>
      <c r="U87" s="116">
        <v>0</v>
      </c>
      <c r="V87" s="116">
        <v>0</v>
      </c>
      <c r="W87" s="116">
        <v>0</v>
      </c>
      <c r="X87" s="116">
        <v>0</v>
      </c>
      <c r="Y87" s="116">
        <v>0</v>
      </c>
      <c r="Z87" s="116">
        <v>0</v>
      </c>
      <c r="AA87" s="116">
        <v>0</v>
      </c>
      <c r="AB87" s="116">
        <v>0</v>
      </c>
      <c r="AC87" s="116">
        <v>0</v>
      </c>
      <c r="AD87" s="116">
        <v>0</v>
      </c>
      <c r="AE87" s="116">
        <v>0</v>
      </c>
      <c r="AF87" s="116">
        <v>0</v>
      </c>
      <c r="AG87" s="116">
        <v>0</v>
      </c>
      <c r="AH87" s="116">
        <v>0</v>
      </c>
      <c r="AI87" s="116">
        <v>0</v>
      </c>
      <c r="AJ87" s="116">
        <v>0</v>
      </c>
      <c r="AK87" s="116">
        <v>0</v>
      </c>
      <c r="AL87" s="116">
        <v>0</v>
      </c>
      <c r="AM87" s="116">
        <v>0</v>
      </c>
      <c r="AN87" s="116">
        <v>0</v>
      </c>
      <c r="AO87" s="116">
        <v>0</v>
      </c>
      <c r="AP87" s="116">
        <v>0</v>
      </c>
      <c r="AQ87" s="116">
        <v>0</v>
      </c>
      <c r="AR87" s="116">
        <v>0</v>
      </c>
      <c r="AS87" s="116">
        <v>0</v>
      </c>
      <c r="AT87" s="116">
        <v>0</v>
      </c>
      <c r="AU87" s="116">
        <v>0</v>
      </c>
      <c r="AV87" s="116">
        <v>0</v>
      </c>
      <c r="AW87" s="116">
        <v>0</v>
      </c>
      <c r="AX87" s="116">
        <v>0</v>
      </c>
      <c r="AY87" s="116">
        <v>0</v>
      </c>
    </row>
    <row r="88" spans="1:52" x14ac:dyDescent="0.2">
      <c r="A88" s="115"/>
      <c r="B88" s="136">
        <v>44</v>
      </c>
      <c r="C88" s="115" t="s">
        <v>293</v>
      </c>
      <c r="D88" s="116">
        <v>0</v>
      </c>
      <c r="E88" s="116">
        <v>0</v>
      </c>
      <c r="F88" s="116">
        <v>0</v>
      </c>
      <c r="G88" s="116">
        <v>0</v>
      </c>
      <c r="H88" s="116">
        <v>0</v>
      </c>
      <c r="I88" s="116">
        <v>0</v>
      </c>
      <c r="J88" s="116">
        <v>0</v>
      </c>
      <c r="K88" s="116">
        <v>0</v>
      </c>
      <c r="L88" s="116">
        <v>0</v>
      </c>
      <c r="M88" s="116">
        <v>0</v>
      </c>
      <c r="N88" s="116">
        <v>0</v>
      </c>
      <c r="O88" s="116">
        <v>0</v>
      </c>
      <c r="P88" s="116">
        <v>0</v>
      </c>
      <c r="Q88" s="116">
        <v>0</v>
      </c>
      <c r="R88" s="116">
        <v>0</v>
      </c>
      <c r="S88" s="116">
        <v>0</v>
      </c>
      <c r="T88" s="116">
        <v>0</v>
      </c>
      <c r="U88" s="116">
        <v>0</v>
      </c>
      <c r="V88" s="116">
        <v>0</v>
      </c>
      <c r="W88" s="116">
        <v>0</v>
      </c>
      <c r="X88" s="116">
        <v>0</v>
      </c>
      <c r="Y88" s="116">
        <v>0</v>
      </c>
      <c r="Z88" s="116">
        <v>0</v>
      </c>
      <c r="AA88" s="116">
        <v>0</v>
      </c>
      <c r="AB88" s="116">
        <v>0</v>
      </c>
      <c r="AC88" s="116">
        <v>0</v>
      </c>
      <c r="AD88" s="116">
        <v>0</v>
      </c>
      <c r="AE88" s="116">
        <v>0</v>
      </c>
      <c r="AF88" s="116">
        <v>0</v>
      </c>
      <c r="AG88" s="116">
        <v>0</v>
      </c>
      <c r="AH88" s="116">
        <v>0</v>
      </c>
      <c r="AI88" s="116">
        <v>0</v>
      </c>
      <c r="AJ88" s="116">
        <v>0</v>
      </c>
      <c r="AK88" s="116">
        <v>0</v>
      </c>
      <c r="AL88" s="116">
        <v>0</v>
      </c>
      <c r="AM88" s="116">
        <v>0</v>
      </c>
      <c r="AN88" s="116">
        <v>0</v>
      </c>
      <c r="AO88" s="116">
        <v>0</v>
      </c>
      <c r="AP88" s="116">
        <v>0</v>
      </c>
      <c r="AQ88" s="116">
        <v>0</v>
      </c>
      <c r="AR88" s="116">
        <v>0</v>
      </c>
      <c r="AS88" s="116">
        <v>0</v>
      </c>
      <c r="AT88" s="116">
        <v>0</v>
      </c>
      <c r="AU88" s="116">
        <v>0</v>
      </c>
      <c r="AV88" s="116">
        <v>0</v>
      </c>
      <c r="AW88" s="116">
        <v>0</v>
      </c>
      <c r="AX88" s="116">
        <v>0</v>
      </c>
      <c r="AY88" s="116">
        <v>0</v>
      </c>
    </row>
    <row r="89" spans="1:52" x14ac:dyDescent="0.2">
      <c r="A89" s="115"/>
      <c r="B89" s="136">
        <v>45</v>
      </c>
      <c r="C89" s="115" t="s">
        <v>293</v>
      </c>
      <c r="D89" s="116">
        <v>0</v>
      </c>
      <c r="E89" s="116">
        <v>0</v>
      </c>
      <c r="F89" s="116">
        <v>0</v>
      </c>
      <c r="G89" s="116">
        <v>0</v>
      </c>
      <c r="H89" s="116">
        <v>0</v>
      </c>
      <c r="I89" s="116">
        <v>0</v>
      </c>
      <c r="J89" s="116">
        <v>0</v>
      </c>
      <c r="K89" s="116">
        <v>0</v>
      </c>
      <c r="L89" s="116">
        <v>0</v>
      </c>
      <c r="M89" s="116">
        <v>0</v>
      </c>
      <c r="N89" s="116">
        <v>0</v>
      </c>
      <c r="O89" s="116">
        <v>0</v>
      </c>
      <c r="P89" s="116">
        <v>0</v>
      </c>
      <c r="Q89" s="116">
        <v>0</v>
      </c>
      <c r="R89" s="116">
        <v>0</v>
      </c>
      <c r="S89" s="116">
        <v>0</v>
      </c>
      <c r="T89" s="116">
        <v>0</v>
      </c>
      <c r="U89" s="116">
        <v>0</v>
      </c>
      <c r="V89" s="116">
        <v>0</v>
      </c>
      <c r="W89" s="116">
        <v>0</v>
      </c>
      <c r="X89" s="116">
        <v>0</v>
      </c>
      <c r="Y89" s="116">
        <v>0</v>
      </c>
      <c r="Z89" s="116">
        <v>0</v>
      </c>
      <c r="AA89" s="116">
        <v>0</v>
      </c>
      <c r="AB89" s="116">
        <v>0</v>
      </c>
      <c r="AC89" s="116">
        <v>0</v>
      </c>
      <c r="AD89" s="116">
        <v>0</v>
      </c>
      <c r="AE89" s="116">
        <v>0</v>
      </c>
      <c r="AF89" s="116">
        <v>0</v>
      </c>
      <c r="AG89" s="116">
        <v>0</v>
      </c>
      <c r="AH89" s="116">
        <v>0</v>
      </c>
      <c r="AI89" s="116">
        <v>0</v>
      </c>
      <c r="AJ89" s="116">
        <v>0</v>
      </c>
      <c r="AK89" s="116">
        <v>0</v>
      </c>
      <c r="AL89" s="116">
        <v>0</v>
      </c>
      <c r="AM89" s="116">
        <v>0</v>
      </c>
      <c r="AN89" s="116">
        <v>0</v>
      </c>
      <c r="AO89" s="116">
        <v>0</v>
      </c>
      <c r="AP89" s="116">
        <v>0</v>
      </c>
      <c r="AQ89" s="116">
        <v>0</v>
      </c>
      <c r="AR89" s="116">
        <v>0</v>
      </c>
      <c r="AS89" s="116">
        <v>0</v>
      </c>
      <c r="AT89" s="116">
        <v>0</v>
      </c>
      <c r="AU89" s="116">
        <v>0</v>
      </c>
      <c r="AV89" s="116">
        <v>0</v>
      </c>
      <c r="AW89" s="116">
        <v>0</v>
      </c>
      <c r="AX89" s="116">
        <v>0</v>
      </c>
      <c r="AY89" s="116">
        <v>0</v>
      </c>
    </row>
    <row r="90" spans="1:52" x14ac:dyDescent="0.2">
      <c r="A90" s="115"/>
      <c r="B90" s="136">
        <v>46</v>
      </c>
      <c r="C90" s="115" t="s">
        <v>293</v>
      </c>
      <c r="D90" s="116">
        <v>0</v>
      </c>
      <c r="E90" s="116">
        <v>0</v>
      </c>
      <c r="F90" s="116">
        <v>0</v>
      </c>
      <c r="G90" s="116">
        <v>0</v>
      </c>
      <c r="H90" s="116">
        <v>0</v>
      </c>
      <c r="I90" s="116">
        <v>0</v>
      </c>
      <c r="J90" s="116">
        <v>0</v>
      </c>
      <c r="K90" s="116">
        <v>0</v>
      </c>
      <c r="L90" s="116">
        <v>0</v>
      </c>
      <c r="M90" s="116">
        <v>0</v>
      </c>
      <c r="N90" s="116">
        <v>0</v>
      </c>
      <c r="O90" s="116">
        <v>0</v>
      </c>
      <c r="P90" s="116">
        <v>0</v>
      </c>
      <c r="Q90" s="116">
        <v>0</v>
      </c>
      <c r="R90" s="116">
        <v>0</v>
      </c>
      <c r="S90" s="116">
        <v>0</v>
      </c>
      <c r="T90" s="116">
        <v>0</v>
      </c>
      <c r="U90" s="116">
        <v>0</v>
      </c>
      <c r="V90" s="116">
        <v>0</v>
      </c>
      <c r="W90" s="116">
        <v>0</v>
      </c>
      <c r="X90" s="116">
        <v>0</v>
      </c>
      <c r="Y90" s="116">
        <v>0</v>
      </c>
      <c r="Z90" s="116">
        <v>0</v>
      </c>
      <c r="AA90" s="116">
        <v>0</v>
      </c>
      <c r="AB90" s="116">
        <v>0</v>
      </c>
      <c r="AC90" s="116">
        <v>0</v>
      </c>
      <c r="AD90" s="116">
        <v>0</v>
      </c>
      <c r="AE90" s="116">
        <v>0</v>
      </c>
      <c r="AF90" s="116">
        <v>0</v>
      </c>
      <c r="AG90" s="116">
        <v>0</v>
      </c>
      <c r="AH90" s="116">
        <v>0</v>
      </c>
      <c r="AI90" s="116">
        <v>0</v>
      </c>
      <c r="AJ90" s="116">
        <v>0</v>
      </c>
      <c r="AK90" s="116">
        <v>0</v>
      </c>
      <c r="AL90" s="116">
        <v>0</v>
      </c>
      <c r="AM90" s="116">
        <v>0</v>
      </c>
      <c r="AN90" s="116">
        <v>0</v>
      </c>
      <c r="AO90" s="116">
        <v>0</v>
      </c>
      <c r="AP90" s="116">
        <v>0</v>
      </c>
      <c r="AQ90" s="116">
        <v>0</v>
      </c>
      <c r="AR90" s="116">
        <v>0</v>
      </c>
      <c r="AS90" s="116">
        <v>0</v>
      </c>
      <c r="AT90" s="116">
        <v>0</v>
      </c>
      <c r="AU90" s="116">
        <v>0</v>
      </c>
      <c r="AV90" s="116">
        <v>0</v>
      </c>
      <c r="AW90" s="116">
        <v>0</v>
      </c>
      <c r="AX90" s="116">
        <v>0</v>
      </c>
      <c r="AY90" s="116">
        <v>0</v>
      </c>
    </row>
    <row r="91" spans="1:52" x14ac:dyDescent="0.2">
      <c r="A91" s="115"/>
      <c r="B91" s="136">
        <v>47</v>
      </c>
      <c r="C91" s="115" t="s">
        <v>293</v>
      </c>
      <c r="D91" s="116">
        <v>0</v>
      </c>
      <c r="E91" s="116">
        <v>0</v>
      </c>
      <c r="F91" s="116">
        <v>0</v>
      </c>
      <c r="G91" s="116">
        <v>0</v>
      </c>
      <c r="H91" s="116">
        <v>0</v>
      </c>
      <c r="I91" s="116">
        <v>0</v>
      </c>
      <c r="J91" s="116">
        <v>0</v>
      </c>
      <c r="K91" s="116">
        <v>0</v>
      </c>
      <c r="L91" s="116">
        <v>0</v>
      </c>
      <c r="M91" s="116">
        <v>0</v>
      </c>
      <c r="N91" s="116">
        <v>0</v>
      </c>
      <c r="O91" s="116">
        <v>0</v>
      </c>
      <c r="P91" s="116">
        <v>0</v>
      </c>
      <c r="Q91" s="116">
        <v>0</v>
      </c>
      <c r="R91" s="116">
        <v>0</v>
      </c>
      <c r="S91" s="116">
        <v>0</v>
      </c>
      <c r="T91" s="116">
        <v>0</v>
      </c>
      <c r="U91" s="116">
        <v>0</v>
      </c>
      <c r="V91" s="116">
        <v>0</v>
      </c>
      <c r="W91" s="116">
        <v>0</v>
      </c>
      <c r="X91" s="116">
        <v>0</v>
      </c>
      <c r="Y91" s="116">
        <v>0</v>
      </c>
      <c r="Z91" s="116">
        <v>0</v>
      </c>
      <c r="AA91" s="116">
        <v>0</v>
      </c>
      <c r="AB91" s="116">
        <v>0</v>
      </c>
      <c r="AC91" s="116">
        <v>0</v>
      </c>
      <c r="AD91" s="116">
        <v>0</v>
      </c>
      <c r="AE91" s="116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0</v>
      </c>
      <c r="AM91" s="116">
        <v>0</v>
      </c>
      <c r="AN91" s="116">
        <v>0</v>
      </c>
      <c r="AO91" s="116">
        <v>0</v>
      </c>
      <c r="AP91" s="116">
        <v>0</v>
      </c>
      <c r="AQ91" s="116">
        <v>0</v>
      </c>
      <c r="AR91" s="116">
        <v>0</v>
      </c>
      <c r="AS91" s="116">
        <v>0</v>
      </c>
      <c r="AT91" s="116">
        <v>0</v>
      </c>
      <c r="AU91" s="116">
        <v>0</v>
      </c>
      <c r="AV91" s="116">
        <v>0</v>
      </c>
      <c r="AW91" s="116">
        <v>0</v>
      </c>
      <c r="AX91" s="116">
        <v>0</v>
      </c>
      <c r="AY91" s="116">
        <v>0</v>
      </c>
    </row>
    <row r="92" spans="1:52" x14ac:dyDescent="0.2">
      <c r="A92" s="134"/>
      <c r="B92" s="135">
        <v>48</v>
      </c>
      <c r="C92" s="134" t="s">
        <v>293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2109647.6767981565</v>
      </c>
    </row>
    <row r="94" spans="1:52" x14ac:dyDescent="0.2">
      <c r="A94" s="108" t="s">
        <v>295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0</v>
      </c>
      <c r="D95" s="116">
        <v>0</v>
      </c>
      <c r="E95" s="116">
        <v>0</v>
      </c>
      <c r="F95" s="116">
        <v>0</v>
      </c>
      <c r="G95" s="116">
        <v>0</v>
      </c>
      <c r="H95" s="116">
        <v>0</v>
      </c>
      <c r="I95" s="116">
        <v>0</v>
      </c>
      <c r="J95" s="116">
        <v>0</v>
      </c>
      <c r="K95" s="116">
        <v>0</v>
      </c>
      <c r="L95" s="116">
        <v>0</v>
      </c>
      <c r="M95" s="116">
        <v>0</v>
      </c>
      <c r="N95" s="116">
        <v>0</v>
      </c>
      <c r="O95" s="116">
        <v>0</v>
      </c>
      <c r="P95" s="116">
        <v>0</v>
      </c>
      <c r="Q95" s="116">
        <v>0</v>
      </c>
      <c r="R95" s="116">
        <v>0</v>
      </c>
      <c r="S95" s="116">
        <v>0</v>
      </c>
      <c r="T95" s="116">
        <v>0</v>
      </c>
      <c r="U95" s="116">
        <v>0</v>
      </c>
      <c r="V95" s="116">
        <v>0</v>
      </c>
      <c r="W95" s="116">
        <v>0</v>
      </c>
      <c r="X95" s="116">
        <v>0</v>
      </c>
      <c r="Y95" s="116">
        <v>0</v>
      </c>
      <c r="Z95" s="116">
        <v>0</v>
      </c>
      <c r="AA95" s="116">
        <v>0</v>
      </c>
      <c r="AB95" s="116">
        <v>0</v>
      </c>
      <c r="AC95" s="116">
        <v>0</v>
      </c>
      <c r="AD95" s="116">
        <v>0</v>
      </c>
      <c r="AE95" s="116">
        <v>0</v>
      </c>
      <c r="AF95" s="116">
        <v>0</v>
      </c>
      <c r="AG95" s="116">
        <v>0</v>
      </c>
      <c r="AH95" s="116">
        <v>0</v>
      </c>
      <c r="AI95" s="116">
        <v>0</v>
      </c>
      <c r="AJ95" s="116">
        <v>0</v>
      </c>
      <c r="AK95" s="116">
        <v>0</v>
      </c>
      <c r="AL95" s="116">
        <v>0</v>
      </c>
      <c r="AM95" s="116">
        <v>0</v>
      </c>
      <c r="AN95" s="116">
        <v>0</v>
      </c>
      <c r="AO95" s="116">
        <v>0</v>
      </c>
      <c r="AP95" s="116">
        <v>0</v>
      </c>
      <c r="AQ95" s="116">
        <v>0</v>
      </c>
      <c r="AR95" s="116">
        <v>0</v>
      </c>
      <c r="AS95" s="116">
        <v>0</v>
      </c>
      <c r="AT95" s="116">
        <v>0</v>
      </c>
      <c r="AU95" s="116">
        <v>0</v>
      </c>
      <c r="AV95" s="116">
        <v>0</v>
      </c>
      <c r="AW95" s="116">
        <v>0</v>
      </c>
      <c r="AX95" s="116">
        <v>0</v>
      </c>
      <c r="AY95" s="116">
        <v>0</v>
      </c>
    </row>
    <row r="96" spans="1:52" x14ac:dyDescent="0.2">
      <c r="A96" s="115"/>
      <c r="B96" s="126">
        <v>2</v>
      </c>
      <c r="C96" s="116">
        <v>0</v>
      </c>
      <c r="D96" s="116">
        <v>0</v>
      </c>
      <c r="E96" s="116">
        <v>0</v>
      </c>
      <c r="F96" s="116">
        <v>0</v>
      </c>
      <c r="G96" s="116">
        <v>0</v>
      </c>
      <c r="H96" s="116">
        <v>0</v>
      </c>
      <c r="I96" s="116">
        <v>0</v>
      </c>
      <c r="J96" s="116">
        <v>0</v>
      </c>
      <c r="K96" s="116">
        <v>0</v>
      </c>
      <c r="L96" s="116">
        <v>0</v>
      </c>
      <c r="M96" s="116">
        <v>0</v>
      </c>
      <c r="N96" s="116">
        <v>0</v>
      </c>
      <c r="O96" s="116">
        <v>0</v>
      </c>
      <c r="P96" s="116">
        <v>0</v>
      </c>
      <c r="Q96" s="116">
        <v>0</v>
      </c>
      <c r="R96" s="116">
        <v>0</v>
      </c>
      <c r="S96" s="116">
        <v>0</v>
      </c>
      <c r="T96" s="116">
        <v>0</v>
      </c>
      <c r="U96" s="116">
        <v>0</v>
      </c>
      <c r="V96" s="116">
        <v>0</v>
      </c>
      <c r="W96" s="116">
        <v>0</v>
      </c>
      <c r="X96" s="116">
        <v>0</v>
      </c>
      <c r="Y96" s="116">
        <v>0</v>
      </c>
      <c r="Z96" s="116">
        <v>0</v>
      </c>
      <c r="AA96" s="116">
        <v>0</v>
      </c>
      <c r="AB96" s="116">
        <v>0</v>
      </c>
      <c r="AC96" s="116">
        <v>0</v>
      </c>
      <c r="AD96" s="116">
        <v>0</v>
      </c>
      <c r="AE96" s="116">
        <v>0</v>
      </c>
      <c r="AF96" s="116">
        <v>0</v>
      </c>
      <c r="AG96" s="116">
        <v>0</v>
      </c>
      <c r="AH96" s="116">
        <v>0</v>
      </c>
      <c r="AI96" s="116">
        <v>0</v>
      </c>
      <c r="AJ96" s="116">
        <v>0</v>
      </c>
      <c r="AK96" s="116">
        <v>0</v>
      </c>
      <c r="AL96" s="116">
        <v>0</v>
      </c>
      <c r="AM96" s="116">
        <v>0</v>
      </c>
      <c r="AN96" s="116">
        <v>0</v>
      </c>
      <c r="AO96" s="116">
        <v>0</v>
      </c>
      <c r="AP96" s="116">
        <v>0</v>
      </c>
      <c r="AQ96" s="116">
        <v>0</v>
      </c>
      <c r="AR96" s="116">
        <v>0</v>
      </c>
      <c r="AS96" s="116">
        <v>0</v>
      </c>
      <c r="AT96" s="116">
        <v>0</v>
      </c>
      <c r="AU96" s="116">
        <v>0</v>
      </c>
      <c r="AV96" s="116">
        <v>0</v>
      </c>
      <c r="AW96" s="116">
        <v>0</v>
      </c>
      <c r="AX96" s="116">
        <v>0</v>
      </c>
      <c r="AY96" s="116">
        <v>0</v>
      </c>
    </row>
    <row r="97" spans="1:52" x14ac:dyDescent="0.2">
      <c r="A97" s="115"/>
      <c r="B97" s="133">
        <v>3</v>
      </c>
      <c r="C97" s="116">
        <v>0</v>
      </c>
      <c r="D97" s="116">
        <v>0</v>
      </c>
      <c r="E97" s="116">
        <v>0</v>
      </c>
      <c r="F97" s="116">
        <v>0</v>
      </c>
      <c r="G97" s="116">
        <v>0</v>
      </c>
      <c r="H97" s="116">
        <v>0</v>
      </c>
      <c r="I97" s="116">
        <v>0</v>
      </c>
      <c r="J97" s="116">
        <v>0</v>
      </c>
      <c r="K97" s="116">
        <v>0</v>
      </c>
      <c r="L97" s="116">
        <v>0</v>
      </c>
      <c r="M97" s="116">
        <v>0</v>
      </c>
      <c r="N97" s="116">
        <v>0</v>
      </c>
      <c r="O97" s="116">
        <v>0</v>
      </c>
      <c r="P97" s="116">
        <v>0</v>
      </c>
      <c r="Q97" s="116">
        <v>0</v>
      </c>
      <c r="R97" s="116">
        <v>0</v>
      </c>
      <c r="S97" s="116">
        <v>0</v>
      </c>
      <c r="T97" s="116">
        <v>0</v>
      </c>
      <c r="U97" s="116">
        <v>0</v>
      </c>
      <c r="V97" s="116">
        <v>0</v>
      </c>
      <c r="W97" s="116">
        <v>0</v>
      </c>
      <c r="X97" s="116">
        <v>0</v>
      </c>
      <c r="Y97" s="116">
        <v>0</v>
      </c>
      <c r="Z97" s="116">
        <v>0</v>
      </c>
      <c r="AA97" s="116">
        <v>0</v>
      </c>
      <c r="AB97" s="116">
        <v>0</v>
      </c>
      <c r="AC97" s="116">
        <v>0</v>
      </c>
      <c r="AD97" s="116">
        <v>0</v>
      </c>
      <c r="AE97" s="116">
        <v>0</v>
      </c>
      <c r="AF97" s="116">
        <v>0</v>
      </c>
      <c r="AG97" s="116">
        <v>0</v>
      </c>
      <c r="AH97" s="116">
        <v>0</v>
      </c>
      <c r="AI97" s="116">
        <v>0</v>
      </c>
      <c r="AJ97" s="116">
        <v>0</v>
      </c>
      <c r="AK97" s="116">
        <v>0</v>
      </c>
      <c r="AL97" s="116">
        <v>0</v>
      </c>
      <c r="AM97" s="116">
        <v>0</v>
      </c>
      <c r="AN97" s="116">
        <v>0</v>
      </c>
      <c r="AO97" s="116">
        <v>0</v>
      </c>
      <c r="AP97" s="116">
        <v>0</v>
      </c>
      <c r="AQ97" s="116">
        <v>0</v>
      </c>
      <c r="AR97" s="116">
        <v>0</v>
      </c>
      <c r="AS97" s="116">
        <v>0</v>
      </c>
      <c r="AT97" s="116">
        <v>0</v>
      </c>
      <c r="AU97" s="116">
        <v>0</v>
      </c>
      <c r="AV97" s="116">
        <v>0</v>
      </c>
      <c r="AW97" s="116">
        <v>0</v>
      </c>
      <c r="AX97" s="116">
        <v>0</v>
      </c>
      <c r="AY97" s="116">
        <v>0</v>
      </c>
    </row>
    <row r="98" spans="1:52" x14ac:dyDescent="0.2">
      <c r="A98" s="115"/>
      <c r="B98" s="136">
        <v>4</v>
      </c>
      <c r="C98" s="112">
        <v>0</v>
      </c>
      <c r="D98" s="116">
        <v>0</v>
      </c>
      <c r="E98" s="116">
        <v>0</v>
      </c>
      <c r="F98" s="116">
        <v>0</v>
      </c>
      <c r="G98" s="116">
        <v>0</v>
      </c>
      <c r="H98" s="116">
        <v>0</v>
      </c>
      <c r="I98" s="116">
        <v>0</v>
      </c>
      <c r="J98" s="116">
        <v>0</v>
      </c>
      <c r="K98" s="116">
        <v>0</v>
      </c>
      <c r="L98" s="116">
        <v>0</v>
      </c>
      <c r="M98" s="116">
        <v>0</v>
      </c>
      <c r="N98" s="116">
        <v>0</v>
      </c>
      <c r="O98" s="116">
        <v>0</v>
      </c>
      <c r="P98" s="116">
        <v>0</v>
      </c>
      <c r="Q98" s="116">
        <v>0</v>
      </c>
      <c r="R98" s="116">
        <v>0</v>
      </c>
      <c r="S98" s="116">
        <v>0</v>
      </c>
      <c r="T98" s="116">
        <v>0</v>
      </c>
      <c r="U98" s="116">
        <v>0</v>
      </c>
      <c r="V98" s="116">
        <v>0</v>
      </c>
      <c r="W98" s="116">
        <v>0</v>
      </c>
      <c r="X98" s="116">
        <v>0</v>
      </c>
      <c r="Y98" s="116">
        <v>0</v>
      </c>
      <c r="Z98" s="116">
        <v>0</v>
      </c>
      <c r="AA98" s="116">
        <v>0</v>
      </c>
      <c r="AB98" s="116">
        <v>0</v>
      </c>
      <c r="AC98" s="116">
        <v>0</v>
      </c>
      <c r="AD98" s="116">
        <v>0</v>
      </c>
      <c r="AE98" s="116">
        <v>0</v>
      </c>
      <c r="AF98" s="116">
        <v>0</v>
      </c>
      <c r="AG98" s="116">
        <v>0</v>
      </c>
      <c r="AH98" s="116">
        <v>0</v>
      </c>
      <c r="AI98" s="116">
        <v>0</v>
      </c>
      <c r="AJ98" s="116">
        <v>0</v>
      </c>
      <c r="AK98" s="116">
        <v>0</v>
      </c>
      <c r="AL98" s="116">
        <v>0</v>
      </c>
      <c r="AM98" s="116">
        <v>0</v>
      </c>
      <c r="AN98" s="116">
        <v>0</v>
      </c>
      <c r="AO98" s="116">
        <v>0</v>
      </c>
      <c r="AP98" s="116">
        <v>0</v>
      </c>
      <c r="AQ98" s="116">
        <v>0</v>
      </c>
      <c r="AR98" s="116">
        <v>0</v>
      </c>
      <c r="AS98" s="116">
        <v>0</v>
      </c>
      <c r="AT98" s="116">
        <v>0</v>
      </c>
      <c r="AU98" s="116">
        <v>0</v>
      </c>
      <c r="AV98" s="116">
        <v>0</v>
      </c>
      <c r="AW98" s="116">
        <v>0</v>
      </c>
      <c r="AX98" s="116">
        <v>0</v>
      </c>
      <c r="AY98" s="116">
        <v>0</v>
      </c>
    </row>
    <row r="99" spans="1:52" x14ac:dyDescent="0.2">
      <c r="A99" s="134"/>
      <c r="B99" s="138" t="s">
        <v>296</v>
      </c>
      <c r="C99" s="131">
        <v>0</v>
      </c>
      <c r="D99" s="131">
        <v>0</v>
      </c>
      <c r="E99" s="131">
        <v>0</v>
      </c>
      <c r="F99" s="131">
        <v>0</v>
      </c>
      <c r="G99" s="131">
        <v>0</v>
      </c>
      <c r="H99" s="131">
        <v>0</v>
      </c>
      <c r="I99" s="131">
        <v>0</v>
      </c>
      <c r="J99" s="131">
        <v>0</v>
      </c>
      <c r="K99" s="131">
        <v>0</v>
      </c>
      <c r="L99" s="131">
        <v>0</v>
      </c>
      <c r="M99" s="131">
        <v>0</v>
      </c>
      <c r="N99" s="131">
        <v>0</v>
      </c>
      <c r="O99" s="131">
        <v>0</v>
      </c>
      <c r="P99" s="131">
        <v>0</v>
      </c>
      <c r="Q99" s="131">
        <v>0</v>
      </c>
      <c r="R99" s="131">
        <v>0</v>
      </c>
      <c r="S99" s="131">
        <v>0</v>
      </c>
      <c r="T99" s="131">
        <v>0</v>
      </c>
      <c r="U99" s="131">
        <v>0</v>
      </c>
      <c r="V99" s="131">
        <v>0</v>
      </c>
      <c r="W99" s="131">
        <v>0</v>
      </c>
      <c r="X99" s="131">
        <v>0</v>
      </c>
      <c r="Y99" s="131">
        <v>0</v>
      </c>
      <c r="Z99" s="131">
        <v>0</v>
      </c>
      <c r="AA99" s="131">
        <v>0</v>
      </c>
      <c r="AB99" s="131">
        <v>0</v>
      </c>
      <c r="AC99" s="131">
        <v>0</v>
      </c>
      <c r="AD99" s="131">
        <v>0</v>
      </c>
      <c r="AE99" s="131">
        <v>0</v>
      </c>
      <c r="AF99" s="131">
        <v>0</v>
      </c>
      <c r="AG99" s="131">
        <v>0</v>
      </c>
      <c r="AH99" s="131">
        <v>0</v>
      </c>
      <c r="AI99" s="131">
        <v>0</v>
      </c>
      <c r="AJ99" s="131">
        <v>0</v>
      </c>
      <c r="AK99" s="131">
        <v>0</v>
      </c>
      <c r="AL99" s="131">
        <v>0</v>
      </c>
      <c r="AM99" s="131">
        <v>0</v>
      </c>
      <c r="AN99" s="131">
        <v>0</v>
      </c>
      <c r="AO99" s="131">
        <v>0</v>
      </c>
      <c r="AP99" s="131">
        <v>0</v>
      </c>
      <c r="AQ99" s="131">
        <v>0</v>
      </c>
      <c r="AR99" s="131">
        <v>0</v>
      </c>
      <c r="AS99" s="131">
        <v>0</v>
      </c>
      <c r="AT99" s="131">
        <v>0</v>
      </c>
      <c r="AU99" s="131">
        <v>0</v>
      </c>
      <c r="AV99" s="131">
        <v>0</v>
      </c>
      <c r="AW99" s="131">
        <v>0</v>
      </c>
      <c r="AX99" s="131">
        <v>0</v>
      </c>
      <c r="AY99" s="131">
        <v>0</v>
      </c>
      <c r="AZ99" s="113">
        <f>SUM($D99:$AY99)</f>
        <v>0</v>
      </c>
    </row>
    <row r="100" spans="1:52" x14ac:dyDescent="0.2">
      <c r="A100" s="137" t="s">
        <v>133</v>
      </c>
      <c r="B100" s="125">
        <v>1</v>
      </c>
      <c r="C100" s="112">
        <v>0</v>
      </c>
      <c r="D100" s="112">
        <v>0</v>
      </c>
      <c r="E100" s="112">
        <v>0</v>
      </c>
      <c r="F100" s="112">
        <v>0</v>
      </c>
      <c r="G100" s="112">
        <v>0</v>
      </c>
      <c r="H100" s="112">
        <v>0</v>
      </c>
      <c r="I100" s="112">
        <v>0</v>
      </c>
      <c r="J100" s="112">
        <v>0</v>
      </c>
      <c r="K100" s="112">
        <v>0</v>
      </c>
      <c r="L100" s="112">
        <v>0</v>
      </c>
      <c r="M100" s="112">
        <v>0</v>
      </c>
      <c r="N100" s="112">
        <v>0</v>
      </c>
      <c r="O100" s="112">
        <v>0</v>
      </c>
      <c r="P100" s="112">
        <v>0</v>
      </c>
      <c r="Q100" s="112">
        <v>0</v>
      </c>
      <c r="R100" s="112">
        <v>0</v>
      </c>
      <c r="S100" s="112">
        <v>0</v>
      </c>
      <c r="T100" s="112">
        <v>0</v>
      </c>
      <c r="U100" s="112">
        <v>0</v>
      </c>
      <c r="V100" s="112">
        <v>0</v>
      </c>
      <c r="W100" s="112">
        <v>0</v>
      </c>
      <c r="X100" s="112">
        <v>0</v>
      </c>
      <c r="Y100" s="112">
        <v>0</v>
      </c>
      <c r="Z100" s="112">
        <v>0</v>
      </c>
      <c r="AA100" s="112">
        <v>0</v>
      </c>
      <c r="AB100" s="112">
        <v>0</v>
      </c>
      <c r="AC100" s="112">
        <v>0</v>
      </c>
      <c r="AD100" s="112">
        <v>0</v>
      </c>
      <c r="AE100" s="112">
        <v>0</v>
      </c>
      <c r="AF100" s="112">
        <v>0</v>
      </c>
      <c r="AG100" s="112">
        <v>0</v>
      </c>
      <c r="AH100" s="112">
        <v>0</v>
      </c>
      <c r="AI100" s="112">
        <v>0</v>
      </c>
      <c r="AJ100" s="112">
        <v>0</v>
      </c>
      <c r="AK100" s="112">
        <v>0</v>
      </c>
      <c r="AL100" s="112">
        <v>0</v>
      </c>
      <c r="AM100" s="112">
        <v>0</v>
      </c>
      <c r="AN100" s="112">
        <v>0</v>
      </c>
      <c r="AO100" s="112">
        <v>0</v>
      </c>
      <c r="AP100" s="112">
        <v>0</v>
      </c>
      <c r="AQ100" s="112">
        <v>0</v>
      </c>
      <c r="AR100" s="112">
        <v>0</v>
      </c>
      <c r="AS100" s="112">
        <v>0</v>
      </c>
      <c r="AT100" s="112">
        <v>0</v>
      </c>
      <c r="AU100" s="112">
        <v>0</v>
      </c>
      <c r="AV100" s="112">
        <v>0</v>
      </c>
      <c r="AW100" s="112">
        <v>0</v>
      </c>
      <c r="AX100" s="112">
        <v>0</v>
      </c>
      <c r="AY100" s="112">
        <v>0</v>
      </c>
    </row>
    <row r="101" spans="1:52" x14ac:dyDescent="0.2">
      <c r="A101" s="115"/>
      <c r="B101" s="125">
        <v>2</v>
      </c>
      <c r="C101" s="112">
        <v>0</v>
      </c>
      <c r="D101" s="112">
        <v>0</v>
      </c>
      <c r="E101" s="112">
        <v>0</v>
      </c>
      <c r="F101" s="112">
        <v>0</v>
      </c>
      <c r="G101" s="112">
        <v>0</v>
      </c>
      <c r="H101" s="112">
        <v>0</v>
      </c>
      <c r="I101" s="112">
        <v>0</v>
      </c>
      <c r="J101" s="112">
        <v>0</v>
      </c>
      <c r="K101" s="112">
        <v>0</v>
      </c>
      <c r="L101" s="112">
        <v>0</v>
      </c>
      <c r="M101" s="112">
        <v>0</v>
      </c>
      <c r="N101" s="112">
        <v>0</v>
      </c>
      <c r="O101" s="112">
        <v>0</v>
      </c>
      <c r="P101" s="112">
        <v>0</v>
      </c>
      <c r="Q101" s="112">
        <v>0</v>
      </c>
      <c r="R101" s="112">
        <v>0</v>
      </c>
      <c r="S101" s="112">
        <v>0</v>
      </c>
      <c r="T101" s="112">
        <v>0</v>
      </c>
      <c r="U101" s="112">
        <v>0</v>
      </c>
      <c r="V101" s="112">
        <v>0</v>
      </c>
      <c r="W101" s="112">
        <v>0</v>
      </c>
      <c r="X101" s="112">
        <v>0</v>
      </c>
      <c r="Y101" s="112">
        <v>0</v>
      </c>
      <c r="Z101" s="112">
        <v>0</v>
      </c>
      <c r="AA101" s="112">
        <v>0</v>
      </c>
      <c r="AB101" s="112">
        <v>0</v>
      </c>
      <c r="AC101" s="112">
        <v>0</v>
      </c>
      <c r="AD101" s="112">
        <v>0</v>
      </c>
      <c r="AE101" s="112">
        <v>0</v>
      </c>
      <c r="AF101" s="112">
        <v>0</v>
      </c>
      <c r="AG101" s="112">
        <v>0</v>
      </c>
      <c r="AH101" s="112">
        <v>0</v>
      </c>
      <c r="AI101" s="112">
        <v>0</v>
      </c>
      <c r="AJ101" s="112">
        <v>0</v>
      </c>
      <c r="AK101" s="112">
        <v>0</v>
      </c>
      <c r="AL101" s="112">
        <v>0</v>
      </c>
      <c r="AM101" s="112">
        <v>0</v>
      </c>
      <c r="AN101" s="112">
        <v>0</v>
      </c>
      <c r="AO101" s="112">
        <v>0</v>
      </c>
      <c r="AP101" s="112">
        <v>0</v>
      </c>
      <c r="AQ101" s="112">
        <v>0</v>
      </c>
      <c r="AR101" s="112">
        <v>0</v>
      </c>
      <c r="AS101" s="112">
        <v>0</v>
      </c>
      <c r="AT101" s="112">
        <v>0</v>
      </c>
      <c r="AU101" s="112">
        <v>0</v>
      </c>
      <c r="AV101" s="112">
        <v>0</v>
      </c>
      <c r="AW101" s="112">
        <v>0</v>
      </c>
      <c r="AX101" s="112">
        <v>0</v>
      </c>
      <c r="AY101" s="112">
        <v>0</v>
      </c>
    </row>
    <row r="102" spans="1:52" x14ac:dyDescent="0.2">
      <c r="A102" s="115"/>
      <c r="B102" s="126">
        <v>3</v>
      </c>
      <c r="C102" s="112">
        <v>0</v>
      </c>
      <c r="D102" s="112">
        <v>0</v>
      </c>
      <c r="E102" s="112">
        <v>0</v>
      </c>
      <c r="F102" s="112">
        <v>0</v>
      </c>
      <c r="G102" s="112">
        <v>0</v>
      </c>
      <c r="H102" s="112">
        <v>0</v>
      </c>
      <c r="I102" s="112">
        <v>0</v>
      </c>
      <c r="J102" s="112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112">
        <v>0</v>
      </c>
      <c r="R102" s="112">
        <v>0</v>
      </c>
      <c r="S102" s="112">
        <v>0</v>
      </c>
      <c r="T102" s="112">
        <v>0</v>
      </c>
      <c r="U102" s="112">
        <v>0</v>
      </c>
      <c r="V102" s="112">
        <v>0</v>
      </c>
      <c r="W102" s="112">
        <v>0</v>
      </c>
      <c r="X102" s="112">
        <v>0</v>
      </c>
      <c r="Y102" s="112">
        <v>0</v>
      </c>
      <c r="Z102" s="112">
        <v>0</v>
      </c>
      <c r="AA102" s="112">
        <v>0</v>
      </c>
      <c r="AB102" s="112">
        <v>0</v>
      </c>
      <c r="AC102" s="112">
        <v>0</v>
      </c>
      <c r="AD102" s="112">
        <v>0</v>
      </c>
      <c r="AE102" s="112">
        <v>0</v>
      </c>
      <c r="AF102" s="112">
        <v>0</v>
      </c>
      <c r="AG102" s="112">
        <v>0</v>
      </c>
      <c r="AH102" s="112">
        <v>0</v>
      </c>
      <c r="AI102" s="112">
        <v>0</v>
      </c>
      <c r="AJ102" s="112">
        <v>0</v>
      </c>
      <c r="AK102" s="112">
        <v>0</v>
      </c>
      <c r="AL102" s="112">
        <v>0</v>
      </c>
      <c r="AM102" s="112">
        <v>0</v>
      </c>
      <c r="AN102" s="112">
        <v>0</v>
      </c>
      <c r="AO102" s="112">
        <v>0</v>
      </c>
      <c r="AP102" s="112">
        <v>0</v>
      </c>
      <c r="AQ102" s="112">
        <v>0</v>
      </c>
      <c r="AR102" s="112">
        <v>0</v>
      </c>
      <c r="AS102" s="112">
        <v>0</v>
      </c>
      <c r="AT102" s="112">
        <v>0</v>
      </c>
      <c r="AU102" s="112">
        <v>0</v>
      </c>
      <c r="AV102" s="112">
        <v>0</v>
      </c>
      <c r="AW102" s="112">
        <v>0</v>
      </c>
      <c r="AX102" s="112">
        <v>0</v>
      </c>
      <c r="AY102" s="112">
        <v>0</v>
      </c>
    </row>
    <row r="103" spans="1:52" x14ac:dyDescent="0.2">
      <c r="A103" s="115"/>
      <c r="B103" s="126">
        <v>4</v>
      </c>
      <c r="C103" s="112">
        <v>0</v>
      </c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>
        <v>0</v>
      </c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296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0</v>
      </c>
      <c r="D109" s="112">
        <v>0</v>
      </c>
      <c r="E109" s="112">
        <v>0</v>
      </c>
      <c r="F109" s="112">
        <v>0</v>
      </c>
      <c r="G109" s="112">
        <v>0</v>
      </c>
      <c r="H109" s="112">
        <v>0</v>
      </c>
      <c r="I109" s="112">
        <v>0</v>
      </c>
      <c r="J109" s="112">
        <v>0</v>
      </c>
      <c r="K109" s="112">
        <v>0</v>
      </c>
      <c r="L109" s="112">
        <v>0</v>
      </c>
      <c r="M109" s="112">
        <v>0</v>
      </c>
      <c r="N109" s="112">
        <v>0</v>
      </c>
      <c r="O109" s="112">
        <v>0</v>
      </c>
      <c r="P109" s="112">
        <v>0</v>
      </c>
      <c r="Q109" s="112">
        <v>0</v>
      </c>
      <c r="R109" s="112">
        <v>0</v>
      </c>
      <c r="S109" s="112">
        <v>0</v>
      </c>
      <c r="T109" s="112">
        <v>0</v>
      </c>
      <c r="U109" s="112">
        <v>0</v>
      </c>
      <c r="V109" s="112">
        <v>0</v>
      </c>
      <c r="W109" s="112">
        <v>0</v>
      </c>
      <c r="X109" s="112">
        <v>0</v>
      </c>
      <c r="Y109" s="112">
        <v>0</v>
      </c>
      <c r="Z109" s="112">
        <v>0</v>
      </c>
      <c r="AA109" s="112">
        <v>0</v>
      </c>
      <c r="AB109" s="112">
        <v>0</v>
      </c>
      <c r="AC109" s="112">
        <v>0</v>
      </c>
      <c r="AD109" s="112">
        <v>0</v>
      </c>
      <c r="AE109" s="112">
        <v>0</v>
      </c>
      <c r="AF109" s="112">
        <v>0</v>
      </c>
      <c r="AG109" s="112">
        <v>0</v>
      </c>
      <c r="AH109" s="112">
        <v>0</v>
      </c>
      <c r="AI109" s="112">
        <v>0</v>
      </c>
      <c r="AJ109" s="112">
        <v>0</v>
      </c>
      <c r="AK109" s="112">
        <v>0</v>
      </c>
      <c r="AL109" s="112">
        <v>0</v>
      </c>
      <c r="AM109" s="112">
        <v>0</v>
      </c>
      <c r="AN109" s="112">
        <v>0</v>
      </c>
      <c r="AO109" s="112">
        <v>0</v>
      </c>
      <c r="AP109" s="112">
        <v>0</v>
      </c>
      <c r="AQ109" s="112">
        <v>0</v>
      </c>
      <c r="AR109" s="112">
        <v>0</v>
      </c>
      <c r="AS109" s="112">
        <v>0</v>
      </c>
      <c r="AT109" s="112">
        <v>0</v>
      </c>
      <c r="AU109" s="112">
        <v>0</v>
      </c>
      <c r="AV109" s="112">
        <v>0</v>
      </c>
      <c r="AW109" s="112">
        <v>0</v>
      </c>
      <c r="AX109" s="112">
        <v>0</v>
      </c>
      <c r="AY109" s="112">
        <v>0</v>
      </c>
    </row>
    <row r="110" spans="1:52" x14ac:dyDescent="0.2">
      <c r="A110" s="115"/>
      <c r="B110" s="125">
        <v>2</v>
      </c>
      <c r="C110" s="112">
        <v>0</v>
      </c>
      <c r="D110" s="112">
        <v>0</v>
      </c>
      <c r="E110" s="112">
        <v>0</v>
      </c>
      <c r="F110" s="112">
        <v>0</v>
      </c>
      <c r="G110" s="112">
        <v>0</v>
      </c>
      <c r="H110" s="112">
        <v>0</v>
      </c>
      <c r="I110" s="112">
        <v>0</v>
      </c>
      <c r="J110" s="112">
        <v>0</v>
      </c>
      <c r="K110" s="112">
        <v>0</v>
      </c>
      <c r="L110" s="112">
        <v>0</v>
      </c>
      <c r="M110" s="112">
        <v>0</v>
      </c>
      <c r="N110" s="112">
        <v>0</v>
      </c>
      <c r="O110" s="112">
        <v>0</v>
      </c>
      <c r="P110" s="112">
        <v>0</v>
      </c>
      <c r="Q110" s="112">
        <v>0</v>
      </c>
      <c r="R110" s="112">
        <v>0</v>
      </c>
      <c r="S110" s="112">
        <v>0</v>
      </c>
      <c r="T110" s="112">
        <v>0</v>
      </c>
      <c r="U110" s="112">
        <v>0</v>
      </c>
      <c r="V110" s="112">
        <v>0</v>
      </c>
      <c r="W110" s="112">
        <v>0</v>
      </c>
      <c r="X110" s="112">
        <v>0</v>
      </c>
      <c r="Y110" s="112">
        <v>0</v>
      </c>
      <c r="Z110" s="112">
        <v>0</v>
      </c>
      <c r="AA110" s="112">
        <v>0</v>
      </c>
      <c r="AB110" s="112">
        <v>0</v>
      </c>
      <c r="AC110" s="112">
        <v>0</v>
      </c>
      <c r="AD110" s="112">
        <v>0</v>
      </c>
      <c r="AE110" s="112">
        <v>0</v>
      </c>
      <c r="AF110" s="112">
        <v>0</v>
      </c>
      <c r="AG110" s="112">
        <v>0</v>
      </c>
      <c r="AH110" s="112">
        <v>0</v>
      </c>
      <c r="AI110" s="112">
        <v>0</v>
      </c>
      <c r="AJ110" s="112">
        <v>0</v>
      </c>
      <c r="AK110" s="112">
        <v>0</v>
      </c>
      <c r="AL110" s="112">
        <v>0</v>
      </c>
      <c r="AM110" s="112">
        <v>0</v>
      </c>
      <c r="AN110" s="112">
        <v>0</v>
      </c>
      <c r="AO110" s="112">
        <v>0</v>
      </c>
      <c r="AP110" s="112">
        <v>0</v>
      </c>
      <c r="AQ110" s="112">
        <v>0</v>
      </c>
      <c r="AR110" s="112">
        <v>0</v>
      </c>
      <c r="AS110" s="112">
        <v>0</v>
      </c>
      <c r="AT110" s="112">
        <v>0</v>
      </c>
      <c r="AU110" s="112">
        <v>0</v>
      </c>
      <c r="AV110" s="112">
        <v>0</v>
      </c>
      <c r="AW110" s="112">
        <v>0</v>
      </c>
      <c r="AX110" s="112">
        <v>0</v>
      </c>
      <c r="AY110" s="112">
        <v>0</v>
      </c>
    </row>
    <row r="111" spans="1:52" x14ac:dyDescent="0.2">
      <c r="A111" s="115"/>
      <c r="B111" s="125">
        <v>3</v>
      </c>
      <c r="C111" s="112">
        <v>0</v>
      </c>
      <c r="D111" s="112">
        <v>0</v>
      </c>
      <c r="E111" s="112">
        <v>0</v>
      </c>
      <c r="F111" s="112">
        <v>0</v>
      </c>
      <c r="G111" s="112">
        <v>0</v>
      </c>
      <c r="H111" s="112">
        <v>0</v>
      </c>
      <c r="I111" s="112">
        <v>0</v>
      </c>
      <c r="J111" s="112">
        <v>0</v>
      </c>
      <c r="K111" s="112">
        <v>0</v>
      </c>
      <c r="L111" s="112">
        <v>0</v>
      </c>
      <c r="M111" s="112">
        <v>0</v>
      </c>
      <c r="N111" s="112">
        <v>0</v>
      </c>
      <c r="O111" s="112">
        <v>0</v>
      </c>
      <c r="P111" s="112">
        <v>0</v>
      </c>
      <c r="Q111" s="112">
        <v>0</v>
      </c>
      <c r="R111" s="112">
        <v>0</v>
      </c>
      <c r="S111" s="112">
        <v>0</v>
      </c>
      <c r="T111" s="112">
        <v>0</v>
      </c>
      <c r="U111" s="112">
        <v>0</v>
      </c>
      <c r="V111" s="112">
        <v>0</v>
      </c>
      <c r="W111" s="112">
        <v>0</v>
      </c>
      <c r="X111" s="112">
        <v>0</v>
      </c>
      <c r="Y111" s="112">
        <v>0</v>
      </c>
      <c r="Z111" s="112">
        <v>0</v>
      </c>
      <c r="AA111" s="112">
        <v>0</v>
      </c>
      <c r="AB111" s="112">
        <v>0</v>
      </c>
      <c r="AC111" s="112">
        <v>0</v>
      </c>
      <c r="AD111" s="112">
        <v>0</v>
      </c>
      <c r="AE111" s="112">
        <v>0</v>
      </c>
      <c r="AF111" s="112">
        <v>0</v>
      </c>
      <c r="AG111" s="112">
        <v>0</v>
      </c>
      <c r="AH111" s="112">
        <v>0</v>
      </c>
      <c r="AI111" s="112">
        <v>0</v>
      </c>
      <c r="AJ111" s="112">
        <v>0</v>
      </c>
      <c r="AK111" s="112">
        <v>0</v>
      </c>
      <c r="AL111" s="112">
        <v>0</v>
      </c>
      <c r="AM111" s="112">
        <v>0</v>
      </c>
      <c r="AN111" s="112">
        <v>0</v>
      </c>
      <c r="AO111" s="112">
        <v>0</v>
      </c>
      <c r="AP111" s="112">
        <v>0</v>
      </c>
      <c r="AQ111" s="112">
        <v>0</v>
      </c>
      <c r="AR111" s="112">
        <v>0</v>
      </c>
      <c r="AS111" s="112">
        <v>0</v>
      </c>
      <c r="AT111" s="112">
        <v>0</v>
      </c>
      <c r="AU111" s="112">
        <v>0</v>
      </c>
      <c r="AV111" s="112">
        <v>0</v>
      </c>
      <c r="AW111" s="112">
        <v>0</v>
      </c>
      <c r="AX111" s="112">
        <v>0</v>
      </c>
      <c r="AY111" s="112">
        <v>0</v>
      </c>
    </row>
    <row r="112" spans="1:52" x14ac:dyDescent="0.2">
      <c r="A112" s="115"/>
      <c r="B112" s="126">
        <v>4</v>
      </c>
      <c r="C112" s="112">
        <v>0</v>
      </c>
      <c r="D112" s="112">
        <v>0</v>
      </c>
      <c r="E112" s="112">
        <v>0</v>
      </c>
      <c r="F112" s="112">
        <v>0</v>
      </c>
      <c r="G112" s="112">
        <v>0</v>
      </c>
      <c r="H112" s="112">
        <v>0</v>
      </c>
      <c r="I112" s="112">
        <v>0</v>
      </c>
      <c r="J112" s="112">
        <v>0</v>
      </c>
      <c r="K112" s="112">
        <v>0</v>
      </c>
      <c r="L112" s="112">
        <v>0</v>
      </c>
      <c r="M112" s="112">
        <v>0</v>
      </c>
      <c r="N112" s="112">
        <v>0</v>
      </c>
      <c r="O112" s="112">
        <v>0</v>
      </c>
      <c r="P112" s="112">
        <v>0</v>
      </c>
      <c r="Q112" s="112">
        <v>0</v>
      </c>
      <c r="R112" s="112">
        <v>0</v>
      </c>
      <c r="S112" s="112">
        <v>0</v>
      </c>
      <c r="T112" s="112">
        <v>0</v>
      </c>
      <c r="U112" s="112">
        <v>0</v>
      </c>
      <c r="V112" s="112">
        <v>0</v>
      </c>
      <c r="W112" s="112">
        <v>0</v>
      </c>
      <c r="X112" s="112">
        <v>0</v>
      </c>
      <c r="Y112" s="112">
        <v>0</v>
      </c>
      <c r="Z112" s="112">
        <v>0</v>
      </c>
      <c r="AA112" s="112">
        <v>0</v>
      </c>
      <c r="AB112" s="112">
        <v>0</v>
      </c>
      <c r="AC112" s="112">
        <v>0</v>
      </c>
      <c r="AD112" s="112">
        <v>0</v>
      </c>
      <c r="AE112" s="112">
        <v>0</v>
      </c>
      <c r="AF112" s="112">
        <v>0</v>
      </c>
      <c r="AG112" s="112">
        <v>0</v>
      </c>
      <c r="AH112" s="112">
        <v>0</v>
      </c>
      <c r="AI112" s="112">
        <v>0</v>
      </c>
      <c r="AJ112" s="112">
        <v>0</v>
      </c>
      <c r="AK112" s="112">
        <v>0</v>
      </c>
      <c r="AL112" s="112">
        <v>0</v>
      </c>
      <c r="AM112" s="112">
        <v>0</v>
      </c>
      <c r="AN112" s="112">
        <v>0</v>
      </c>
      <c r="AO112" s="112">
        <v>0</v>
      </c>
      <c r="AP112" s="112">
        <v>0</v>
      </c>
      <c r="AQ112" s="112">
        <v>0</v>
      </c>
      <c r="AR112" s="112">
        <v>0</v>
      </c>
      <c r="AS112" s="112">
        <v>0</v>
      </c>
      <c r="AT112" s="112">
        <v>0</v>
      </c>
      <c r="AU112" s="112">
        <v>0</v>
      </c>
      <c r="AV112" s="112">
        <v>0</v>
      </c>
      <c r="AW112" s="112">
        <v>0</v>
      </c>
      <c r="AX112" s="112">
        <v>0</v>
      </c>
      <c r="AY112" s="112">
        <v>0</v>
      </c>
    </row>
    <row r="113" spans="1:52" x14ac:dyDescent="0.2">
      <c r="A113" s="115"/>
      <c r="B113" s="126">
        <v>5</v>
      </c>
      <c r="C113" s="112">
        <v>0</v>
      </c>
      <c r="D113" s="112">
        <v>0</v>
      </c>
      <c r="E113" s="112">
        <v>0</v>
      </c>
      <c r="F113" s="112">
        <v>0</v>
      </c>
      <c r="G113" s="112">
        <v>0</v>
      </c>
      <c r="H113" s="112">
        <v>0</v>
      </c>
      <c r="I113" s="112">
        <v>0</v>
      </c>
      <c r="J113" s="112">
        <v>0</v>
      </c>
      <c r="K113" s="112">
        <v>0</v>
      </c>
      <c r="L113" s="112">
        <v>0</v>
      </c>
      <c r="M113" s="112">
        <v>0</v>
      </c>
      <c r="N113" s="112">
        <v>0</v>
      </c>
      <c r="O113" s="112">
        <v>0</v>
      </c>
      <c r="P113" s="112">
        <v>0</v>
      </c>
      <c r="Q113" s="112">
        <v>0</v>
      </c>
      <c r="R113" s="112">
        <v>0</v>
      </c>
      <c r="S113" s="112">
        <v>0</v>
      </c>
      <c r="T113" s="112">
        <v>0</v>
      </c>
      <c r="U113" s="112">
        <v>0</v>
      </c>
      <c r="V113" s="112">
        <v>0</v>
      </c>
      <c r="W113" s="112">
        <v>0</v>
      </c>
      <c r="X113" s="112">
        <v>0</v>
      </c>
      <c r="Y113" s="112">
        <v>0</v>
      </c>
      <c r="Z113" s="112">
        <v>0</v>
      </c>
      <c r="AA113" s="112">
        <v>0</v>
      </c>
      <c r="AB113" s="112">
        <v>0</v>
      </c>
      <c r="AC113" s="112">
        <v>0</v>
      </c>
      <c r="AD113" s="112">
        <v>0</v>
      </c>
      <c r="AE113" s="112">
        <v>0</v>
      </c>
      <c r="AF113" s="112">
        <v>0</v>
      </c>
      <c r="AG113" s="112">
        <v>0</v>
      </c>
      <c r="AH113" s="112">
        <v>0</v>
      </c>
      <c r="AI113" s="112">
        <v>0</v>
      </c>
      <c r="AJ113" s="112">
        <v>0</v>
      </c>
      <c r="AK113" s="112">
        <v>0</v>
      </c>
      <c r="AL113" s="112">
        <v>0</v>
      </c>
      <c r="AM113" s="112">
        <v>0</v>
      </c>
      <c r="AN113" s="112">
        <v>0</v>
      </c>
      <c r="AO113" s="112">
        <v>0</v>
      </c>
      <c r="AP113" s="112">
        <v>0</v>
      </c>
      <c r="AQ113" s="112">
        <v>0</v>
      </c>
      <c r="AR113" s="112">
        <v>0</v>
      </c>
      <c r="AS113" s="112">
        <v>0</v>
      </c>
      <c r="AT113" s="112">
        <v>0</v>
      </c>
      <c r="AU113" s="112">
        <v>0</v>
      </c>
      <c r="AV113" s="112">
        <v>0</v>
      </c>
      <c r="AW113" s="112">
        <v>0</v>
      </c>
      <c r="AX113" s="112">
        <v>0</v>
      </c>
      <c r="AY113" s="112">
        <v>0</v>
      </c>
    </row>
    <row r="114" spans="1:52" x14ac:dyDescent="0.2">
      <c r="A114" s="115"/>
      <c r="B114" s="126">
        <v>6</v>
      </c>
      <c r="C114" s="112">
        <v>0</v>
      </c>
      <c r="D114" s="112">
        <v>0</v>
      </c>
      <c r="E114" s="112">
        <v>0</v>
      </c>
      <c r="F114" s="112">
        <v>0</v>
      </c>
      <c r="G114" s="112">
        <v>0</v>
      </c>
      <c r="H114" s="112">
        <v>0</v>
      </c>
      <c r="I114" s="112">
        <v>0</v>
      </c>
      <c r="J114" s="112">
        <v>0</v>
      </c>
      <c r="K114" s="112">
        <v>0</v>
      </c>
      <c r="L114" s="112">
        <v>0</v>
      </c>
      <c r="M114" s="112">
        <v>0</v>
      </c>
      <c r="N114" s="112">
        <v>0</v>
      </c>
      <c r="O114" s="112">
        <v>0</v>
      </c>
      <c r="P114" s="112">
        <v>0</v>
      </c>
      <c r="Q114" s="112">
        <v>0</v>
      </c>
      <c r="R114" s="112">
        <v>0</v>
      </c>
      <c r="S114" s="112">
        <v>0</v>
      </c>
      <c r="T114" s="112">
        <v>0</v>
      </c>
      <c r="U114" s="112">
        <v>0</v>
      </c>
      <c r="V114" s="112">
        <v>0</v>
      </c>
      <c r="W114" s="112">
        <v>0</v>
      </c>
      <c r="X114" s="112">
        <v>0</v>
      </c>
      <c r="Y114" s="112">
        <v>0</v>
      </c>
      <c r="Z114" s="112">
        <v>0</v>
      </c>
      <c r="AA114" s="112">
        <v>0</v>
      </c>
      <c r="AB114" s="112">
        <v>0</v>
      </c>
      <c r="AC114" s="112">
        <v>0</v>
      </c>
      <c r="AD114" s="112">
        <v>0</v>
      </c>
      <c r="AE114" s="112">
        <v>0</v>
      </c>
      <c r="AF114" s="112">
        <v>0</v>
      </c>
      <c r="AG114" s="112">
        <v>0</v>
      </c>
      <c r="AH114" s="112">
        <v>0</v>
      </c>
      <c r="AI114" s="112">
        <v>0</v>
      </c>
      <c r="AJ114" s="112">
        <v>0</v>
      </c>
      <c r="AK114" s="112">
        <v>0</v>
      </c>
      <c r="AL114" s="112">
        <v>0</v>
      </c>
      <c r="AM114" s="112">
        <v>0</v>
      </c>
      <c r="AN114" s="112">
        <v>0</v>
      </c>
      <c r="AO114" s="112">
        <v>0</v>
      </c>
      <c r="AP114" s="112">
        <v>0</v>
      </c>
      <c r="AQ114" s="112">
        <v>0</v>
      </c>
      <c r="AR114" s="112">
        <v>0</v>
      </c>
      <c r="AS114" s="112">
        <v>0</v>
      </c>
      <c r="AT114" s="112">
        <v>0</v>
      </c>
      <c r="AU114" s="112">
        <v>0</v>
      </c>
      <c r="AV114" s="112">
        <v>0</v>
      </c>
      <c r="AW114" s="112">
        <v>0</v>
      </c>
      <c r="AX114" s="112">
        <v>0</v>
      </c>
      <c r="AY114" s="112">
        <v>0</v>
      </c>
    </row>
    <row r="115" spans="1:52" x14ac:dyDescent="0.2">
      <c r="A115" s="115"/>
      <c r="B115" s="133">
        <v>7</v>
      </c>
      <c r="C115" s="112">
        <v>0</v>
      </c>
      <c r="D115" s="112">
        <v>0</v>
      </c>
      <c r="E115" s="112">
        <v>0</v>
      </c>
      <c r="F115" s="112">
        <v>0</v>
      </c>
      <c r="G115" s="112">
        <v>0</v>
      </c>
      <c r="H115" s="112">
        <v>0</v>
      </c>
      <c r="I115" s="112">
        <v>0</v>
      </c>
      <c r="J115" s="112">
        <v>0</v>
      </c>
      <c r="K115" s="112">
        <v>0</v>
      </c>
      <c r="L115" s="112">
        <v>0</v>
      </c>
      <c r="M115" s="112">
        <v>0</v>
      </c>
      <c r="N115" s="112">
        <v>0</v>
      </c>
      <c r="O115" s="112">
        <v>0</v>
      </c>
      <c r="P115" s="112">
        <v>0</v>
      </c>
      <c r="Q115" s="112">
        <v>0</v>
      </c>
      <c r="R115" s="112">
        <v>0</v>
      </c>
      <c r="S115" s="112">
        <v>0</v>
      </c>
      <c r="T115" s="112">
        <v>0</v>
      </c>
      <c r="U115" s="112">
        <v>0</v>
      </c>
      <c r="V115" s="112">
        <v>0</v>
      </c>
      <c r="W115" s="112">
        <v>0</v>
      </c>
      <c r="X115" s="112">
        <v>0</v>
      </c>
      <c r="Y115" s="112">
        <v>0</v>
      </c>
      <c r="Z115" s="112">
        <v>0</v>
      </c>
      <c r="AA115" s="112">
        <v>0</v>
      </c>
      <c r="AB115" s="112">
        <v>0</v>
      </c>
      <c r="AC115" s="112">
        <v>0</v>
      </c>
      <c r="AD115" s="112">
        <v>0</v>
      </c>
      <c r="AE115" s="112">
        <v>0</v>
      </c>
      <c r="AF115" s="112">
        <v>0</v>
      </c>
      <c r="AG115" s="112">
        <v>0</v>
      </c>
      <c r="AH115" s="112">
        <v>0</v>
      </c>
      <c r="AI115" s="112">
        <v>0</v>
      </c>
      <c r="AJ115" s="112">
        <v>0</v>
      </c>
      <c r="AK115" s="112">
        <v>0</v>
      </c>
      <c r="AL115" s="112">
        <v>0</v>
      </c>
      <c r="AM115" s="112">
        <v>0</v>
      </c>
      <c r="AN115" s="112">
        <v>0</v>
      </c>
      <c r="AO115" s="112">
        <v>0</v>
      </c>
      <c r="AP115" s="112">
        <v>0</v>
      </c>
      <c r="AQ115" s="112">
        <v>0</v>
      </c>
      <c r="AR115" s="112">
        <v>0</v>
      </c>
      <c r="AS115" s="112">
        <v>0</v>
      </c>
      <c r="AT115" s="112">
        <v>0</v>
      </c>
      <c r="AU115" s="112">
        <v>0</v>
      </c>
      <c r="AV115" s="112">
        <v>0</v>
      </c>
      <c r="AW115" s="112">
        <v>0</v>
      </c>
      <c r="AX115" s="112">
        <v>0</v>
      </c>
      <c r="AY115" s="112">
        <v>0</v>
      </c>
    </row>
    <row r="116" spans="1:52" x14ac:dyDescent="0.2">
      <c r="A116" s="115"/>
      <c r="B116" s="133">
        <v>8</v>
      </c>
      <c r="C116" s="112">
        <v>0</v>
      </c>
      <c r="D116" s="112">
        <v>0</v>
      </c>
      <c r="E116" s="112">
        <v>0</v>
      </c>
      <c r="F116" s="112">
        <v>0</v>
      </c>
      <c r="G116" s="112">
        <v>0</v>
      </c>
      <c r="H116" s="112">
        <v>0</v>
      </c>
      <c r="I116" s="112">
        <v>0</v>
      </c>
      <c r="J116" s="112">
        <v>0</v>
      </c>
      <c r="K116" s="112">
        <v>0</v>
      </c>
      <c r="L116" s="112">
        <v>0</v>
      </c>
      <c r="M116" s="112">
        <v>0</v>
      </c>
      <c r="N116" s="112">
        <v>0</v>
      </c>
      <c r="O116" s="112">
        <v>0</v>
      </c>
      <c r="P116" s="112">
        <v>0</v>
      </c>
      <c r="Q116" s="112">
        <v>0</v>
      </c>
      <c r="R116" s="112">
        <v>0</v>
      </c>
      <c r="S116" s="112">
        <v>0</v>
      </c>
      <c r="T116" s="112">
        <v>0</v>
      </c>
      <c r="U116" s="112">
        <v>0</v>
      </c>
      <c r="V116" s="112">
        <v>0</v>
      </c>
      <c r="W116" s="112">
        <v>0</v>
      </c>
      <c r="X116" s="112">
        <v>0</v>
      </c>
      <c r="Y116" s="112">
        <v>0</v>
      </c>
      <c r="Z116" s="112">
        <v>0</v>
      </c>
      <c r="AA116" s="112">
        <v>0</v>
      </c>
      <c r="AB116" s="112">
        <v>0</v>
      </c>
      <c r="AC116" s="112">
        <v>0</v>
      </c>
      <c r="AD116" s="112">
        <v>0</v>
      </c>
      <c r="AE116" s="112">
        <v>0</v>
      </c>
      <c r="AF116" s="112">
        <v>0</v>
      </c>
      <c r="AG116" s="112">
        <v>0</v>
      </c>
      <c r="AH116" s="112">
        <v>0</v>
      </c>
      <c r="AI116" s="112">
        <v>0</v>
      </c>
      <c r="AJ116" s="112">
        <v>0</v>
      </c>
      <c r="AK116" s="112">
        <v>0</v>
      </c>
      <c r="AL116" s="112">
        <v>0</v>
      </c>
      <c r="AM116" s="112">
        <v>0</v>
      </c>
      <c r="AN116" s="112">
        <v>0</v>
      </c>
      <c r="AO116" s="112">
        <v>0</v>
      </c>
      <c r="AP116" s="112">
        <v>0</v>
      </c>
      <c r="AQ116" s="112">
        <v>0</v>
      </c>
      <c r="AR116" s="112">
        <v>0</v>
      </c>
      <c r="AS116" s="112">
        <v>0</v>
      </c>
      <c r="AT116" s="112">
        <v>0</v>
      </c>
      <c r="AU116" s="112">
        <v>0</v>
      </c>
      <c r="AV116" s="112">
        <v>0</v>
      </c>
      <c r="AW116" s="112">
        <v>0</v>
      </c>
      <c r="AX116" s="112">
        <v>0</v>
      </c>
      <c r="AY116" s="112">
        <v>0</v>
      </c>
    </row>
    <row r="117" spans="1:52" x14ac:dyDescent="0.2">
      <c r="A117" s="115"/>
      <c r="B117" s="133">
        <v>9</v>
      </c>
      <c r="C117" s="112">
        <v>0</v>
      </c>
      <c r="D117" s="112">
        <v>0</v>
      </c>
      <c r="E117" s="112">
        <v>0</v>
      </c>
      <c r="F117" s="112">
        <v>0</v>
      </c>
      <c r="G117" s="112">
        <v>0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</v>
      </c>
      <c r="N117" s="112">
        <v>0</v>
      </c>
      <c r="O117" s="112">
        <v>0</v>
      </c>
      <c r="P117" s="112">
        <v>0</v>
      </c>
      <c r="Q117" s="112">
        <v>0</v>
      </c>
      <c r="R117" s="112">
        <v>0</v>
      </c>
      <c r="S117" s="112">
        <v>0</v>
      </c>
      <c r="T117" s="112">
        <v>0</v>
      </c>
      <c r="U117" s="112">
        <v>0</v>
      </c>
      <c r="V117" s="112">
        <v>0</v>
      </c>
      <c r="W117" s="112">
        <v>0</v>
      </c>
      <c r="X117" s="112">
        <v>0</v>
      </c>
      <c r="Y117" s="112">
        <v>0</v>
      </c>
      <c r="Z117" s="112">
        <v>0</v>
      </c>
      <c r="AA117" s="112">
        <v>0</v>
      </c>
      <c r="AB117" s="112">
        <v>0</v>
      </c>
      <c r="AC117" s="112">
        <v>0</v>
      </c>
      <c r="AD117" s="112">
        <v>0</v>
      </c>
      <c r="AE117" s="112">
        <v>0</v>
      </c>
      <c r="AF117" s="112">
        <v>0</v>
      </c>
      <c r="AG117" s="112">
        <v>0</v>
      </c>
      <c r="AH117" s="112">
        <v>0</v>
      </c>
      <c r="AI117" s="112">
        <v>0</v>
      </c>
      <c r="AJ117" s="112">
        <v>0</v>
      </c>
      <c r="AK117" s="112">
        <v>0</v>
      </c>
      <c r="AL117" s="112">
        <v>0</v>
      </c>
      <c r="AM117" s="112">
        <v>0</v>
      </c>
      <c r="AN117" s="112">
        <v>0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0</v>
      </c>
      <c r="AV117" s="112">
        <v>0</v>
      </c>
      <c r="AW117" s="112">
        <v>0</v>
      </c>
      <c r="AX117" s="112">
        <v>0</v>
      </c>
      <c r="AY117" s="112">
        <v>0</v>
      </c>
    </row>
    <row r="118" spans="1:52" x14ac:dyDescent="0.2">
      <c r="A118" s="115"/>
      <c r="B118" s="136">
        <v>10</v>
      </c>
      <c r="C118" s="112">
        <v>0</v>
      </c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>
        <v>0</v>
      </c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>
        <v>0</v>
      </c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296</v>
      </c>
      <c r="C121" s="120">
        <v>0</v>
      </c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0</v>
      </c>
    </row>
    <row r="122" spans="1:52" x14ac:dyDescent="0.2">
      <c r="A122" s="137" t="s">
        <v>123</v>
      </c>
      <c r="B122" s="125">
        <v>1</v>
      </c>
      <c r="C122" s="112">
        <v>32260.777211415654</v>
      </c>
      <c r="D122" s="112">
        <v>36293.374362842609</v>
      </c>
      <c r="E122" s="112">
        <v>36293.374362842609</v>
      </c>
      <c r="F122" s="112">
        <v>36293.374362842609</v>
      </c>
      <c r="G122" s="112">
        <v>36293.374362842609</v>
      </c>
      <c r="H122" s="112">
        <v>32260.777211415654</v>
      </c>
      <c r="I122" s="112">
        <v>32260.777211415654</v>
      </c>
      <c r="J122" s="112">
        <v>32260.777211415654</v>
      </c>
      <c r="K122" s="112">
        <v>32260.777211415654</v>
      </c>
      <c r="L122" s="112">
        <v>32260.777211415654</v>
      </c>
      <c r="M122" s="112">
        <v>32260.777211415654</v>
      </c>
      <c r="N122" s="112">
        <v>32260.777211415654</v>
      </c>
      <c r="O122" s="112">
        <v>32260.777211415654</v>
      </c>
      <c r="P122" s="112">
        <v>36293.374362842609</v>
      </c>
      <c r="Q122" s="112">
        <v>36293.374362842609</v>
      </c>
      <c r="R122" s="112">
        <v>36293.374362842609</v>
      </c>
      <c r="S122" s="112">
        <v>36293.374362842609</v>
      </c>
      <c r="T122" s="112">
        <v>32260.777211415654</v>
      </c>
      <c r="U122" s="112">
        <v>32260.777211415654</v>
      </c>
      <c r="V122" s="112">
        <v>32260.777211415654</v>
      </c>
      <c r="W122" s="112">
        <v>32260.777211415654</v>
      </c>
      <c r="X122" s="112">
        <v>32260.777211415654</v>
      </c>
      <c r="Y122" s="112">
        <v>32260.777211415654</v>
      </c>
      <c r="Z122" s="112">
        <v>32260.777211415654</v>
      </c>
      <c r="AA122" s="112">
        <v>32260.777211415654</v>
      </c>
      <c r="AB122" s="112">
        <v>36293.374362842609</v>
      </c>
      <c r="AC122" s="112">
        <v>36293.374362842609</v>
      </c>
      <c r="AD122" s="112">
        <v>36293.374362842609</v>
      </c>
      <c r="AE122" s="112">
        <v>36293.374362842609</v>
      </c>
      <c r="AF122" s="112">
        <v>32260.777211415654</v>
      </c>
      <c r="AG122" s="112">
        <v>32260.777211415654</v>
      </c>
      <c r="AH122" s="112">
        <v>32260.777211415654</v>
      </c>
      <c r="AI122" s="112">
        <v>32260.777211415654</v>
      </c>
      <c r="AJ122" s="112">
        <v>32260.777211415654</v>
      </c>
      <c r="AK122" s="112">
        <v>32260.777211415654</v>
      </c>
      <c r="AL122" s="112">
        <v>32260.777211415654</v>
      </c>
      <c r="AM122" s="112">
        <v>32260.777211415654</v>
      </c>
      <c r="AN122" s="112">
        <v>36293.374362842609</v>
      </c>
      <c r="AO122" s="112">
        <v>36293.374362842609</v>
      </c>
      <c r="AP122" s="112">
        <v>36293.374362842609</v>
      </c>
      <c r="AQ122" s="112">
        <v>36293.374362842609</v>
      </c>
      <c r="AR122" s="112">
        <v>32260.777211415654</v>
      </c>
      <c r="AS122" s="112">
        <v>32260.777211415654</v>
      </c>
      <c r="AT122" s="112">
        <v>32260.777211415654</v>
      </c>
      <c r="AU122" s="112">
        <v>32260.777211415654</v>
      </c>
      <c r="AV122" s="112">
        <v>32260.777211415654</v>
      </c>
      <c r="AW122" s="112">
        <v>32260.777211415654</v>
      </c>
      <c r="AX122" s="112">
        <v>32260.777211415654</v>
      </c>
      <c r="AY122" s="112">
        <v>32260.777211415654</v>
      </c>
    </row>
    <row r="123" spans="1:52" x14ac:dyDescent="0.2">
      <c r="A123" s="115"/>
      <c r="B123" s="125">
        <v>2</v>
      </c>
      <c r="C123" s="112">
        <v>18368.336667375432</v>
      </c>
      <c r="D123" s="112">
        <v>14706.6256371574</v>
      </c>
      <c r="E123" s="112">
        <v>14706.625637157389</v>
      </c>
      <c r="F123" s="112">
        <v>14706.625637157387</v>
      </c>
      <c r="G123" s="112">
        <v>14706.625637157393</v>
      </c>
      <c r="H123" s="112">
        <v>18739.222788584346</v>
      </c>
      <c r="I123" s="112">
        <v>18368.336667375428</v>
      </c>
      <c r="J123" s="112">
        <v>18368.336667375428</v>
      </c>
      <c r="K123" s="112">
        <v>18368.336667375428</v>
      </c>
      <c r="L123" s="112">
        <v>18368.336667375428</v>
      </c>
      <c r="M123" s="112">
        <v>18368.336667375428</v>
      </c>
      <c r="N123" s="112">
        <v>18368.336667375428</v>
      </c>
      <c r="O123" s="112">
        <v>18368.336667375428</v>
      </c>
      <c r="P123" s="112">
        <v>14706.625637157398</v>
      </c>
      <c r="Q123" s="112">
        <v>14706.625637157398</v>
      </c>
      <c r="R123" s="112">
        <v>14706.625637157398</v>
      </c>
      <c r="S123" s="112">
        <v>14706.625637157398</v>
      </c>
      <c r="T123" s="112">
        <v>18739.222788584342</v>
      </c>
      <c r="U123" s="112">
        <v>18368.336667375428</v>
      </c>
      <c r="V123" s="112">
        <v>18368.336667375428</v>
      </c>
      <c r="W123" s="112">
        <v>18368.336667375428</v>
      </c>
      <c r="X123" s="112">
        <v>18368.336667375428</v>
      </c>
      <c r="Y123" s="112">
        <v>18368.336667375428</v>
      </c>
      <c r="Z123" s="112">
        <v>18368.336667375428</v>
      </c>
      <c r="AA123" s="112">
        <v>18368.336667375428</v>
      </c>
      <c r="AB123" s="112">
        <v>14706.625637157395</v>
      </c>
      <c r="AC123" s="112">
        <v>14706.625637157385</v>
      </c>
      <c r="AD123" s="112">
        <v>14706.625637157405</v>
      </c>
      <c r="AE123" s="112">
        <v>14706.625637157398</v>
      </c>
      <c r="AF123" s="112">
        <v>18739.222788584342</v>
      </c>
      <c r="AG123" s="112">
        <v>18368.336667375428</v>
      </c>
      <c r="AH123" s="112">
        <v>18368.336667375428</v>
      </c>
      <c r="AI123" s="112">
        <v>18368.336667375428</v>
      </c>
      <c r="AJ123" s="112">
        <v>18368.336667375428</v>
      </c>
      <c r="AK123" s="112">
        <v>18368.336667375428</v>
      </c>
      <c r="AL123" s="112">
        <v>18368.336667375428</v>
      </c>
      <c r="AM123" s="112">
        <v>18368.336667375428</v>
      </c>
      <c r="AN123" s="112">
        <v>14706.625637157382</v>
      </c>
      <c r="AO123" s="112">
        <v>14706.625637157396</v>
      </c>
      <c r="AP123" s="112">
        <v>14706.625637157396</v>
      </c>
      <c r="AQ123" s="112">
        <v>14706.625637157396</v>
      </c>
      <c r="AR123" s="112">
        <v>18739.222788584339</v>
      </c>
      <c r="AS123" s="112">
        <v>18368.336667375428</v>
      </c>
      <c r="AT123" s="112">
        <v>18368.336667375428</v>
      </c>
      <c r="AU123" s="112">
        <v>18368.336667375428</v>
      </c>
      <c r="AV123" s="112">
        <v>18368.336667375428</v>
      </c>
      <c r="AW123" s="112">
        <v>18368.336667375432</v>
      </c>
      <c r="AX123" s="112">
        <v>18368.336667375432</v>
      </c>
      <c r="AY123" s="112">
        <v>18368.336667375432</v>
      </c>
    </row>
    <row r="124" spans="1:52" x14ac:dyDescent="0.2">
      <c r="A124" s="115"/>
      <c r="B124" s="125">
        <v>3</v>
      </c>
      <c r="C124" s="112">
        <v>370.88612120890502</v>
      </c>
      <c r="D124" s="112">
        <v>0</v>
      </c>
      <c r="E124" s="112">
        <v>0</v>
      </c>
      <c r="F124" s="112">
        <v>0</v>
      </c>
      <c r="G124" s="112">
        <v>0</v>
      </c>
      <c r="H124" s="112">
        <v>0</v>
      </c>
      <c r="I124" s="112">
        <v>370.88612120891958</v>
      </c>
      <c r="J124" s="112">
        <v>370.88612120891048</v>
      </c>
      <c r="K124" s="112">
        <v>370.88612120891594</v>
      </c>
      <c r="L124" s="112">
        <v>370.88612120891776</v>
      </c>
      <c r="M124" s="112">
        <v>370.88612120891594</v>
      </c>
      <c r="N124" s="112">
        <v>370.88612120891958</v>
      </c>
      <c r="O124" s="112">
        <v>370.8861212089214</v>
      </c>
      <c r="P124" s="112">
        <v>0</v>
      </c>
      <c r="Q124" s="112">
        <v>0</v>
      </c>
      <c r="R124" s="112">
        <v>0</v>
      </c>
      <c r="S124" s="112">
        <v>0</v>
      </c>
      <c r="T124" s="112">
        <v>0</v>
      </c>
      <c r="U124" s="112">
        <v>370.88612120891776</v>
      </c>
      <c r="V124" s="112">
        <v>370.88612120891594</v>
      </c>
      <c r="W124" s="112">
        <v>370.88612120891594</v>
      </c>
      <c r="X124" s="112">
        <v>370.88612120890684</v>
      </c>
      <c r="Y124" s="112">
        <v>370.88612120891412</v>
      </c>
      <c r="Z124" s="112">
        <v>370.88612120891776</v>
      </c>
      <c r="AA124" s="112">
        <v>370.88612120890866</v>
      </c>
      <c r="AB124" s="112">
        <v>0</v>
      </c>
      <c r="AC124" s="112">
        <v>0</v>
      </c>
      <c r="AD124" s="112">
        <v>0</v>
      </c>
      <c r="AE124" s="112">
        <v>0</v>
      </c>
      <c r="AF124" s="112">
        <v>0</v>
      </c>
      <c r="AG124" s="112">
        <v>370.88612120891412</v>
      </c>
      <c r="AH124" s="112">
        <v>370.88612120890684</v>
      </c>
      <c r="AI124" s="112">
        <v>370.88612120892503</v>
      </c>
      <c r="AJ124" s="112">
        <v>370.8861212089123</v>
      </c>
      <c r="AK124" s="112">
        <v>370.88612120891594</v>
      </c>
      <c r="AL124" s="112">
        <v>370.88612120891958</v>
      </c>
      <c r="AM124" s="112">
        <v>370.88612120891776</v>
      </c>
      <c r="AN124" s="112">
        <v>0</v>
      </c>
      <c r="AO124" s="112">
        <v>0</v>
      </c>
      <c r="AP124" s="112">
        <v>0</v>
      </c>
      <c r="AQ124" s="112">
        <v>0</v>
      </c>
      <c r="AR124" s="112">
        <v>0</v>
      </c>
      <c r="AS124" s="112">
        <v>370.8861212089214</v>
      </c>
      <c r="AT124" s="112">
        <v>370.88612120891048</v>
      </c>
      <c r="AU124" s="112">
        <v>370.88612120892685</v>
      </c>
      <c r="AV124" s="112">
        <v>370.88612120891776</v>
      </c>
      <c r="AW124" s="112">
        <v>370.88612120890321</v>
      </c>
      <c r="AX124" s="112">
        <v>370.88612120890866</v>
      </c>
      <c r="AY124" s="112">
        <v>370.88612120891412</v>
      </c>
    </row>
    <row r="125" spans="1:52" x14ac:dyDescent="0.2">
      <c r="A125" s="115"/>
      <c r="B125" s="125">
        <v>4</v>
      </c>
      <c r="C125" s="112">
        <v>0</v>
      </c>
      <c r="D125" s="112">
        <v>0</v>
      </c>
      <c r="E125" s="112">
        <v>0</v>
      </c>
      <c r="F125" s="112">
        <v>0</v>
      </c>
      <c r="G125" s="112">
        <v>0</v>
      </c>
      <c r="H125" s="112">
        <v>0</v>
      </c>
      <c r="I125" s="112">
        <v>0</v>
      </c>
      <c r="J125" s="112">
        <v>0</v>
      </c>
      <c r="K125" s="112">
        <v>0</v>
      </c>
      <c r="L125" s="112">
        <v>0</v>
      </c>
      <c r="M125" s="112">
        <v>0</v>
      </c>
      <c r="N125" s="112">
        <v>0</v>
      </c>
      <c r="O125" s="112">
        <v>0</v>
      </c>
      <c r="P125" s="112">
        <v>0</v>
      </c>
      <c r="Q125" s="112">
        <v>0</v>
      </c>
      <c r="R125" s="112">
        <v>0</v>
      </c>
      <c r="S125" s="112">
        <v>0</v>
      </c>
      <c r="T125" s="112">
        <v>0</v>
      </c>
      <c r="U125" s="112">
        <v>0</v>
      </c>
      <c r="V125" s="112">
        <v>0</v>
      </c>
      <c r="W125" s="112">
        <v>0</v>
      </c>
      <c r="X125" s="112">
        <v>0</v>
      </c>
      <c r="Y125" s="112">
        <v>0</v>
      </c>
      <c r="Z125" s="112">
        <v>0</v>
      </c>
      <c r="AA125" s="112">
        <v>0</v>
      </c>
      <c r="AB125" s="112">
        <v>0</v>
      </c>
      <c r="AC125" s="112">
        <v>0</v>
      </c>
      <c r="AD125" s="112">
        <v>0</v>
      </c>
      <c r="AE125" s="112">
        <v>0</v>
      </c>
      <c r="AF125" s="112">
        <v>0</v>
      </c>
      <c r="AG125" s="112">
        <v>0</v>
      </c>
      <c r="AH125" s="112">
        <v>0</v>
      </c>
      <c r="AI125" s="112">
        <v>0</v>
      </c>
      <c r="AJ125" s="112">
        <v>0</v>
      </c>
      <c r="AK125" s="112">
        <v>0</v>
      </c>
      <c r="AL125" s="112">
        <v>0</v>
      </c>
      <c r="AM125" s="112">
        <v>0</v>
      </c>
      <c r="AN125" s="112">
        <v>0</v>
      </c>
      <c r="AO125" s="112">
        <v>0</v>
      </c>
      <c r="AP125" s="112">
        <v>0</v>
      </c>
      <c r="AQ125" s="112">
        <v>0</v>
      </c>
      <c r="AR125" s="112">
        <v>0</v>
      </c>
      <c r="AS125" s="112">
        <v>0</v>
      </c>
      <c r="AT125" s="112">
        <v>0</v>
      </c>
      <c r="AU125" s="112">
        <v>0</v>
      </c>
      <c r="AV125" s="112">
        <v>0</v>
      </c>
      <c r="AW125" s="112">
        <v>0</v>
      </c>
      <c r="AX125" s="112">
        <v>0</v>
      </c>
      <c r="AY125" s="112">
        <v>0</v>
      </c>
    </row>
    <row r="126" spans="1:52" x14ac:dyDescent="0.2">
      <c r="A126" s="115"/>
      <c r="B126" s="125">
        <v>5</v>
      </c>
      <c r="C126" s="112">
        <v>0</v>
      </c>
      <c r="D126" s="112">
        <v>0</v>
      </c>
      <c r="E126" s="112">
        <v>0</v>
      </c>
      <c r="F126" s="112">
        <v>0</v>
      </c>
      <c r="G126" s="112">
        <v>0</v>
      </c>
      <c r="H126" s="112">
        <v>0</v>
      </c>
      <c r="I126" s="112">
        <v>0</v>
      </c>
      <c r="J126" s="112">
        <v>0</v>
      </c>
      <c r="K126" s="112">
        <v>0</v>
      </c>
      <c r="L126" s="112">
        <v>0</v>
      </c>
      <c r="M126" s="112">
        <v>0</v>
      </c>
      <c r="N126" s="112">
        <v>0</v>
      </c>
      <c r="O126" s="112">
        <v>0</v>
      </c>
      <c r="P126" s="112">
        <v>0</v>
      </c>
      <c r="Q126" s="112">
        <v>0</v>
      </c>
      <c r="R126" s="112">
        <v>0</v>
      </c>
      <c r="S126" s="112">
        <v>0</v>
      </c>
      <c r="T126" s="112">
        <v>0</v>
      </c>
      <c r="U126" s="112">
        <v>0</v>
      </c>
      <c r="V126" s="112">
        <v>0</v>
      </c>
      <c r="W126" s="112">
        <v>0</v>
      </c>
      <c r="X126" s="112">
        <v>0</v>
      </c>
      <c r="Y126" s="112">
        <v>0</v>
      </c>
      <c r="Z126" s="112">
        <v>0</v>
      </c>
      <c r="AA126" s="112">
        <v>0</v>
      </c>
      <c r="AB126" s="112">
        <v>0</v>
      </c>
      <c r="AC126" s="112">
        <v>0</v>
      </c>
      <c r="AD126" s="112">
        <v>0</v>
      </c>
      <c r="AE126" s="112">
        <v>0</v>
      </c>
      <c r="AF126" s="112">
        <v>0</v>
      </c>
      <c r="AG126" s="112">
        <v>0</v>
      </c>
      <c r="AH126" s="112">
        <v>0</v>
      </c>
      <c r="AI126" s="112">
        <v>0</v>
      </c>
      <c r="AJ126" s="112">
        <v>0</v>
      </c>
      <c r="AK126" s="112">
        <v>0</v>
      </c>
      <c r="AL126" s="112">
        <v>0</v>
      </c>
      <c r="AM126" s="112">
        <v>0</v>
      </c>
      <c r="AN126" s="112">
        <v>0</v>
      </c>
      <c r="AO126" s="112">
        <v>0</v>
      </c>
      <c r="AP126" s="112">
        <v>0</v>
      </c>
      <c r="AQ126" s="112">
        <v>0</v>
      </c>
      <c r="AR126" s="112">
        <v>0</v>
      </c>
      <c r="AS126" s="112">
        <v>0</v>
      </c>
      <c r="AT126" s="112">
        <v>0</v>
      </c>
      <c r="AU126" s="112">
        <v>0</v>
      </c>
      <c r="AV126" s="112">
        <v>0</v>
      </c>
      <c r="AW126" s="112">
        <v>0</v>
      </c>
      <c r="AX126" s="112">
        <v>0</v>
      </c>
      <c r="AY126" s="112">
        <v>0</v>
      </c>
    </row>
    <row r="127" spans="1:52" x14ac:dyDescent="0.2">
      <c r="A127" s="115"/>
      <c r="B127" s="125">
        <v>6</v>
      </c>
      <c r="C127" s="112">
        <v>0</v>
      </c>
      <c r="D127" s="112">
        <v>0</v>
      </c>
      <c r="E127" s="112">
        <v>0</v>
      </c>
      <c r="F127" s="112">
        <v>0</v>
      </c>
      <c r="G127" s="112">
        <v>0</v>
      </c>
      <c r="H127" s="112">
        <v>0</v>
      </c>
      <c r="I127" s="112">
        <v>0</v>
      </c>
      <c r="J127" s="112">
        <v>0</v>
      </c>
      <c r="K127" s="112">
        <v>0</v>
      </c>
      <c r="L127" s="112">
        <v>0</v>
      </c>
      <c r="M127" s="112">
        <v>0</v>
      </c>
      <c r="N127" s="112">
        <v>0</v>
      </c>
      <c r="O127" s="112">
        <v>0</v>
      </c>
      <c r="P127" s="112">
        <v>0</v>
      </c>
      <c r="Q127" s="112">
        <v>0</v>
      </c>
      <c r="R127" s="112">
        <v>0</v>
      </c>
      <c r="S127" s="112">
        <v>0</v>
      </c>
      <c r="T127" s="112">
        <v>0</v>
      </c>
      <c r="U127" s="112">
        <v>0</v>
      </c>
      <c r="V127" s="112">
        <v>0</v>
      </c>
      <c r="W127" s="112">
        <v>0</v>
      </c>
      <c r="X127" s="112">
        <v>0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0</v>
      </c>
      <c r="AK127" s="112">
        <v>0</v>
      </c>
      <c r="AL127" s="112">
        <v>0</v>
      </c>
      <c r="AM127" s="112">
        <v>0</v>
      </c>
      <c r="AN127" s="112">
        <v>0</v>
      </c>
      <c r="AO127" s="112">
        <v>0</v>
      </c>
      <c r="AP127" s="112">
        <v>0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0</v>
      </c>
      <c r="AW127" s="112">
        <v>0</v>
      </c>
      <c r="AX127" s="112">
        <v>0</v>
      </c>
      <c r="AY127" s="112">
        <v>0</v>
      </c>
    </row>
    <row r="128" spans="1:52" x14ac:dyDescent="0.2">
      <c r="A128" s="115"/>
      <c r="B128" s="125">
        <v>7</v>
      </c>
      <c r="C128" s="112">
        <v>0</v>
      </c>
      <c r="D128" s="112">
        <v>0</v>
      </c>
      <c r="E128" s="112">
        <v>0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>
        <v>0</v>
      </c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>
        <v>0</v>
      </c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0</v>
      </c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0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296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297</v>
      </c>
      <c r="C172" s="140">
        <v>0.43062944370491801</v>
      </c>
      <c r="D172" s="140">
        <v>0.43062944370491801</v>
      </c>
      <c r="E172" s="140">
        <v>0.43062944370491801</v>
      </c>
      <c r="F172" s="140">
        <v>0.43062944370491801</v>
      </c>
      <c r="G172" s="140">
        <v>0.43062944370491801</v>
      </c>
      <c r="H172" s="140">
        <v>0.43062944370491818</v>
      </c>
      <c r="I172" s="140">
        <v>0.43062944370491818</v>
      </c>
      <c r="J172" s="140">
        <v>0.43062944370491818</v>
      </c>
      <c r="K172" s="140">
        <v>0.43062944370491818</v>
      </c>
      <c r="L172" s="140">
        <v>0.43062944370491818</v>
      </c>
      <c r="M172" s="140">
        <v>0.43062944370491818</v>
      </c>
      <c r="N172" s="140">
        <v>0.43062944370491818</v>
      </c>
      <c r="O172" s="140">
        <v>0.43062944370491818</v>
      </c>
      <c r="P172" s="140">
        <v>0.43062944370491818</v>
      </c>
      <c r="Q172" s="140">
        <v>0.43062944370491818</v>
      </c>
      <c r="R172" s="140">
        <v>0.43062944370491818</v>
      </c>
      <c r="S172" s="140">
        <v>0.43062944370491818</v>
      </c>
      <c r="T172" s="140">
        <v>0.43062944370491818</v>
      </c>
      <c r="U172" s="140">
        <v>0.43062944370491818</v>
      </c>
      <c r="V172" s="140">
        <v>0.43062944370491818</v>
      </c>
      <c r="W172" s="140">
        <v>0.43062944370491818</v>
      </c>
      <c r="X172" s="140">
        <v>0.43062944370491818</v>
      </c>
      <c r="Y172" s="140">
        <v>0.43062944370491818</v>
      </c>
      <c r="Z172" s="140">
        <v>0.43062944370491818</v>
      </c>
      <c r="AA172" s="140">
        <v>0.43062944370491818</v>
      </c>
      <c r="AB172" s="140">
        <v>0.43062944370491818</v>
      </c>
      <c r="AC172" s="140">
        <v>0.43062944370491818</v>
      </c>
      <c r="AD172" s="140">
        <v>0.43062944370491818</v>
      </c>
      <c r="AE172" s="140">
        <v>0.43062944370491818</v>
      </c>
      <c r="AF172" s="140">
        <v>0.43062944370491818</v>
      </c>
      <c r="AG172" s="140">
        <v>0.43062944370491818</v>
      </c>
      <c r="AH172" s="140">
        <v>0.43062944370491818</v>
      </c>
      <c r="AI172" s="140">
        <v>0.43062944370491818</v>
      </c>
      <c r="AJ172" s="140">
        <v>0.43062944370491818</v>
      </c>
      <c r="AK172" s="140">
        <v>0.43062944370491818</v>
      </c>
      <c r="AL172" s="140">
        <v>0.43062944370491818</v>
      </c>
      <c r="AM172" s="140">
        <v>0.43062944370491818</v>
      </c>
      <c r="AN172" s="140">
        <v>0.43062944370491818</v>
      </c>
      <c r="AO172" s="140">
        <v>0.43062944370491818</v>
      </c>
      <c r="AP172" s="140">
        <v>0.43062944370491818</v>
      </c>
      <c r="AQ172" s="140">
        <v>0.43062944370491818</v>
      </c>
      <c r="AR172" s="140">
        <v>0.43062944370491818</v>
      </c>
      <c r="AS172" s="140">
        <v>0.43062944370491818</v>
      </c>
      <c r="AT172" s="140">
        <v>0.43062944370491818</v>
      </c>
      <c r="AU172" s="140">
        <v>0.43062944370491818</v>
      </c>
      <c r="AV172" s="140">
        <v>0.43062944370491801</v>
      </c>
      <c r="AW172" s="140">
        <v>0.43062944370491801</v>
      </c>
      <c r="AX172" s="140">
        <v>0.43062944370491801</v>
      </c>
      <c r="AY172" s="140">
        <v>0.43062944370491801</v>
      </c>
    </row>
    <row r="174" spans="1:52" x14ac:dyDescent="0.2">
      <c r="A174" s="108" t="s">
        <v>272</v>
      </c>
    </row>
    <row r="175" spans="1:52" x14ac:dyDescent="0.2">
      <c r="A175" s="141" t="s">
        <v>125</v>
      </c>
      <c r="B175" s="141" t="s">
        <v>298</v>
      </c>
      <c r="C175" s="130" t="s">
        <v>293</v>
      </c>
      <c r="D175" s="130">
        <f t="shared" ref="D175:AY175" si="1">SUM(D95:D98)</f>
        <v>0</v>
      </c>
      <c r="E175" s="130">
        <f t="shared" si="1"/>
        <v>0</v>
      </c>
      <c r="F175" s="130">
        <f t="shared" si="1"/>
        <v>0</v>
      </c>
      <c r="G175" s="130">
        <f t="shared" si="1"/>
        <v>0</v>
      </c>
      <c r="H175" s="130">
        <f t="shared" si="1"/>
        <v>0</v>
      </c>
      <c r="I175" s="130">
        <f t="shared" si="1"/>
        <v>0</v>
      </c>
      <c r="J175" s="130">
        <f t="shared" si="1"/>
        <v>0</v>
      </c>
      <c r="K175" s="130">
        <f t="shared" si="1"/>
        <v>0</v>
      </c>
      <c r="L175" s="130">
        <f t="shared" si="1"/>
        <v>0</v>
      </c>
      <c r="M175" s="130">
        <f t="shared" si="1"/>
        <v>0</v>
      </c>
      <c r="N175" s="130">
        <f t="shared" si="1"/>
        <v>0</v>
      </c>
      <c r="O175" s="130">
        <f t="shared" si="1"/>
        <v>0</v>
      </c>
      <c r="P175" s="130">
        <f t="shared" si="1"/>
        <v>0</v>
      </c>
      <c r="Q175" s="130">
        <f t="shared" si="1"/>
        <v>0</v>
      </c>
      <c r="R175" s="130">
        <f t="shared" si="1"/>
        <v>0</v>
      </c>
      <c r="S175" s="130">
        <f t="shared" si="1"/>
        <v>0</v>
      </c>
      <c r="T175" s="130">
        <f t="shared" si="1"/>
        <v>0</v>
      </c>
      <c r="U175" s="130">
        <f t="shared" si="1"/>
        <v>0</v>
      </c>
      <c r="V175" s="130">
        <f t="shared" si="1"/>
        <v>0</v>
      </c>
      <c r="W175" s="130">
        <f t="shared" si="1"/>
        <v>0</v>
      </c>
      <c r="X175" s="130">
        <f t="shared" si="1"/>
        <v>0</v>
      </c>
      <c r="Y175" s="130">
        <f t="shared" si="1"/>
        <v>0</v>
      </c>
      <c r="Z175" s="130">
        <f t="shared" si="1"/>
        <v>0</v>
      </c>
      <c r="AA175" s="130">
        <f t="shared" si="1"/>
        <v>0</v>
      </c>
      <c r="AB175" s="130">
        <f t="shared" si="1"/>
        <v>0</v>
      </c>
      <c r="AC175" s="130">
        <f t="shared" si="1"/>
        <v>0</v>
      </c>
      <c r="AD175" s="130">
        <f t="shared" si="1"/>
        <v>0</v>
      </c>
      <c r="AE175" s="130">
        <f t="shared" si="1"/>
        <v>0</v>
      </c>
      <c r="AF175" s="130">
        <f t="shared" si="1"/>
        <v>0</v>
      </c>
      <c r="AG175" s="130">
        <f t="shared" si="1"/>
        <v>0</v>
      </c>
      <c r="AH175" s="130">
        <f t="shared" si="1"/>
        <v>0</v>
      </c>
      <c r="AI175" s="130">
        <f t="shared" si="1"/>
        <v>0</v>
      </c>
      <c r="AJ175" s="130">
        <f t="shared" si="1"/>
        <v>0</v>
      </c>
      <c r="AK175" s="130">
        <f t="shared" si="1"/>
        <v>0</v>
      </c>
      <c r="AL175" s="130">
        <f t="shared" si="1"/>
        <v>0</v>
      </c>
      <c r="AM175" s="130">
        <f t="shared" si="1"/>
        <v>0</v>
      </c>
      <c r="AN175" s="130">
        <f t="shared" si="1"/>
        <v>0</v>
      </c>
      <c r="AO175" s="130">
        <f t="shared" si="1"/>
        <v>0</v>
      </c>
      <c r="AP175" s="130">
        <f t="shared" si="1"/>
        <v>0</v>
      </c>
      <c r="AQ175" s="130">
        <f t="shared" si="1"/>
        <v>0</v>
      </c>
      <c r="AR175" s="130">
        <f t="shared" si="1"/>
        <v>0</v>
      </c>
      <c r="AS175" s="130">
        <f t="shared" si="1"/>
        <v>0</v>
      </c>
      <c r="AT175" s="130">
        <f t="shared" si="1"/>
        <v>0</v>
      </c>
      <c r="AU175" s="130">
        <f t="shared" si="1"/>
        <v>0</v>
      </c>
      <c r="AV175" s="130">
        <f t="shared" si="1"/>
        <v>0</v>
      </c>
      <c r="AW175" s="130">
        <f t="shared" si="1"/>
        <v>0</v>
      </c>
      <c r="AX175" s="130">
        <f t="shared" si="1"/>
        <v>0</v>
      </c>
      <c r="AY175" s="130">
        <f t="shared" si="1"/>
        <v>0</v>
      </c>
    </row>
    <row r="176" spans="1:52" x14ac:dyDescent="0.2">
      <c r="A176" s="131"/>
      <c r="B176" s="142" t="s">
        <v>299</v>
      </c>
      <c r="C176" s="131" t="s">
        <v>293</v>
      </c>
      <c r="D176" s="131">
        <v>0</v>
      </c>
      <c r="E176" s="131">
        <v>0</v>
      </c>
      <c r="F176" s="131">
        <v>0</v>
      </c>
      <c r="G176" s="131">
        <v>0</v>
      </c>
      <c r="H176" s="131">
        <v>0</v>
      </c>
      <c r="I176" s="131">
        <v>0</v>
      </c>
      <c r="J176" s="131">
        <v>0</v>
      </c>
      <c r="K176" s="131">
        <v>0</v>
      </c>
      <c r="L176" s="131">
        <v>0</v>
      </c>
      <c r="M176" s="131">
        <v>0</v>
      </c>
      <c r="N176" s="131">
        <v>0</v>
      </c>
      <c r="O176" s="131">
        <v>0</v>
      </c>
      <c r="P176" s="131">
        <v>0</v>
      </c>
      <c r="Q176" s="131">
        <v>0</v>
      </c>
      <c r="R176" s="131">
        <v>0</v>
      </c>
      <c r="S176" s="131">
        <v>0</v>
      </c>
      <c r="T176" s="131">
        <v>0</v>
      </c>
      <c r="U176" s="131">
        <v>0</v>
      </c>
      <c r="V176" s="131">
        <v>0</v>
      </c>
      <c r="W176" s="131">
        <v>0</v>
      </c>
      <c r="X176" s="131">
        <v>0</v>
      </c>
      <c r="Y176" s="131">
        <v>0</v>
      </c>
      <c r="Z176" s="131">
        <v>0</v>
      </c>
      <c r="AA176" s="131">
        <v>0</v>
      </c>
      <c r="AB176" s="131">
        <v>0</v>
      </c>
      <c r="AC176" s="131">
        <v>0</v>
      </c>
      <c r="AD176" s="131">
        <v>0</v>
      </c>
      <c r="AE176" s="131">
        <v>0</v>
      </c>
      <c r="AF176" s="131">
        <v>0</v>
      </c>
      <c r="AG176" s="131">
        <v>0</v>
      </c>
      <c r="AH176" s="131">
        <v>0</v>
      </c>
      <c r="AI176" s="131">
        <v>0</v>
      </c>
      <c r="AJ176" s="131">
        <v>0</v>
      </c>
      <c r="AK176" s="131">
        <v>0</v>
      </c>
      <c r="AL176" s="131">
        <v>0</v>
      </c>
      <c r="AM176" s="131">
        <v>0</v>
      </c>
      <c r="AN176" s="131">
        <v>0</v>
      </c>
      <c r="AO176" s="131">
        <v>0</v>
      </c>
      <c r="AP176" s="131">
        <v>0</v>
      </c>
      <c r="AQ176" s="131">
        <v>0</v>
      </c>
      <c r="AR176" s="131">
        <v>0</v>
      </c>
      <c r="AS176" s="131">
        <v>0</v>
      </c>
      <c r="AT176" s="131">
        <v>0</v>
      </c>
      <c r="AU176" s="131">
        <v>0</v>
      </c>
      <c r="AV176" s="131">
        <v>0</v>
      </c>
      <c r="AW176" s="131">
        <v>0</v>
      </c>
      <c r="AX176" s="131">
        <v>0</v>
      </c>
      <c r="AY176" s="131">
        <v>0</v>
      </c>
    </row>
    <row r="177" spans="1:51" x14ac:dyDescent="0.2">
      <c r="A177" s="141" t="s">
        <v>133</v>
      </c>
      <c r="B177" s="141" t="s">
        <v>298</v>
      </c>
      <c r="C177" s="130" t="s">
        <v>293</v>
      </c>
      <c r="D177" s="130">
        <f t="shared" ref="D177:AY177" si="2">SUM(D100:D107)</f>
        <v>0</v>
      </c>
      <c r="E177" s="130">
        <f t="shared" si="2"/>
        <v>0</v>
      </c>
      <c r="F177" s="130">
        <f t="shared" si="2"/>
        <v>0</v>
      </c>
      <c r="G177" s="130">
        <f t="shared" si="2"/>
        <v>0</v>
      </c>
      <c r="H177" s="130">
        <f t="shared" si="2"/>
        <v>0</v>
      </c>
      <c r="I177" s="130">
        <f t="shared" si="2"/>
        <v>0</v>
      </c>
      <c r="J177" s="130">
        <f t="shared" si="2"/>
        <v>0</v>
      </c>
      <c r="K177" s="130">
        <f t="shared" si="2"/>
        <v>0</v>
      </c>
      <c r="L177" s="130">
        <f t="shared" si="2"/>
        <v>0</v>
      </c>
      <c r="M177" s="130">
        <f t="shared" si="2"/>
        <v>0</v>
      </c>
      <c r="N177" s="130">
        <f t="shared" si="2"/>
        <v>0</v>
      </c>
      <c r="O177" s="130">
        <f t="shared" si="2"/>
        <v>0</v>
      </c>
      <c r="P177" s="130">
        <f t="shared" si="2"/>
        <v>0</v>
      </c>
      <c r="Q177" s="130">
        <f t="shared" si="2"/>
        <v>0</v>
      </c>
      <c r="R177" s="130">
        <f t="shared" si="2"/>
        <v>0</v>
      </c>
      <c r="S177" s="130">
        <f t="shared" si="2"/>
        <v>0</v>
      </c>
      <c r="T177" s="130">
        <f t="shared" si="2"/>
        <v>0</v>
      </c>
      <c r="U177" s="130">
        <f t="shared" si="2"/>
        <v>0</v>
      </c>
      <c r="V177" s="130">
        <f t="shared" si="2"/>
        <v>0</v>
      </c>
      <c r="W177" s="130">
        <f t="shared" si="2"/>
        <v>0</v>
      </c>
      <c r="X177" s="130">
        <f t="shared" si="2"/>
        <v>0</v>
      </c>
      <c r="Y177" s="130">
        <f t="shared" si="2"/>
        <v>0</v>
      </c>
      <c r="Z177" s="130">
        <f t="shared" si="2"/>
        <v>0</v>
      </c>
      <c r="AA177" s="130">
        <f t="shared" si="2"/>
        <v>0</v>
      </c>
      <c r="AB177" s="130">
        <f t="shared" si="2"/>
        <v>0</v>
      </c>
      <c r="AC177" s="130">
        <f t="shared" si="2"/>
        <v>0</v>
      </c>
      <c r="AD177" s="130">
        <f t="shared" si="2"/>
        <v>0</v>
      </c>
      <c r="AE177" s="130">
        <f t="shared" si="2"/>
        <v>0</v>
      </c>
      <c r="AF177" s="130">
        <f t="shared" si="2"/>
        <v>0</v>
      </c>
      <c r="AG177" s="130">
        <f t="shared" si="2"/>
        <v>0</v>
      </c>
      <c r="AH177" s="130">
        <f t="shared" si="2"/>
        <v>0</v>
      </c>
      <c r="AI177" s="130">
        <f t="shared" si="2"/>
        <v>0</v>
      </c>
      <c r="AJ177" s="130">
        <f t="shared" si="2"/>
        <v>0</v>
      </c>
      <c r="AK177" s="130">
        <f t="shared" si="2"/>
        <v>0</v>
      </c>
      <c r="AL177" s="130">
        <f t="shared" si="2"/>
        <v>0</v>
      </c>
      <c r="AM177" s="130">
        <f t="shared" si="2"/>
        <v>0</v>
      </c>
      <c r="AN177" s="130">
        <f t="shared" si="2"/>
        <v>0</v>
      </c>
      <c r="AO177" s="130">
        <f t="shared" si="2"/>
        <v>0</v>
      </c>
      <c r="AP177" s="130">
        <f t="shared" si="2"/>
        <v>0</v>
      </c>
      <c r="AQ177" s="130">
        <f t="shared" si="2"/>
        <v>0</v>
      </c>
      <c r="AR177" s="130">
        <f t="shared" si="2"/>
        <v>0</v>
      </c>
      <c r="AS177" s="130">
        <f t="shared" si="2"/>
        <v>0</v>
      </c>
      <c r="AT177" s="130">
        <f t="shared" si="2"/>
        <v>0</v>
      </c>
      <c r="AU177" s="130">
        <f t="shared" si="2"/>
        <v>0</v>
      </c>
      <c r="AV177" s="130">
        <f t="shared" si="2"/>
        <v>0</v>
      </c>
      <c r="AW177" s="130">
        <f t="shared" si="2"/>
        <v>0</v>
      </c>
      <c r="AX177" s="130">
        <f t="shared" si="2"/>
        <v>0</v>
      </c>
      <c r="AY177" s="130">
        <f t="shared" si="2"/>
        <v>0</v>
      </c>
    </row>
    <row r="178" spans="1:51" x14ac:dyDescent="0.2">
      <c r="A178" s="131"/>
      <c r="B178" s="142" t="s">
        <v>299</v>
      </c>
      <c r="C178" s="131" t="s">
        <v>293</v>
      </c>
      <c r="D178" s="131">
        <v>0</v>
      </c>
      <c r="E178" s="131">
        <v>0</v>
      </c>
      <c r="F178" s="131">
        <v>0</v>
      </c>
      <c r="G178" s="131">
        <v>0</v>
      </c>
      <c r="H178" s="131">
        <v>0</v>
      </c>
      <c r="I178" s="131">
        <v>0</v>
      </c>
      <c r="J178" s="131">
        <v>0</v>
      </c>
      <c r="K178" s="131">
        <v>0</v>
      </c>
      <c r="L178" s="131">
        <v>0</v>
      </c>
      <c r="M178" s="131">
        <v>0</v>
      </c>
      <c r="N178" s="131">
        <v>0</v>
      </c>
      <c r="O178" s="131">
        <v>0</v>
      </c>
      <c r="P178" s="131">
        <v>0</v>
      </c>
      <c r="Q178" s="131">
        <v>0</v>
      </c>
      <c r="R178" s="131">
        <v>0</v>
      </c>
      <c r="S178" s="131">
        <v>0</v>
      </c>
      <c r="T178" s="131">
        <v>0</v>
      </c>
      <c r="U178" s="131">
        <v>0</v>
      </c>
      <c r="V178" s="131">
        <v>0</v>
      </c>
      <c r="W178" s="131">
        <v>0</v>
      </c>
      <c r="X178" s="131">
        <v>0</v>
      </c>
      <c r="Y178" s="131">
        <v>0</v>
      </c>
      <c r="Z178" s="131">
        <v>0</v>
      </c>
      <c r="AA178" s="131">
        <v>0</v>
      </c>
      <c r="AB178" s="131">
        <v>0</v>
      </c>
      <c r="AC178" s="131">
        <v>0</v>
      </c>
      <c r="AD178" s="131">
        <v>0</v>
      </c>
      <c r="AE178" s="131">
        <v>0</v>
      </c>
      <c r="AF178" s="131">
        <v>0</v>
      </c>
      <c r="AG178" s="131">
        <v>0</v>
      </c>
      <c r="AH178" s="131">
        <v>0</v>
      </c>
      <c r="AI178" s="131">
        <v>0</v>
      </c>
      <c r="AJ178" s="131">
        <v>0</v>
      </c>
      <c r="AK178" s="131">
        <v>0</v>
      </c>
      <c r="AL178" s="131">
        <v>0</v>
      </c>
      <c r="AM178" s="131">
        <v>0</v>
      </c>
      <c r="AN178" s="131">
        <v>0</v>
      </c>
      <c r="AO178" s="131">
        <v>0</v>
      </c>
      <c r="AP178" s="131">
        <v>0</v>
      </c>
      <c r="AQ178" s="131">
        <v>0</v>
      </c>
      <c r="AR178" s="131">
        <v>0</v>
      </c>
      <c r="AS178" s="131">
        <v>0</v>
      </c>
      <c r="AT178" s="131">
        <v>0</v>
      </c>
      <c r="AU178" s="131">
        <v>0</v>
      </c>
      <c r="AV178" s="131">
        <v>0</v>
      </c>
      <c r="AW178" s="131">
        <v>0</v>
      </c>
      <c r="AX178" s="131">
        <v>0</v>
      </c>
      <c r="AY178" s="131">
        <v>0</v>
      </c>
    </row>
    <row r="179" spans="1:51" x14ac:dyDescent="0.2">
      <c r="A179" s="141" t="s">
        <v>134</v>
      </c>
      <c r="B179" s="141" t="s">
        <v>298</v>
      </c>
      <c r="C179" s="130" t="s">
        <v>293</v>
      </c>
      <c r="D179" s="130">
        <f t="shared" ref="D179:AY179" si="3">SUM(D109:D120)</f>
        <v>0</v>
      </c>
      <c r="E179" s="130">
        <f t="shared" si="3"/>
        <v>0</v>
      </c>
      <c r="F179" s="130">
        <f t="shared" si="3"/>
        <v>0</v>
      </c>
      <c r="G179" s="130">
        <f t="shared" si="3"/>
        <v>0</v>
      </c>
      <c r="H179" s="130">
        <f t="shared" si="3"/>
        <v>0</v>
      </c>
      <c r="I179" s="130">
        <f t="shared" si="3"/>
        <v>0</v>
      </c>
      <c r="J179" s="130">
        <f t="shared" si="3"/>
        <v>0</v>
      </c>
      <c r="K179" s="130">
        <f t="shared" si="3"/>
        <v>0</v>
      </c>
      <c r="L179" s="130">
        <f t="shared" si="3"/>
        <v>0</v>
      </c>
      <c r="M179" s="130">
        <f t="shared" si="3"/>
        <v>0</v>
      </c>
      <c r="N179" s="130">
        <f t="shared" si="3"/>
        <v>0</v>
      </c>
      <c r="O179" s="130">
        <f t="shared" si="3"/>
        <v>0</v>
      </c>
      <c r="P179" s="130">
        <f t="shared" si="3"/>
        <v>0</v>
      </c>
      <c r="Q179" s="130">
        <f t="shared" si="3"/>
        <v>0</v>
      </c>
      <c r="R179" s="130">
        <f t="shared" si="3"/>
        <v>0</v>
      </c>
      <c r="S179" s="130">
        <f t="shared" si="3"/>
        <v>0</v>
      </c>
      <c r="T179" s="130">
        <f t="shared" si="3"/>
        <v>0</v>
      </c>
      <c r="U179" s="130">
        <f t="shared" si="3"/>
        <v>0</v>
      </c>
      <c r="V179" s="130">
        <f t="shared" si="3"/>
        <v>0</v>
      </c>
      <c r="W179" s="130">
        <f t="shared" si="3"/>
        <v>0</v>
      </c>
      <c r="X179" s="130">
        <f t="shared" si="3"/>
        <v>0</v>
      </c>
      <c r="Y179" s="130">
        <f t="shared" si="3"/>
        <v>0</v>
      </c>
      <c r="Z179" s="130">
        <f t="shared" si="3"/>
        <v>0</v>
      </c>
      <c r="AA179" s="130">
        <f t="shared" si="3"/>
        <v>0</v>
      </c>
      <c r="AB179" s="130">
        <f t="shared" si="3"/>
        <v>0</v>
      </c>
      <c r="AC179" s="130">
        <f t="shared" si="3"/>
        <v>0</v>
      </c>
      <c r="AD179" s="130">
        <f t="shared" si="3"/>
        <v>0</v>
      </c>
      <c r="AE179" s="130">
        <f t="shared" si="3"/>
        <v>0</v>
      </c>
      <c r="AF179" s="130">
        <f t="shared" si="3"/>
        <v>0</v>
      </c>
      <c r="AG179" s="130">
        <f t="shared" si="3"/>
        <v>0</v>
      </c>
      <c r="AH179" s="130">
        <f t="shared" si="3"/>
        <v>0</v>
      </c>
      <c r="AI179" s="130">
        <f t="shared" si="3"/>
        <v>0</v>
      </c>
      <c r="AJ179" s="130">
        <f t="shared" si="3"/>
        <v>0</v>
      </c>
      <c r="AK179" s="130">
        <f t="shared" si="3"/>
        <v>0</v>
      </c>
      <c r="AL179" s="130">
        <f t="shared" si="3"/>
        <v>0</v>
      </c>
      <c r="AM179" s="130">
        <f t="shared" si="3"/>
        <v>0</v>
      </c>
      <c r="AN179" s="130">
        <f t="shared" si="3"/>
        <v>0</v>
      </c>
      <c r="AO179" s="130">
        <f t="shared" si="3"/>
        <v>0</v>
      </c>
      <c r="AP179" s="130">
        <f t="shared" si="3"/>
        <v>0</v>
      </c>
      <c r="AQ179" s="130">
        <f t="shared" si="3"/>
        <v>0</v>
      </c>
      <c r="AR179" s="130">
        <f t="shared" si="3"/>
        <v>0</v>
      </c>
      <c r="AS179" s="130">
        <f t="shared" si="3"/>
        <v>0</v>
      </c>
      <c r="AT179" s="130">
        <f t="shared" si="3"/>
        <v>0</v>
      </c>
      <c r="AU179" s="130">
        <f t="shared" si="3"/>
        <v>0</v>
      </c>
      <c r="AV179" s="130">
        <f t="shared" si="3"/>
        <v>0</v>
      </c>
      <c r="AW179" s="130">
        <f t="shared" si="3"/>
        <v>0</v>
      </c>
      <c r="AX179" s="130">
        <f t="shared" si="3"/>
        <v>0</v>
      </c>
      <c r="AY179" s="130">
        <f t="shared" si="3"/>
        <v>0</v>
      </c>
    </row>
    <row r="180" spans="1:51" x14ac:dyDescent="0.2">
      <c r="A180" s="131"/>
      <c r="B180" s="142" t="s">
        <v>299</v>
      </c>
      <c r="C180" s="131" t="s">
        <v>293</v>
      </c>
      <c r="D180" s="131">
        <v>0</v>
      </c>
      <c r="E180" s="131">
        <v>0</v>
      </c>
      <c r="F180" s="131">
        <v>0</v>
      </c>
      <c r="G180" s="131">
        <v>0</v>
      </c>
      <c r="H180" s="131">
        <v>0</v>
      </c>
      <c r="I180" s="131">
        <v>0</v>
      </c>
      <c r="J180" s="131">
        <v>0</v>
      </c>
      <c r="K180" s="131">
        <v>0</v>
      </c>
      <c r="L180" s="131">
        <v>0</v>
      </c>
      <c r="M180" s="131">
        <v>0</v>
      </c>
      <c r="N180" s="131">
        <v>0</v>
      </c>
      <c r="O180" s="131">
        <v>0</v>
      </c>
      <c r="P180" s="131">
        <v>0</v>
      </c>
      <c r="Q180" s="131">
        <v>0</v>
      </c>
      <c r="R180" s="131">
        <v>0</v>
      </c>
      <c r="S180" s="131">
        <v>0</v>
      </c>
      <c r="T180" s="131">
        <v>0</v>
      </c>
      <c r="U180" s="131">
        <v>0</v>
      </c>
      <c r="V180" s="131">
        <v>0</v>
      </c>
      <c r="W180" s="131">
        <v>0</v>
      </c>
      <c r="X180" s="131">
        <v>0</v>
      </c>
      <c r="Y180" s="131">
        <v>0</v>
      </c>
      <c r="Z180" s="131">
        <v>0</v>
      </c>
      <c r="AA180" s="131">
        <v>0</v>
      </c>
      <c r="AB180" s="131">
        <v>0</v>
      </c>
      <c r="AC180" s="131">
        <v>0</v>
      </c>
      <c r="AD180" s="131">
        <v>0</v>
      </c>
      <c r="AE180" s="131">
        <v>0</v>
      </c>
      <c r="AF180" s="131">
        <v>0</v>
      </c>
      <c r="AG180" s="131">
        <v>0</v>
      </c>
      <c r="AH180" s="131">
        <v>0</v>
      </c>
      <c r="AI180" s="131">
        <v>0</v>
      </c>
      <c r="AJ180" s="131">
        <v>0</v>
      </c>
      <c r="AK180" s="131">
        <v>0</v>
      </c>
      <c r="AL180" s="131">
        <v>0</v>
      </c>
      <c r="AM180" s="131">
        <v>0</v>
      </c>
      <c r="AN180" s="131">
        <v>0</v>
      </c>
      <c r="AO180" s="131">
        <v>0</v>
      </c>
      <c r="AP180" s="131">
        <v>0</v>
      </c>
      <c r="AQ180" s="131">
        <v>0</v>
      </c>
      <c r="AR180" s="131">
        <v>0</v>
      </c>
      <c r="AS180" s="131">
        <v>0</v>
      </c>
      <c r="AT180" s="131">
        <v>0</v>
      </c>
      <c r="AU180" s="131">
        <v>0</v>
      </c>
      <c r="AV180" s="131">
        <v>0</v>
      </c>
      <c r="AW180" s="131">
        <v>0</v>
      </c>
      <c r="AX180" s="131">
        <v>0</v>
      </c>
      <c r="AY180" s="131">
        <v>0</v>
      </c>
    </row>
    <row r="181" spans="1:51" x14ac:dyDescent="0.2">
      <c r="A181" s="141" t="s">
        <v>123</v>
      </c>
      <c r="B181" s="141" t="s">
        <v>298</v>
      </c>
      <c r="C181" s="130" t="s">
        <v>293</v>
      </c>
      <c r="D181" s="130">
        <f t="shared" ref="D181:AY181" si="4">(1-D172)*SUM(D122:D169)</f>
        <v>29037.898371049181</v>
      </c>
      <c r="E181" s="130">
        <f t="shared" si="4"/>
        <v>29037.898371049178</v>
      </c>
      <c r="F181" s="130">
        <f t="shared" si="4"/>
        <v>29037.898371049178</v>
      </c>
      <c r="G181" s="130">
        <f t="shared" si="4"/>
        <v>29037.898371049178</v>
      </c>
      <c r="H181" s="130">
        <f t="shared" si="4"/>
        <v>29037.898371049174</v>
      </c>
      <c r="I181" s="130">
        <f t="shared" si="4"/>
        <v>29037.898371049174</v>
      </c>
      <c r="J181" s="130">
        <f t="shared" si="4"/>
        <v>29037.89837104917</v>
      </c>
      <c r="K181" s="130">
        <f t="shared" si="4"/>
        <v>29037.898371049174</v>
      </c>
      <c r="L181" s="130">
        <f t="shared" si="4"/>
        <v>29037.898371049174</v>
      </c>
      <c r="M181" s="130">
        <f t="shared" si="4"/>
        <v>29037.898371049174</v>
      </c>
      <c r="N181" s="130">
        <f t="shared" si="4"/>
        <v>29037.898371049174</v>
      </c>
      <c r="O181" s="130">
        <f t="shared" si="4"/>
        <v>29037.898371049174</v>
      </c>
      <c r="P181" s="130">
        <f t="shared" si="4"/>
        <v>29037.898371049178</v>
      </c>
      <c r="Q181" s="130">
        <f t="shared" si="4"/>
        <v>29037.898371049178</v>
      </c>
      <c r="R181" s="130">
        <f t="shared" si="4"/>
        <v>29037.898371049178</v>
      </c>
      <c r="S181" s="130">
        <f t="shared" si="4"/>
        <v>29037.898371049178</v>
      </c>
      <c r="T181" s="130">
        <f t="shared" si="4"/>
        <v>29037.898371049174</v>
      </c>
      <c r="U181" s="130">
        <f t="shared" si="4"/>
        <v>29037.898371049174</v>
      </c>
      <c r="V181" s="130">
        <f t="shared" si="4"/>
        <v>29037.898371049174</v>
      </c>
      <c r="W181" s="130">
        <f t="shared" si="4"/>
        <v>29037.898371049174</v>
      </c>
      <c r="X181" s="130">
        <f t="shared" si="4"/>
        <v>29037.898371049163</v>
      </c>
      <c r="Y181" s="130">
        <f t="shared" si="4"/>
        <v>29037.898371049174</v>
      </c>
      <c r="Z181" s="130">
        <f t="shared" si="4"/>
        <v>29037.898371049174</v>
      </c>
      <c r="AA181" s="130">
        <f t="shared" si="4"/>
        <v>29037.89837104917</v>
      </c>
      <c r="AB181" s="130">
        <f t="shared" si="4"/>
        <v>29037.898371049174</v>
      </c>
      <c r="AC181" s="130">
        <f t="shared" si="4"/>
        <v>29037.89837104917</v>
      </c>
      <c r="AD181" s="130">
        <f t="shared" si="4"/>
        <v>29037.898371049181</v>
      </c>
      <c r="AE181" s="130">
        <f t="shared" si="4"/>
        <v>29037.898371049178</v>
      </c>
      <c r="AF181" s="130">
        <f t="shared" si="4"/>
        <v>29037.898371049174</v>
      </c>
      <c r="AG181" s="130">
        <f t="shared" si="4"/>
        <v>29037.898371049174</v>
      </c>
      <c r="AH181" s="130">
        <f t="shared" si="4"/>
        <v>29037.898371049163</v>
      </c>
      <c r="AI181" s="130">
        <f t="shared" si="4"/>
        <v>29037.898371049178</v>
      </c>
      <c r="AJ181" s="130">
        <f t="shared" si="4"/>
        <v>29037.89837104917</v>
      </c>
      <c r="AK181" s="130">
        <f t="shared" si="4"/>
        <v>29037.898371049174</v>
      </c>
      <c r="AL181" s="130">
        <f t="shared" si="4"/>
        <v>29037.898371049174</v>
      </c>
      <c r="AM181" s="130">
        <f t="shared" si="4"/>
        <v>29037.898371049174</v>
      </c>
      <c r="AN181" s="130">
        <f t="shared" si="4"/>
        <v>29037.89837104917</v>
      </c>
      <c r="AO181" s="130">
        <f t="shared" si="4"/>
        <v>29037.898371049178</v>
      </c>
      <c r="AP181" s="130">
        <f t="shared" si="4"/>
        <v>29037.898371049178</v>
      </c>
      <c r="AQ181" s="130">
        <f t="shared" si="4"/>
        <v>29037.898371049178</v>
      </c>
      <c r="AR181" s="130">
        <f t="shared" si="4"/>
        <v>29037.89837104917</v>
      </c>
      <c r="AS181" s="130">
        <f t="shared" si="4"/>
        <v>29037.898371049174</v>
      </c>
      <c r="AT181" s="130">
        <f t="shared" si="4"/>
        <v>29037.89837104917</v>
      </c>
      <c r="AU181" s="130">
        <f t="shared" si="4"/>
        <v>29037.898371049178</v>
      </c>
      <c r="AV181" s="130">
        <f t="shared" si="4"/>
        <v>29037.898371049178</v>
      </c>
      <c r="AW181" s="130">
        <f t="shared" si="4"/>
        <v>29037.898371049174</v>
      </c>
      <c r="AX181" s="130">
        <f t="shared" si="4"/>
        <v>29037.898371049178</v>
      </c>
      <c r="AY181" s="130">
        <f t="shared" si="4"/>
        <v>29037.898371049178</v>
      </c>
    </row>
    <row r="182" spans="1:51" x14ac:dyDescent="0.2">
      <c r="A182" s="131"/>
      <c r="B182" s="142" t="s">
        <v>299</v>
      </c>
      <c r="C182" s="131" t="s">
        <v>293</v>
      </c>
      <c r="D182" s="131">
        <v>404</v>
      </c>
      <c r="E182" s="131">
        <v>369</v>
      </c>
      <c r="F182" s="131">
        <v>298</v>
      </c>
      <c r="G182" s="131">
        <v>400</v>
      </c>
      <c r="H182" s="131">
        <v>1630</v>
      </c>
      <c r="I182" s="131">
        <v>1313</v>
      </c>
      <c r="J182" s="131">
        <v>1658</v>
      </c>
      <c r="K182" s="131">
        <v>1819</v>
      </c>
      <c r="L182" s="131">
        <v>231</v>
      </c>
      <c r="M182" s="131">
        <v>254</v>
      </c>
      <c r="N182" s="131">
        <v>294</v>
      </c>
      <c r="O182" s="131">
        <v>283</v>
      </c>
      <c r="P182" s="131">
        <v>1318</v>
      </c>
      <c r="Q182" s="131">
        <v>1327</v>
      </c>
      <c r="R182" s="131">
        <v>1077</v>
      </c>
      <c r="S182" s="131">
        <v>1187</v>
      </c>
      <c r="T182" s="131">
        <v>1104</v>
      </c>
      <c r="U182" s="131">
        <v>1182</v>
      </c>
      <c r="V182" s="131">
        <v>1049</v>
      </c>
      <c r="W182" s="131">
        <v>1237</v>
      </c>
      <c r="X182" s="131">
        <v>1093</v>
      </c>
      <c r="Y182" s="131">
        <v>1117</v>
      </c>
      <c r="Z182" s="131">
        <v>880</v>
      </c>
      <c r="AA182" s="131">
        <v>779</v>
      </c>
      <c r="AB182" s="131">
        <v>324</v>
      </c>
      <c r="AC182" s="131">
        <v>302</v>
      </c>
      <c r="AD182" s="131">
        <v>305</v>
      </c>
      <c r="AE182" s="131">
        <v>272</v>
      </c>
      <c r="AF182" s="131">
        <v>1134</v>
      </c>
      <c r="AG182" s="131">
        <v>881</v>
      </c>
      <c r="AH182" s="131">
        <v>928</v>
      </c>
      <c r="AI182" s="131">
        <v>1108</v>
      </c>
      <c r="AJ182" s="131">
        <v>1142</v>
      </c>
      <c r="AK182" s="131">
        <v>1146</v>
      </c>
      <c r="AL182" s="131">
        <v>989</v>
      </c>
      <c r="AM182" s="131">
        <v>1079</v>
      </c>
      <c r="AN182" s="131">
        <v>1574</v>
      </c>
      <c r="AO182" s="131">
        <v>1968</v>
      </c>
      <c r="AP182" s="131">
        <v>1786</v>
      </c>
      <c r="AQ182" s="131">
        <v>1857</v>
      </c>
      <c r="AR182" s="131">
        <v>1523</v>
      </c>
      <c r="AS182" s="131">
        <v>1428</v>
      </c>
      <c r="AT182" s="131">
        <v>1600</v>
      </c>
      <c r="AU182" s="131">
        <v>1269</v>
      </c>
      <c r="AV182" s="131">
        <v>597</v>
      </c>
      <c r="AW182" s="131">
        <v>585</v>
      </c>
      <c r="AX182" s="131">
        <v>627</v>
      </c>
      <c r="AY182" s="131">
        <v>669</v>
      </c>
    </row>
    <row r="184" spans="1:51" x14ac:dyDescent="0.2">
      <c r="A184" s="108" t="s">
        <v>300</v>
      </c>
    </row>
    <row r="185" spans="1:51" x14ac:dyDescent="0.2">
      <c r="A185" s="132" t="s">
        <v>125</v>
      </c>
      <c r="B185" s="129">
        <v>1</v>
      </c>
      <c r="C185" s="130">
        <v>0</v>
      </c>
      <c r="D185" s="130">
        <v>0</v>
      </c>
      <c r="E185" s="130">
        <v>0</v>
      </c>
      <c r="F185" s="130">
        <v>0</v>
      </c>
      <c r="G185" s="130">
        <v>0</v>
      </c>
      <c r="H185" s="130">
        <v>0</v>
      </c>
      <c r="I185" s="130">
        <v>0</v>
      </c>
      <c r="J185" s="130">
        <v>0</v>
      </c>
      <c r="K185" s="130">
        <v>0</v>
      </c>
      <c r="L185" s="130">
        <v>0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>
        <v>0</v>
      </c>
      <c r="D186" s="112">
        <v>0</v>
      </c>
      <c r="E186" s="112">
        <v>0</v>
      </c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>
        <v>0</v>
      </c>
      <c r="D187" s="112">
        <v>0</v>
      </c>
      <c r="E187" s="112">
        <v>0</v>
      </c>
      <c r="F187" s="112">
        <v>0</v>
      </c>
      <c r="G187" s="112">
        <v>0</v>
      </c>
      <c r="H187" s="112">
        <v>0</v>
      </c>
      <c r="I187" s="112">
        <v>0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>
        <v>0</v>
      </c>
      <c r="D188" s="112">
        <v>0</v>
      </c>
      <c r="E188" s="112">
        <v>0</v>
      </c>
      <c r="F188" s="112">
        <v>0</v>
      </c>
      <c r="G188" s="112">
        <v>0</v>
      </c>
      <c r="H188" s="112">
        <v>0</v>
      </c>
      <c r="I188" s="112">
        <v>0</v>
      </c>
      <c r="J188" s="112">
        <v>0</v>
      </c>
      <c r="K188" s="112">
        <v>0</v>
      </c>
      <c r="L188" s="112">
        <v>0</v>
      </c>
      <c r="M188" s="112">
        <v>0</v>
      </c>
      <c r="N188" s="112">
        <v>0</v>
      </c>
      <c r="O188" s="112">
        <v>0</v>
      </c>
      <c r="P188" s="112">
        <v>0</v>
      </c>
      <c r="Q188" s="112">
        <v>0</v>
      </c>
      <c r="R188" s="112">
        <v>0</v>
      </c>
      <c r="S188" s="112">
        <v>0</v>
      </c>
      <c r="T188" s="112">
        <v>0</v>
      </c>
      <c r="U188" s="112">
        <v>0</v>
      </c>
      <c r="V188" s="112">
        <v>0</v>
      </c>
      <c r="W188" s="112">
        <v>0</v>
      </c>
      <c r="X188" s="112">
        <v>0</v>
      </c>
      <c r="Y188" s="112">
        <v>0</v>
      </c>
      <c r="Z188" s="112">
        <v>0</v>
      </c>
      <c r="AA188" s="112">
        <v>0</v>
      </c>
      <c r="AB188" s="112">
        <v>0</v>
      </c>
      <c r="AC188" s="112">
        <v>0</v>
      </c>
      <c r="AD188" s="112">
        <v>0</v>
      </c>
      <c r="AE188" s="112">
        <v>0</v>
      </c>
      <c r="AF188" s="112">
        <v>0</v>
      </c>
      <c r="AG188" s="112">
        <v>0</v>
      </c>
      <c r="AH188" s="112">
        <v>0</v>
      </c>
      <c r="AI188" s="112">
        <v>0</v>
      </c>
      <c r="AJ188" s="112">
        <v>0</v>
      </c>
      <c r="AK188" s="112">
        <v>0</v>
      </c>
      <c r="AL188" s="112">
        <v>0</v>
      </c>
      <c r="AM188" s="112">
        <v>0</v>
      </c>
      <c r="AN188" s="112">
        <v>0</v>
      </c>
      <c r="AO188" s="112">
        <v>0</v>
      </c>
      <c r="AP188" s="112">
        <v>0</v>
      </c>
      <c r="AQ188" s="112">
        <v>0</v>
      </c>
      <c r="AR188" s="112">
        <v>0</v>
      </c>
      <c r="AS188" s="112">
        <v>0</v>
      </c>
      <c r="AT188" s="112">
        <v>0</v>
      </c>
      <c r="AU188" s="112">
        <v>0</v>
      </c>
      <c r="AV188" s="112">
        <v>0</v>
      </c>
      <c r="AW188" s="112">
        <v>0</v>
      </c>
      <c r="AX188" s="112">
        <v>0</v>
      </c>
      <c r="AY188" s="112">
        <v>0</v>
      </c>
    </row>
    <row r="189" spans="1:51" x14ac:dyDescent="0.2">
      <c r="A189" s="132" t="s">
        <v>133</v>
      </c>
      <c r="B189" s="129">
        <v>1</v>
      </c>
      <c r="C189" s="130">
        <v>0</v>
      </c>
      <c r="D189" s="130">
        <v>0</v>
      </c>
      <c r="E189" s="130">
        <v>0</v>
      </c>
      <c r="F189" s="130">
        <v>0</v>
      </c>
      <c r="G189" s="130">
        <v>0</v>
      </c>
      <c r="H189" s="130">
        <v>0</v>
      </c>
      <c r="I189" s="130">
        <v>0</v>
      </c>
      <c r="J189" s="130">
        <v>0</v>
      </c>
      <c r="K189" s="130">
        <v>0</v>
      </c>
      <c r="L189" s="130">
        <v>0</v>
      </c>
      <c r="M189" s="130">
        <v>0</v>
      </c>
      <c r="N189" s="130">
        <v>0</v>
      </c>
      <c r="O189" s="130">
        <v>0</v>
      </c>
      <c r="P189" s="130">
        <v>0</v>
      </c>
      <c r="Q189" s="130">
        <v>0</v>
      </c>
      <c r="R189" s="130">
        <v>0</v>
      </c>
      <c r="S189" s="130">
        <v>0</v>
      </c>
      <c r="T189" s="130">
        <v>0</v>
      </c>
      <c r="U189" s="130">
        <v>0</v>
      </c>
      <c r="V189" s="130">
        <v>0</v>
      </c>
      <c r="W189" s="130">
        <v>0</v>
      </c>
      <c r="X189" s="130">
        <v>0</v>
      </c>
      <c r="Y189" s="130">
        <v>0</v>
      </c>
      <c r="Z189" s="130">
        <v>0</v>
      </c>
      <c r="AA189" s="130">
        <v>0</v>
      </c>
      <c r="AB189" s="130">
        <v>0</v>
      </c>
      <c r="AC189" s="130">
        <v>0</v>
      </c>
      <c r="AD189" s="130">
        <v>0</v>
      </c>
      <c r="AE189" s="130">
        <v>0</v>
      </c>
      <c r="AF189" s="130">
        <v>0</v>
      </c>
      <c r="AG189" s="130">
        <v>0</v>
      </c>
      <c r="AH189" s="130">
        <v>0</v>
      </c>
      <c r="AI189" s="130">
        <v>0</v>
      </c>
      <c r="AJ189" s="130">
        <v>0</v>
      </c>
      <c r="AK189" s="130">
        <v>0</v>
      </c>
      <c r="AL189" s="130">
        <v>0</v>
      </c>
      <c r="AM189" s="130">
        <v>0</v>
      </c>
      <c r="AN189" s="130">
        <v>0</v>
      </c>
      <c r="AO189" s="130">
        <v>0</v>
      </c>
      <c r="AP189" s="130">
        <v>0</v>
      </c>
      <c r="AQ189" s="130">
        <v>0</v>
      </c>
      <c r="AR189" s="130">
        <v>0</v>
      </c>
      <c r="AS189" s="130">
        <v>0</v>
      </c>
      <c r="AT189" s="130">
        <v>0</v>
      </c>
      <c r="AU189" s="130">
        <v>0</v>
      </c>
      <c r="AV189" s="130">
        <v>0</v>
      </c>
      <c r="AW189" s="130">
        <v>0</v>
      </c>
      <c r="AX189" s="130">
        <v>0</v>
      </c>
      <c r="AY189" s="130">
        <v>0</v>
      </c>
    </row>
    <row r="190" spans="1:51" x14ac:dyDescent="0.2">
      <c r="A190" s="115"/>
      <c r="B190" s="125">
        <v>2</v>
      </c>
      <c r="C190" s="112">
        <v>0</v>
      </c>
      <c r="D190" s="112">
        <v>0</v>
      </c>
      <c r="E190" s="112">
        <v>0</v>
      </c>
      <c r="F190" s="112">
        <v>0</v>
      </c>
      <c r="G190" s="112">
        <v>0</v>
      </c>
      <c r="H190" s="112">
        <v>0</v>
      </c>
      <c r="I190" s="112">
        <v>0</v>
      </c>
      <c r="J190" s="112">
        <v>0</v>
      </c>
      <c r="K190" s="112">
        <v>0</v>
      </c>
      <c r="L190" s="112">
        <v>0</v>
      </c>
      <c r="M190" s="112">
        <v>0</v>
      </c>
      <c r="N190" s="112">
        <v>0</v>
      </c>
      <c r="O190" s="112">
        <v>0</v>
      </c>
      <c r="P190" s="112">
        <v>0</v>
      </c>
      <c r="Q190" s="112">
        <v>0</v>
      </c>
      <c r="R190" s="112">
        <v>0</v>
      </c>
      <c r="S190" s="112">
        <v>0</v>
      </c>
      <c r="T190" s="112">
        <v>0</v>
      </c>
      <c r="U190" s="112">
        <v>0</v>
      </c>
      <c r="V190" s="112">
        <v>0</v>
      </c>
      <c r="W190" s="112">
        <v>0</v>
      </c>
      <c r="X190" s="112">
        <v>0</v>
      </c>
      <c r="Y190" s="112">
        <v>0</v>
      </c>
      <c r="Z190" s="112">
        <v>0</v>
      </c>
      <c r="AA190" s="112">
        <v>0</v>
      </c>
      <c r="AB190" s="112">
        <v>0</v>
      </c>
      <c r="AC190" s="112">
        <v>0</v>
      </c>
      <c r="AD190" s="112">
        <v>0</v>
      </c>
      <c r="AE190" s="112">
        <v>0</v>
      </c>
      <c r="AF190" s="112">
        <v>0</v>
      </c>
      <c r="AG190" s="112">
        <v>0</v>
      </c>
      <c r="AH190" s="112">
        <v>0</v>
      </c>
      <c r="AI190" s="112">
        <v>0</v>
      </c>
      <c r="AJ190" s="112">
        <v>0</v>
      </c>
      <c r="AK190" s="112">
        <v>0</v>
      </c>
      <c r="AL190" s="112">
        <v>0</v>
      </c>
      <c r="AM190" s="112">
        <v>0</v>
      </c>
      <c r="AN190" s="112">
        <v>0</v>
      </c>
      <c r="AO190" s="112">
        <v>0</v>
      </c>
      <c r="AP190" s="112">
        <v>0</v>
      </c>
      <c r="AQ190" s="112">
        <v>0</v>
      </c>
      <c r="AR190" s="112">
        <v>0</v>
      </c>
      <c r="AS190" s="112">
        <v>0</v>
      </c>
      <c r="AT190" s="112">
        <v>0</v>
      </c>
      <c r="AU190" s="112">
        <v>0</v>
      </c>
      <c r="AV190" s="112">
        <v>0</v>
      </c>
      <c r="AW190" s="112">
        <v>0</v>
      </c>
      <c r="AX190" s="112">
        <v>0</v>
      </c>
      <c r="AY190" s="112">
        <v>0</v>
      </c>
    </row>
    <row r="191" spans="1:51" x14ac:dyDescent="0.2">
      <c r="A191" s="115"/>
      <c r="B191" s="126">
        <v>3</v>
      </c>
      <c r="C191" s="112">
        <v>0</v>
      </c>
      <c r="D191" s="112">
        <v>0</v>
      </c>
      <c r="E191" s="112">
        <v>0</v>
      </c>
      <c r="F191" s="112">
        <v>0</v>
      </c>
      <c r="G191" s="112">
        <v>0</v>
      </c>
      <c r="H191" s="112">
        <v>0</v>
      </c>
      <c r="I191" s="112">
        <v>0</v>
      </c>
      <c r="J191" s="112">
        <v>0</v>
      </c>
      <c r="K191" s="112">
        <v>0</v>
      </c>
      <c r="L191" s="112">
        <v>0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0</v>
      </c>
      <c r="AP191" s="112">
        <v>0</v>
      </c>
      <c r="AQ191" s="112">
        <v>0</v>
      </c>
      <c r="AR191" s="112">
        <v>0</v>
      </c>
      <c r="AS191" s="112">
        <v>0</v>
      </c>
      <c r="AT191" s="112">
        <v>0</v>
      </c>
      <c r="AU191" s="112">
        <v>0</v>
      </c>
      <c r="AV191" s="112">
        <v>0</v>
      </c>
      <c r="AW191" s="112">
        <v>0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>
        <v>0</v>
      </c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>
        <v>0</v>
      </c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>
        <v>0</v>
      </c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>
        <v>0</v>
      </c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0</v>
      </c>
      <c r="D197" s="112">
        <v>0</v>
      </c>
      <c r="E197" s="112">
        <v>0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0</v>
      </c>
      <c r="AU197" s="112">
        <v>0</v>
      </c>
      <c r="AV197" s="112">
        <v>0</v>
      </c>
      <c r="AW197" s="112">
        <v>0</v>
      </c>
      <c r="AX197" s="112">
        <v>0</v>
      </c>
      <c r="AY197" s="112">
        <v>0</v>
      </c>
    </row>
    <row r="198" spans="1:51" x14ac:dyDescent="0.2">
      <c r="A198" s="115"/>
      <c r="B198" s="125">
        <v>2</v>
      </c>
      <c r="C198" s="112">
        <v>0</v>
      </c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>
        <v>0</v>
      </c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>
        <v>0</v>
      </c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>
        <v>0</v>
      </c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>
        <v>0</v>
      </c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>
        <v>0</v>
      </c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>
        <v>0</v>
      </c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>
        <v>0</v>
      </c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>
        <v>0</v>
      </c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>
        <v>0</v>
      </c>
      <c r="D209" s="130">
        <v>0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0</v>
      </c>
      <c r="N209" s="130">
        <v>0</v>
      </c>
      <c r="O209" s="130">
        <v>0</v>
      </c>
      <c r="P209" s="130">
        <v>0</v>
      </c>
      <c r="Q209" s="130">
        <v>0</v>
      </c>
      <c r="R209" s="130">
        <v>0</v>
      </c>
      <c r="S209" s="130">
        <v>0</v>
      </c>
      <c r="T209" s="130">
        <v>0</v>
      </c>
      <c r="U209" s="130">
        <v>0</v>
      </c>
      <c r="V209" s="130">
        <v>0</v>
      </c>
      <c r="W209" s="130">
        <v>0</v>
      </c>
      <c r="X209" s="130">
        <v>0</v>
      </c>
      <c r="Y209" s="130">
        <v>0</v>
      </c>
      <c r="Z209" s="130">
        <v>0</v>
      </c>
      <c r="AA209" s="130">
        <v>0</v>
      </c>
      <c r="AB209" s="130">
        <v>0</v>
      </c>
      <c r="AC209" s="130">
        <v>0</v>
      </c>
      <c r="AD209" s="130">
        <v>0</v>
      </c>
      <c r="AE209" s="130">
        <v>0</v>
      </c>
      <c r="AF209" s="130">
        <v>0</v>
      </c>
      <c r="AG209" s="130">
        <v>0</v>
      </c>
      <c r="AH209" s="130">
        <v>0</v>
      </c>
      <c r="AI209" s="130">
        <v>0</v>
      </c>
      <c r="AJ209" s="130">
        <v>0</v>
      </c>
      <c r="AK209" s="130">
        <v>0</v>
      </c>
      <c r="AL209" s="130">
        <v>0</v>
      </c>
      <c r="AM209" s="130">
        <v>0</v>
      </c>
      <c r="AN209" s="130">
        <v>0</v>
      </c>
      <c r="AO209" s="130">
        <v>0</v>
      </c>
      <c r="AP209" s="130">
        <v>0</v>
      </c>
      <c r="AQ209" s="130">
        <v>0</v>
      </c>
      <c r="AR209" s="130">
        <v>0</v>
      </c>
      <c r="AS209" s="130">
        <v>0</v>
      </c>
      <c r="AT209" s="130">
        <v>0</v>
      </c>
      <c r="AU209" s="130">
        <v>0</v>
      </c>
      <c r="AV209" s="130">
        <v>0</v>
      </c>
      <c r="AW209" s="130">
        <v>0</v>
      </c>
      <c r="AX209" s="130">
        <v>0</v>
      </c>
      <c r="AY209" s="130">
        <v>0</v>
      </c>
    </row>
    <row r="210" spans="1:51" x14ac:dyDescent="0.2">
      <c r="A210" s="115"/>
      <c r="B210" s="125">
        <v>2</v>
      </c>
      <c r="C210" s="112">
        <v>386.82836284516054</v>
      </c>
      <c r="D210" s="116">
        <v>404</v>
      </c>
      <c r="E210" s="116">
        <v>369</v>
      </c>
      <c r="F210" s="116">
        <v>298</v>
      </c>
      <c r="G210" s="116">
        <v>400</v>
      </c>
      <c r="H210" s="116">
        <v>1630</v>
      </c>
      <c r="I210" s="116">
        <v>1101.8283628451522</v>
      </c>
      <c r="J210" s="116">
        <v>1446.8283628451575</v>
      </c>
      <c r="K210" s="116">
        <v>1607.8283628451545</v>
      </c>
      <c r="L210" s="116">
        <v>19.82836284515335</v>
      </c>
      <c r="M210" s="116">
        <v>42.828362845154402</v>
      </c>
      <c r="N210" s="116">
        <v>82.828362845152327</v>
      </c>
      <c r="O210" s="116">
        <v>71.828362845151275</v>
      </c>
      <c r="P210" s="116">
        <v>1318</v>
      </c>
      <c r="Q210" s="116">
        <v>1327</v>
      </c>
      <c r="R210" s="116">
        <v>1077</v>
      </c>
      <c r="S210" s="116">
        <v>1187</v>
      </c>
      <c r="T210" s="116">
        <v>1104</v>
      </c>
      <c r="U210" s="116">
        <v>970.82836284515338</v>
      </c>
      <c r="V210" s="116">
        <v>837.8283628451544</v>
      </c>
      <c r="W210" s="116">
        <v>1025.8283628451545</v>
      </c>
      <c r="X210" s="116">
        <v>881.82836284515952</v>
      </c>
      <c r="Y210" s="116">
        <v>905.82836284515543</v>
      </c>
      <c r="Z210" s="116">
        <v>668.82836284515338</v>
      </c>
      <c r="AA210" s="116">
        <v>567.82836284515849</v>
      </c>
      <c r="AB210" s="116">
        <v>324</v>
      </c>
      <c r="AC210" s="116">
        <v>302</v>
      </c>
      <c r="AD210" s="116">
        <v>305</v>
      </c>
      <c r="AE210" s="116">
        <v>272</v>
      </c>
      <c r="AF210" s="116">
        <v>1134</v>
      </c>
      <c r="AG210" s="116">
        <v>669.82836284515543</v>
      </c>
      <c r="AH210" s="116">
        <v>716.82836284515952</v>
      </c>
      <c r="AI210" s="116">
        <v>896.82836284514917</v>
      </c>
      <c r="AJ210" s="116">
        <v>930.82836284515645</v>
      </c>
      <c r="AK210" s="116">
        <v>934.8283628451544</v>
      </c>
      <c r="AL210" s="116">
        <v>777.82836284515236</v>
      </c>
      <c r="AM210" s="116">
        <v>867.82836284515338</v>
      </c>
      <c r="AN210" s="116">
        <v>1574</v>
      </c>
      <c r="AO210" s="116">
        <v>1968</v>
      </c>
      <c r="AP210" s="116">
        <v>1786</v>
      </c>
      <c r="AQ210" s="116">
        <v>1857</v>
      </c>
      <c r="AR210" s="116">
        <v>1523</v>
      </c>
      <c r="AS210" s="116">
        <v>1216.8283628451513</v>
      </c>
      <c r="AT210" s="116">
        <v>1388.8283628451575</v>
      </c>
      <c r="AU210" s="116">
        <v>1057.8283628451481</v>
      </c>
      <c r="AV210" s="116">
        <v>385.82836284515332</v>
      </c>
      <c r="AW210" s="116">
        <v>373.82836284516156</v>
      </c>
      <c r="AX210" s="116">
        <v>415.82836284515849</v>
      </c>
      <c r="AY210" s="116">
        <v>457.82836284515543</v>
      </c>
    </row>
    <row r="211" spans="1:51" x14ac:dyDescent="0.2">
      <c r="A211" s="115"/>
      <c r="B211" s="125">
        <v>3</v>
      </c>
      <c r="C211" s="112">
        <v>211.17163715483943</v>
      </c>
      <c r="D211" s="116">
        <v>0</v>
      </c>
      <c r="E211" s="116">
        <v>0</v>
      </c>
      <c r="F211" s="116">
        <v>0</v>
      </c>
      <c r="G211" s="116">
        <v>0</v>
      </c>
      <c r="H211" s="116">
        <v>0</v>
      </c>
      <c r="I211" s="116">
        <v>211.17163715484767</v>
      </c>
      <c r="J211" s="116">
        <v>211.1716371548425</v>
      </c>
      <c r="K211" s="116">
        <v>211.1716371548456</v>
      </c>
      <c r="L211" s="116">
        <v>211.17163715484665</v>
      </c>
      <c r="M211" s="116">
        <v>211.1716371548456</v>
      </c>
      <c r="N211" s="116">
        <v>211.17163715484767</v>
      </c>
      <c r="O211" s="116">
        <v>211.17163715484872</v>
      </c>
      <c r="P211" s="116">
        <v>0</v>
      </c>
      <c r="Q211" s="116">
        <v>0</v>
      </c>
      <c r="R211" s="116">
        <v>0</v>
      </c>
      <c r="S211" s="116">
        <v>0</v>
      </c>
      <c r="T211" s="116">
        <v>0</v>
      </c>
      <c r="U211" s="116">
        <v>211.17163715484665</v>
      </c>
      <c r="V211" s="116">
        <v>211.1716371548456</v>
      </c>
      <c r="W211" s="116">
        <v>211.1716371548456</v>
      </c>
      <c r="X211" s="116">
        <v>211.17163715484043</v>
      </c>
      <c r="Y211" s="116">
        <v>211.17163715484457</v>
      </c>
      <c r="Z211" s="116">
        <v>211.17163715484665</v>
      </c>
      <c r="AA211" s="116">
        <v>211.17163715484148</v>
      </c>
      <c r="AB211" s="116">
        <v>0</v>
      </c>
      <c r="AC211" s="116">
        <v>0</v>
      </c>
      <c r="AD211" s="116">
        <v>0</v>
      </c>
      <c r="AE211" s="116">
        <v>0</v>
      </c>
      <c r="AF211" s="116">
        <v>0</v>
      </c>
      <c r="AG211" s="116">
        <v>211.17163715484457</v>
      </c>
      <c r="AH211" s="116">
        <v>211.17163715484043</v>
      </c>
      <c r="AI211" s="116">
        <v>211.1716371548508</v>
      </c>
      <c r="AJ211" s="116">
        <v>211.17163715484355</v>
      </c>
      <c r="AK211" s="116">
        <v>211.1716371548456</v>
      </c>
      <c r="AL211" s="116">
        <v>211.17163715484767</v>
      </c>
      <c r="AM211" s="116">
        <v>211.17163715484665</v>
      </c>
      <c r="AN211" s="116">
        <v>0</v>
      </c>
      <c r="AO211" s="116">
        <v>0</v>
      </c>
      <c r="AP211" s="116">
        <v>0</v>
      </c>
      <c r="AQ211" s="116">
        <v>0</v>
      </c>
      <c r="AR211" s="116">
        <v>0</v>
      </c>
      <c r="AS211" s="116">
        <v>211.17163715484872</v>
      </c>
      <c r="AT211" s="116">
        <v>211.1716371548425</v>
      </c>
      <c r="AU211" s="116">
        <v>211.17163715485182</v>
      </c>
      <c r="AV211" s="116">
        <v>211.17163715484668</v>
      </c>
      <c r="AW211" s="116">
        <v>211.17163715483841</v>
      </c>
      <c r="AX211" s="116">
        <v>211.17163715484151</v>
      </c>
      <c r="AY211" s="116">
        <v>211.1716371548446</v>
      </c>
    </row>
    <row r="212" spans="1:51" x14ac:dyDescent="0.2">
      <c r="A212" s="115"/>
      <c r="B212" s="125">
        <v>4</v>
      </c>
      <c r="C212" s="112">
        <v>0</v>
      </c>
      <c r="D212" s="116">
        <v>0</v>
      </c>
      <c r="E212" s="116">
        <v>0</v>
      </c>
      <c r="F212" s="116">
        <v>0</v>
      </c>
      <c r="G212" s="116">
        <v>0</v>
      </c>
      <c r="H212" s="116">
        <v>0</v>
      </c>
      <c r="I212" s="116">
        <v>0</v>
      </c>
      <c r="J212" s="116">
        <v>0</v>
      </c>
      <c r="K212" s="116">
        <v>0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0</v>
      </c>
      <c r="AA212" s="116">
        <v>0</v>
      </c>
      <c r="AB212" s="116">
        <v>0</v>
      </c>
      <c r="AC212" s="116">
        <v>0</v>
      </c>
      <c r="AD212" s="116">
        <v>0</v>
      </c>
      <c r="AE212" s="116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>
        <v>0</v>
      </c>
      <c r="D213" s="116">
        <v>0</v>
      </c>
      <c r="E213" s="116">
        <v>0</v>
      </c>
      <c r="F213" s="116">
        <v>0</v>
      </c>
      <c r="G213" s="116">
        <v>0</v>
      </c>
      <c r="H213" s="116">
        <v>0</v>
      </c>
      <c r="I213" s="116">
        <v>0</v>
      </c>
      <c r="J213" s="116">
        <v>0</v>
      </c>
      <c r="K213" s="116">
        <v>0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0</v>
      </c>
      <c r="Y213" s="116">
        <v>0</v>
      </c>
      <c r="Z213" s="116">
        <v>0</v>
      </c>
      <c r="AA213" s="116">
        <v>0</v>
      </c>
      <c r="AB213" s="116">
        <v>0</v>
      </c>
      <c r="AC213" s="116">
        <v>0</v>
      </c>
      <c r="AD213" s="116">
        <v>0</v>
      </c>
      <c r="AE213" s="116">
        <v>0</v>
      </c>
      <c r="AF213" s="116">
        <v>0</v>
      </c>
      <c r="AG213" s="116">
        <v>0</v>
      </c>
      <c r="AH213" s="116">
        <v>0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>
        <v>0</v>
      </c>
      <c r="D214" s="116">
        <v>0</v>
      </c>
      <c r="E214" s="116">
        <v>0</v>
      </c>
      <c r="F214" s="116">
        <v>0</v>
      </c>
      <c r="G214" s="116">
        <v>0</v>
      </c>
      <c r="H214" s="116">
        <v>0</v>
      </c>
      <c r="I214" s="116">
        <v>0</v>
      </c>
      <c r="J214" s="116">
        <v>0</v>
      </c>
      <c r="K214" s="116">
        <v>0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0</v>
      </c>
      <c r="V214" s="116">
        <v>0</v>
      </c>
      <c r="W214" s="116">
        <v>0</v>
      </c>
      <c r="X214" s="116">
        <v>0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0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>
        <v>0</v>
      </c>
      <c r="D215" s="116">
        <v>0</v>
      </c>
      <c r="E215" s="116">
        <v>0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>
        <v>0</v>
      </c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>
        <v>0</v>
      </c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0</v>
      </c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0</v>
      </c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301</v>
      </c>
    </row>
    <row r="259" spans="1:52" x14ac:dyDescent="0.2">
      <c r="A259" s="143" t="s">
        <v>124</v>
      </c>
      <c r="B259" s="144">
        <v>650</v>
      </c>
      <c r="C259" s="130" t="s">
        <v>293</v>
      </c>
      <c r="D259" s="130">
        <f>E$14*$B$259</f>
        <v>14275366.058818035</v>
      </c>
      <c r="E259" s="130">
        <f t="shared" ref="E259:AX259" si="5">F$14*$B$259</f>
        <v>14275366.058818033</v>
      </c>
      <c r="F259" s="130">
        <f t="shared" si="5"/>
        <v>14275366.058818033</v>
      </c>
      <c r="G259" s="130">
        <f t="shared" si="5"/>
        <v>14275366.058818033</v>
      </c>
      <c r="H259" s="130">
        <f t="shared" si="5"/>
        <v>14275366.058818037</v>
      </c>
      <c r="I259" s="130">
        <f t="shared" si="5"/>
        <v>14275366.058818037</v>
      </c>
      <c r="J259" s="130">
        <f t="shared" si="5"/>
        <v>14275366.058818035</v>
      </c>
      <c r="K259" s="130">
        <f t="shared" si="5"/>
        <v>14275366.058818037</v>
      </c>
      <c r="L259" s="130">
        <f t="shared" si="5"/>
        <v>14275366.058818037</v>
      </c>
      <c r="M259" s="130">
        <f t="shared" si="5"/>
        <v>14275366.058818037</v>
      </c>
      <c r="N259" s="130">
        <f t="shared" si="5"/>
        <v>14275366.058818037</v>
      </c>
      <c r="O259" s="130">
        <f t="shared" si="5"/>
        <v>14275366.058818037</v>
      </c>
      <c r="P259" s="130">
        <f t="shared" si="5"/>
        <v>14275366.058818039</v>
      </c>
      <c r="Q259" s="130">
        <f t="shared" si="5"/>
        <v>14275366.058818039</v>
      </c>
      <c r="R259" s="130">
        <f t="shared" si="5"/>
        <v>14275366.058818039</v>
      </c>
      <c r="S259" s="130">
        <f t="shared" si="5"/>
        <v>14275366.058818039</v>
      </c>
      <c r="T259" s="130">
        <f t="shared" si="5"/>
        <v>14275366.058818037</v>
      </c>
      <c r="U259" s="130">
        <f t="shared" si="5"/>
        <v>14275366.058818037</v>
      </c>
      <c r="V259" s="130">
        <f t="shared" si="5"/>
        <v>14275366.058818037</v>
      </c>
      <c r="W259" s="130">
        <f t="shared" si="5"/>
        <v>14275366.058818037</v>
      </c>
      <c r="X259" s="130">
        <f t="shared" si="5"/>
        <v>14275366.058818035</v>
      </c>
      <c r="Y259" s="130">
        <f t="shared" si="5"/>
        <v>14275366.058818037</v>
      </c>
      <c r="Z259" s="130">
        <f t="shared" si="5"/>
        <v>14275366.058818037</v>
      </c>
      <c r="AA259" s="130">
        <f t="shared" si="5"/>
        <v>14275366.058818035</v>
      </c>
      <c r="AB259" s="130">
        <f t="shared" si="5"/>
        <v>14275366.058818037</v>
      </c>
      <c r="AC259" s="130">
        <f t="shared" si="5"/>
        <v>14275366.058818035</v>
      </c>
      <c r="AD259" s="130">
        <f t="shared" si="5"/>
        <v>14275366.058818042</v>
      </c>
      <c r="AE259" s="130">
        <f t="shared" si="5"/>
        <v>14275366.058818039</v>
      </c>
      <c r="AF259" s="130">
        <f t="shared" si="5"/>
        <v>14275366.058818037</v>
      </c>
      <c r="AG259" s="130">
        <f t="shared" si="5"/>
        <v>14275366.058818037</v>
      </c>
      <c r="AH259" s="130">
        <f t="shared" si="5"/>
        <v>14275366.058818035</v>
      </c>
      <c r="AI259" s="130">
        <f t="shared" si="5"/>
        <v>14275366.058818039</v>
      </c>
      <c r="AJ259" s="130">
        <f t="shared" si="5"/>
        <v>14275366.058818035</v>
      </c>
      <c r="AK259" s="130">
        <f t="shared" si="5"/>
        <v>14275366.058818037</v>
      </c>
      <c r="AL259" s="130">
        <f t="shared" si="5"/>
        <v>14275366.058818037</v>
      </c>
      <c r="AM259" s="130">
        <f t="shared" si="5"/>
        <v>14275366.058818037</v>
      </c>
      <c r="AN259" s="130">
        <f t="shared" si="5"/>
        <v>14275366.058818035</v>
      </c>
      <c r="AO259" s="130">
        <f t="shared" si="5"/>
        <v>14275366.058818039</v>
      </c>
      <c r="AP259" s="130">
        <f t="shared" si="5"/>
        <v>14275366.058818039</v>
      </c>
      <c r="AQ259" s="130">
        <f t="shared" si="5"/>
        <v>14275366.058818039</v>
      </c>
      <c r="AR259" s="130">
        <f t="shared" si="5"/>
        <v>14275366.058818035</v>
      </c>
      <c r="AS259" s="130">
        <f t="shared" si="5"/>
        <v>14275366.058818037</v>
      </c>
      <c r="AT259" s="130">
        <f t="shared" si="5"/>
        <v>14275366.058818035</v>
      </c>
      <c r="AU259" s="130">
        <f t="shared" si="5"/>
        <v>14275366.058818039</v>
      </c>
      <c r="AV259" s="130">
        <f t="shared" si="5"/>
        <v>14275366.058818033</v>
      </c>
      <c r="AW259" s="130">
        <f t="shared" si="5"/>
        <v>14275366.058818029</v>
      </c>
      <c r="AX259" s="130">
        <f t="shared" si="5"/>
        <v>14275366.058818033</v>
      </c>
      <c r="AY259" s="130">
        <f>AZ$14*$B$259</f>
        <v>14275366.058818033</v>
      </c>
      <c r="AZ259" s="145">
        <f>SUM($D259:$AY259)</f>
        <v>685217570.82326531</v>
      </c>
    </row>
    <row r="260" spans="1:52" x14ac:dyDescent="0.2">
      <c r="A260" s="146" t="s">
        <v>302</v>
      </c>
      <c r="B260" s="120">
        <v>60</v>
      </c>
      <c r="C260" s="131" t="s">
        <v>293</v>
      </c>
      <c r="D260" s="131">
        <f>(D$175-D$176+D$177-D$178+D$179-D$180+D$181-D$182)*$B$260</f>
        <v>1718033.9022629508</v>
      </c>
      <c r="E260" s="131">
        <f t="shared" ref="E260:AY260" si="6">(E$175-E$176+E$177-E$178+E$179-E$180+E$181-E$182)*$B$260</f>
        <v>1720133.9022629505</v>
      </c>
      <c r="F260" s="131">
        <f t="shared" si="6"/>
        <v>1724393.9022629505</v>
      </c>
      <c r="G260" s="131">
        <f t="shared" si="6"/>
        <v>1718273.9022629505</v>
      </c>
      <c r="H260" s="131">
        <f t="shared" si="6"/>
        <v>1644473.9022629503</v>
      </c>
      <c r="I260" s="131">
        <f t="shared" si="6"/>
        <v>1663493.9022629503</v>
      </c>
      <c r="J260" s="131">
        <f t="shared" si="6"/>
        <v>1642793.9022629503</v>
      </c>
      <c r="K260" s="131">
        <f t="shared" si="6"/>
        <v>1633133.9022629503</v>
      </c>
      <c r="L260" s="131">
        <f t="shared" si="6"/>
        <v>1728413.9022629503</v>
      </c>
      <c r="M260" s="131">
        <f t="shared" si="6"/>
        <v>1727033.9022629503</v>
      </c>
      <c r="N260" s="131">
        <f t="shared" si="6"/>
        <v>1724633.9022629503</v>
      </c>
      <c r="O260" s="131">
        <f t="shared" si="6"/>
        <v>1725293.9022629503</v>
      </c>
      <c r="P260" s="131">
        <f t="shared" si="6"/>
        <v>1663193.9022629505</v>
      </c>
      <c r="Q260" s="131">
        <f t="shared" si="6"/>
        <v>1662653.9022629505</v>
      </c>
      <c r="R260" s="131">
        <f t="shared" si="6"/>
        <v>1677653.9022629505</v>
      </c>
      <c r="S260" s="131">
        <f t="shared" si="6"/>
        <v>1671053.9022629505</v>
      </c>
      <c r="T260" s="131">
        <f t="shared" si="6"/>
        <v>1676033.9022629503</v>
      </c>
      <c r="U260" s="131">
        <f t="shared" si="6"/>
        <v>1671353.9022629503</v>
      </c>
      <c r="V260" s="131">
        <f t="shared" si="6"/>
        <v>1679333.9022629503</v>
      </c>
      <c r="W260" s="131">
        <f t="shared" si="6"/>
        <v>1668053.9022629503</v>
      </c>
      <c r="X260" s="131">
        <f t="shared" si="6"/>
        <v>1676693.9022629499</v>
      </c>
      <c r="Y260" s="131">
        <f t="shared" si="6"/>
        <v>1675253.9022629503</v>
      </c>
      <c r="Z260" s="131">
        <f t="shared" si="6"/>
        <v>1689473.9022629503</v>
      </c>
      <c r="AA260" s="131">
        <f t="shared" si="6"/>
        <v>1695533.9022629503</v>
      </c>
      <c r="AB260" s="131">
        <f t="shared" si="6"/>
        <v>1722833.9022629503</v>
      </c>
      <c r="AC260" s="131">
        <f t="shared" si="6"/>
        <v>1724153.9022629503</v>
      </c>
      <c r="AD260" s="131">
        <f t="shared" si="6"/>
        <v>1723973.9022629508</v>
      </c>
      <c r="AE260" s="131">
        <f t="shared" si="6"/>
        <v>1725953.9022629505</v>
      </c>
      <c r="AF260" s="131">
        <f t="shared" si="6"/>
        <v>1674233.9022629503</v>
      </c>
      <c r="AG260" s="131">
        <f t="shared" si="6"/>
        <v>1689413.9022629503</v>
      </c>
      <c r="AH260" s="131">
        <f t="shared" si="6"/>
        <v>1686593.9022629499</v>
      </c>
      <c r="AI260" s="131">
        <f t="shared" si="6"/>
        <v>1675793.9022629505</v>
      </c>
      <c r="AJ260" s="131">
        <f t="shared" si="6"/>
        <v>1673753.9022629503</v>
      </c>
      <c r="AK260" s="131">
        <f t="shared" si="6"/>
        <v>1673513.9022629503</v>
      </c>
      <c r="AL260" s="131">
        <f t="shared" si="6"/>
        <v>1682933.9022629503</v>
      </c>
      <c r="AM260" s="131">
        <f t="shared" si="6"/>
        <v>1677533.9022629503</v>
      </c>
      <c r="AN260" s="131">
        <f t="shared" si="6"/>
        <v>1647833.9022629503</v>
      </c>
      <c r="AO260" s="131">
        <f t="shared" si="6"/>
        <v>1624193.9022629505</v>
      </c>
      <c r="AP260" s="131">
        <f t="shared" si="6"/>
        <v>1635113.9022629505</v>
      </c>
      <c r="AQ260" s="131">
        <f t="shared" si="6"/>
        <v>1630853.9022629505</v>
      </c>
      <c r="AR260" s="131">
        <f t="shared" si="6"/>
        <v>1650893.9022629503</v>
      </c>
      <c r="AS260" s="131">
        <f t="shared" si="6"/>
        <v>1656593.9022629503</v>
      </c>
      <c r="AT260" s="131">
        <f t="shared" si="6"/>
        <v>1646273.9022629503</v>
      </c>
      <c r="AU260" s="131">
        <f t="shared" si="6"/>
        <v>1666133.9022629505</v>
      </c>
      <c r="AV260" s="131">
        <f t="shared" si="6"/>
        <v>1706453.9022629505</v>
      </c>
      <c r="AW260" s="131">
        <f t="shared" si="6"/>
        <v>1707173.9022629503</v>
      </c>
      <c r="AX260" s="131">
        <f t="shared" si="6"/>
        <v>1704653.9022629505</v>
      </c>
      <c r="AY260" s="131">
        <f t="shared" si="6"/>
        <v>1702133.9022629505</v>
      </c>
      <c r="AZ260" s="147">
        <f>SUM($D260:$AY260)</f>
        <v>80785387.30862163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283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173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174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175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176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177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178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179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180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181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182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183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184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185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186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187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188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189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190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191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192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193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194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195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196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197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198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199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200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201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202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203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204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205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206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207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208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209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210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211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212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213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214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215</v>
      </c>
      <c r="D49" s="106">
        <v>4</v>
      </c>
      <c r="E49" s="106">
        <v>3940.7999999999997</v>
      </c>
      <c r="F49" s="106">
        <v>3</v>
      </c>
      <c r="G49" s="106">
        <v>2955.6</v>
      </c>
      <c r="H49" s="106">
        <v>4</v>
      </c>
      <c r="I49" s="106">
        <v>3940.7999999999997</v>
      </c>
      <c r="J49" s="106">
        <v>5</v>
      </c>
      <c r="K49" s="106">
        <v>4926</v>
      </c>
      <c r="L49" s="106">
        <v>5</v>
      </c>
      <c r="M49" s="106">
        <v>4926</v>
      </c>
      <c r="N49" s="106">
        <v>3</v>
      </c>
      <c r="O49" s="106">
        <v>2955.6</v>
      </c>
      <c r="P49" s="106">
        <v>2</v>
      </c>
      <c r="Q49" s="106">
        <v>1970.3999999999999</v>
      </c>
      <c r="R49" s="106">
        <v>4</v>
      </c>
      <c r="S49" s="106">
        <v>3940.7999999999997</v>
      </c>
      <c r="T49" s="106">
        <v>58</v>
      </c>
      <c r="U49" s="106">
        <v>57141.599999999999</v>
      </c>
      <c r="V49" s="106">
        <v>53</v>
      </c>
      <c r="W49" s="106">
        <v>52215.6</v>
      </c>
      <c r="X49" s="106">
        <v>57</v>
      </c>
      <c r="Y49" s="106">
        <v>56156.399999999994</v>
      </c>
      <c r="Z49" s="106">
        <v>33</v>
      </c>
      <c r="AA49" s="106">
        <v>32511.599999999999</v>
      </c>
      <c r="AB49" s="106">
        <v>9</v>
      </c>
      <c r="AC49" s="106">
        <v>8866.7999999999993</v>
      </c>
      <c r="AD49" s="106">
        <v>9</v>
      </c>
      <c r="AE49" s="106">
        <v>8866.7999999999993</v>
      </c>
      <c r="AF49" s="106">
        <v>9</v>
      </c>
      <c r="AG49" s="106">
        <v>8866.7999999999993</v>
      </c>
      <c r="AH49" s="106">
        <v>8</v>
      </c>
      <c r="AI49" s="106">
        <v>7881.5999999999995</v>
      </c>
      <c r="AJ49" s="106">
        <v>19</v>
      </c>
      <c r="AK49" s="106">
        <v>18718.8</v>
      </c>
      <c r="AL49" s="106">
        <v>17</v>
      </c>
      <c r="AM49" s="106">
        <v>16748.399999999998</v>
      </c>
      <c r="AN49" s="106">
        <v>14</v>
      </c>
      <c r="AO49" s="106">
        <v>13792.8</v>
      </c>
      <c r="AP49" s="106">
        <v>13</v>
      </c>
      <c r="AQ49" s="106">
        <v>12807.599999999999</v>
      </c>
      <c r="AR49" s="106">
        <v>3</v>
      </c>
      <c r="AS49" s="106">
        <v>2955.6</v>
      </c>
      <c r="AT49" s="106">
        <v>4</v>
      </c>
      <c r="AU49" s="106">
        <v>3940.7999999999997</v>
      </c>
      <c r="AV49" s="106">
        <v>3</v>
      </c>
      <c r="AW49" s="106">
        <v>2955.6</v>
      </c>
      <c r="AX49" s="106">
        <v>2</v>
      </c>
      <c r="AY49" s="106">
        <v>1970.3999999999999</v>
      </c>
      <c r="AZ49" s="106">
        <v>4</v>
      </c>
      <c r="BA49" s="106">
        <v>3940.7999999999997</v>
      </c>
      <c r="BB49" s="106">
        <v>4</v>
      </c>
      <c r="BC49" s="106">
        <v>3940.7999999999997</v>
      </c>
      <c r="BD49" s="106">
        <v>4</v>
      </c>
      <c r="BE49" s="106">
        <v>3940.7999999999997</v>
      </c>
      <c r="BF49" s="106">
        <v>3</v>
      </c>
      <c r="BG49" s="106">
        <v>2955.6</v>
      </c>
      <c r="BH49" s="106">
        <v>6</v>
      </c>
      <c r="BI49" s="106">
        <v>5911.2</v>
      </c>
      <c r="BJ49" s="106">
        <v>5</v>
      </c>
      <c r="BK49" s="106">
        <v>4926</v>
      </c>
      <c r="BL49" s="106">
        <v>4</v>
      </c>
      <c r="BM49" s="106">
        <v>3940.7999999999997</v>
      </c>
      <c r="BN49" s="106">
        <v>7</v>
      </c>
      <c r="BO49" s="106">
        <v>6896.4</v>
      </c>
      <c r="BP49" s="106">
        <v>11</v>
      </c>
      <c r="BQ49" s="106">
        <v>10837.199999999999</v>
      </c>
      <c r="BR49" s="106">
        <v>7</v>
      </c>
      <c r="BS49" s="106">
        <v>6896.4</v>
      </c>
      <c r="BT49" s="106">
        <v>9</v>
      </c>
      <c r="BU49" s="106">
        <v>8866.7999999999993</v>
      </c>
      <c r="BV49" s="106">
        <v>10</v>
      </c>
      <c r="BW49" s="106">
        <v>9852</v>
      </c>
      <c r="BX49" s="106">
        <v>4</v>
      </c>
      <c r="BY49" s="106">
        <v>3940.7999999999997</v>
      </c>
      <c r="BZ49" s="106">
        <v>2</v>
      </c>
      <c r="CA49" s="106">
        <v>1970.3999999999999</v>
      </c>
      <c r="CB49" s="106">
        <v>4</v>
      </c>
      <c r="CC49" s="106">
        <v>3940.7999999999997</v>
      </c>
      <c r="CD49" s="106">
        <v>3</v>
      </c>
      <c r="CE49" s="106">
        <v>2955.6</v>
      </c>
      <c r="CF49" s="106">
        <v>60</v>
      </c>
      <c r="CG49" s="106">
        <v>59111.999999999993</v>
      </c>
      <c r="CH49" s="106">
        <v>41</v>
      </c>
      <c r="CI49" s="106">
        <v>40393.199999999997</v>
      </c>
      <c r="CJ49" s="106">
        <v>40</v>
      </c>
      <c r="CK49" s="106">
        <v>39408</v>
      </c>
      <c r="CL49" s="106">
        <v>61</v>
      </c>
      <c r="CM49" s="106">
        <v>60097.2</v>
      </c>
      <c r="CN49" s="106">
        <v>5</v>
      </c>
      <c r="CO49" s="106">
        <v>4926</v>
      </c>
      <c r="CP49" s="106">
        <v>7</v>
      </c>
      <c r="CQ49" s="106">
        <v>6896.4</v>
      </c>
      <c r="CR49" s="106">
        <v>6</v>
      </c>
      <c r="CS49" s="106">
        <v>5911.2</v>
      </c>
      <c r="CT49" s="106">
        <v>6</v>
      </c>
      <c r="CU49" s="106">
        <v>5911.2</v>
      </c>
    </row>
    <row r="50" spans="2:99" x14ac:dyDescent="0.2">
      <c r="C50" s="105" t="s">
        <v>216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217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218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219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220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221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222</v>
      </c>
      <c r="D56" s="106">
        <v>4</v>
      </c>
      <c r="E56" s="106">
        <v>4603.2</v>
      </c>
      <c r="F56" s="106">
        <v>3</v>
      </c>
      <c r="G56" s="106">
        <v>3452.3999999999996</v>
      </c>
      <c r="H56" s="106">
        <v>4</v>
      </c>
      <c r="I56" s="106">
        <v>4603.2</v>
      </c>
      <c r="J56" s="106">
        <v>4</v>
      </c>
      <c r="K56" s="106">
        <v>4603.2</v>
      </c>
      <c r="L56" s="106">
        <v>4</v>
      </c>
      <c r="M56" s="106">
        <v>4603.2</v>
      </c>
      <c r="N56" s="106">
        <v>3</v>
      </c>
      <c r="O56" s="106">
        <v>3452.3999999999996</v>
      </c>
      <c r="P56" s="106">
        <v>3</v>
      </c>
      <c r="Q56" s="106">
        <v>3452.3999999999996</v>
      </c>
      <c r="R56" s="106">
        <v>4</v>
      </c>
      <c r="S56" s="106">
        <v>4603.2</v>
      </c>
      <c r="T56" s="106">
        <v>60</v>
      </c>
      <c r="U56" s="106">
        <v>69048</v>
      </c>
      <c r="V56" s="106">
        <v>44</v>
      </c>
      <c r="W56" s="106">
        <v>50635.199999999997</v>
      </c>
      <c r="X56" s="106">
        <v>50</v>
      </c>
      <c r="Y56" s="106">
        <v>57540</v>
      </c>
      <c r="Z56" s="106">
        <v>31</v>
      </c>
      <c r="AA56" s="106">
        <v>35674.799999999996</v>
      </c>
      <c r="AB56" s="106">
        <v>8</v>
      </c>
      <c r="AC56" s="106">
        <v>9206.4</v>
      </c>
      <c r="AD56" s="106">
        <v>10</v>
      </c>
      <c r="AE56" s="106">
        <v>11508</v>
      </c>
      <c r="AF56" s="106">
        <v>9</v>
      </c>
      <c r="AG56" s="106">
        <v>10357.199999999999</v>
      </c>
      <c r="AH56" s="106">
        <v>8</v>
      </c>
      <c r="AI56" s="106">
        <v>9206.4</v>
      </c>
      <c r="AJ56" s="106">
        <v>19</v>
      </c>
      <c r="AK56" s="106">
        <v>21865.200000000001</v>
      </c>
      <c r="AL56" s="106">
        <v>16</v>
      </c>
      <c r="AM56" s="106">
        <v>18412.8</v>
      </c>
      <c r="AN56" s="106">
        <v>14</v>
      </c>
      <c r="AO56" s="106">
        <v>16111.199999999999</v>
      </c>
      <c r="AP56" s="106">
        <v>12</v>
      </c>
      <c r="AQ56" s="106">
        <v>13809.599999999999</v>
      </c>
      <c r="AR56" s="106">
        <v>3</v>
      </c>
      <c r="AS56" s="106">
        <v>3452.3999999999996</v>
      </c>
      <c r="AT56" s="106">
        <v>4</v>
      </c>
      <c r="AU56" s="106">
        <v>4603.2</v>
      </c>
      <c r="AV56" s="106">
        <v>3</v>
      </c>
      <c r="AW56" s="106">
        <v>3452.3999999999996</v>
      </c>
      <c r="AX56" s="106">
        <v>3</v>
      </c>
      <c r="AY56" s="106">
        <v>3452.3999999999996</v>
      </c>
      <c r="AZ56" s="106">
        <v>4</v>
      </c>
      <c r="BA56" s="106">
        <v>4603.2</v>
      </c>
      <c r="BB56" s="106">
        <v>4</v>
      </c>
      <c r="BC56" s="106">
        <v>4603.2</v>
      </c>
      <c r="BD56" s="106">
        <v>4</v>
      </c>
      <c r="BE56" s="106">
        <v>4603.2</v>
      </c>
      <c r="BF56" s="106">
        <v>3</v>
      </c>
      <c r="BG56" s="106">
        <v>3452.3999999999996</v>
      </c>
      <c r="BH56" s="106">
        <v>6</v>
      </c>
      <c r="BI56" s="106">
        <v>6904.7999999999993</v>
      </c>
      <c r="BJ56" s="106">
        <v>5</v>
      </c>
      <c r="BK56" s="106">
        <v>5754</v>
      </c>
      <c r="BL56" s="106">
        <v>4</v>
      </c>
      <c r="BM56" s="106">
        <v>4603.2</v>
      </c>
      <c r="BN56" s="106">
        <v>7</v>
      </c>
      <c r="BO56" s="106">
        <v>8055.5999999999995</v>
      </c>
      <c r="BP56" s="106">
        <v>10</v>
      </c>
      <c r="BQ56" s="106">
        <v>11508</v>
      </c>
      <c r="BR56" s="106">
        <v>6</v>
      </c>
      <c r="BS56" s="106">
        <v>6904.7999999999993</v>
      </c>
      <c r="BT56" s="106">
        <v>8</v>
      </c>
      <c r="BU56" s="106">
        <v>9206.4</v>
      </c>
      <c r="BV56" s="106">
        <v>9</v>
      </c>
      <c r="BW56" s="106">
        <v>10357.199999999999</v>
      </c>
      <c r="BX56" s="106">
        <v>4</v>
      </c>
      <c r="BY56" s="106">
        <v>4603.2</v>
      </c>
      <c r="BZ56" s="106">
        <v>3</v>
      </c>
      <c r="CA56" s="106">
        <v>3452.3999999999996</v>
      </c>
      <c r="CB56" s="106">
        <v>3</v>
      </c>
      <c r="CC56" s="106">
        <v>3452.3999999999996</v>
      </c>
      <c r="CD56" s="106">
        <v>3</v>
      </c>
      <c r="CE56" s="106">
        <v>3452.3999999999996</v>
      </c>
      <c r="CF56" s="106">
        <v>61</v>
      </c>
      <c r="CG56" s="106">
        <v>70198.8</v>
      </c>
      <c r="CH56" s="106">
        <v>34</v>
      </c>
      <c r="CI56" s="106">
        <v>39127.199999999997</v>
      </c>
      <c r="CJ56" s="106">
        <v>39</v>
      </c>
      <c r="CK56" s="106">
        <v>44881.2</v>
      </c>
      <c r="CL56" s="106">
        <v>58</v>
      </c>
      <c r="CM56" s="106">
        <v>66746.399999999994</v>
      </c>
      <c r="CN56" s="106">
        <v>5</v>
      </c>
      <c r="CO56" s="106">
        <v>5754</v>
      </c>
      <c r="CP56" s="106">
        <v>7</v>
      </c>
      <c r="CQ56" s="106">
        <v>8055.5999999999995</v>
      </c>
      <c r="CR56" s="106">
        <v>5</v>
      </c>
      <c r="CS56" s="106">
        <v>5754</v>
      </c>
      <c r="CT56" s="106">
        <v>6</v>
      </c>
      <c r="CU56" s="106">
        <v>6904.7999999999993</v>
      </c>
    </row>
    <row r="57" spans="2:99" x14ac:dyDescent="0.2">
      <c r="C57" s="105" t="s">
        <v>223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224</v>
      </c>
      <c r="D58" s="106">
        <v>4</v>
      </c>
      <c r="E58" s="106">
        <v>4708.8</v>
      </c>
      <c r="F58" s="106">
        <v>3</v>
      </c>
      <c r="G58" s="106">
        <v>3531.6000000000004</v>
      </c>
      <c r="H58" s="106">
        <v>4</v>
      </c>
      <c r="I58" s="106">
        <v>4708.8</v>
      </c>
      <c r="J58" s="106">
        <v>5</v>
      </c>
      <c r="K58" s="106">
        <v>5886</v>
      </c>
      <c r="L58" s="106">
        <v>4</v>
      </c>
      <c r="M58" s="106">
        <v>4708.8</v>
      </c>
      <c r="N58" s="106">
        <v>3</v>
      </c>
      <c r="O58" s="106">
        <v>3531.6000000000004</v>
      </c>
      <c r="P58" s="106">
        <v>2</v>
      </c>
      <c r="Q58" s="106">
        <v>2354.4</v>
      </c>
      <c r="R58" s="106">
        <v>4</v>
      </c>
      <c r="S58" s="106">
        <v>4708.8</v>
      </c>
      <c r="T58" s="106">
        <v>58</v>
      </c>
      <c r="U58" s="106">
        <v>68277.600000000006</v>
      </c>
      <c r="V58" s="106">
        <v>48</v>
      </c>
      <c r="W58" s="106">
        <v>56505.600000000006</v>
      </c>
      <c r="X58" s="106">
        <v>50</v>
      </c>
      <c r="Y58" s="106">
        <v>58860</v>
      </c>
      <c r="Z58" s="106">
        <v>32</v>
      </c>
      <c r="AA58" s="106">
        <v>37670.400000000001</v>
      </c>
      <c r="AB58" s="106">
        <v>8</v>
      </c>
      <c r="AC58" s="106">
        <v>9417.6</v>
      </c>
      <c r="AD58" s="106">
        <v>10</v>
      </c>
      <c r="AE58" s="106">
        <v>11772</v>
      </c>
      <c r="AF58" s="106">
        <v>8</v>
      </c>
      <c r="AG58" s="106">
        <v>9417.6</v>
      </c>
      <c r="AH58" s="106">
        <v>8</v>
      </c>
      <c r="AI58" s="106">
        <v>9417.6</v>
      </c>
      <c r="AJ58" s="106">
        <v>16</v>
      </c>
      <c r="AK58" s="106">
        <v>18835.2</v>
      </c>
      <c r="AL58" s="106">
        <v>16</v>
      </c>
      <c r="AM58" s="106">
        <v>18835.2</v>
      </c>
      <c r="AN58" s="106">
        <v>13</v>
      </c>
      <c r="AO58" s="106">
        <v>15303.6</v>
      </c>
      <c r="AP58" s="106">
        <v>12</v>
      </c>
      <c r="AQ58" s="106">
        <v>14126.400000000001</v>
      </c>
      <c r="AR58" s="106">
        <v>3</v>
      </c>
      <c r="AS58" s="106">
        <v>3531.6000000000004</v>
      </c>
      <c r="AT58" s="106">
        <v>4</v>
      </c>
      <c r="AU58" s="106">
        <v>4708.8</v>
      </c>
      <c r="AV58" s="106">
        <v>3</v>
      </c>
      <c r="AW58" s="106">
        <v>3531.6000000000004</v>
      </c>
      <c r="AX58" s="106">
        <v>2</v>
      </c>
      <c r="AY58" s="106">
        <v>2354.4</v>
      </c>
      <c r="AZ58" s="106">
        <v>4</v>
      </c>
      <c r="BA58" s="106">
        <v>4708.8</v>
      </c>
      <c r="BB58" s="106">
        <v>4</v>
      </c>
      <c r="BC58" s="106">
        <v>4708.8</v>
      </c>
      <c r="BD58" s="106">
        <v>5</v>
      </c>
      <c r="BE58" s="106">
        <v>5886</v>
      </c>
      <c r="BF58" s="106">
        <v>4</v>
      </c>
      <c r="BG58" s="106">
        <v>4708.8</v>
      </c>
      <c r="BH58" s="106">
        <v>6</v>
      </c>
      <c r="BI58" s="106">
        <v>7063.2000000000007</v>
      </c>
      <c r="BJ58" s="106">
        <v>5</v>
      </c>
      <c r="BK58" s="106">
        <v>5886</v>
      </c>
      <c r="BL58" s="106">
        <v>4</v>
      </c>
      <c r="BM58" s="106">
        <v>4708.8</v>
      </c>
      <c r="BN58" s="106">
        <v>7</v>
      </c>
      <c r="BO58" s="106">
        <v>8240.4</v>
      </c>
      <c r="BP58" s="106">
        <v>9</v>
      </c>
      <c r="BQ58" s="106">
        <v>10594.800000000001</v>
      </c>
      <c r="BR58" s="106">
        <v>6</v>
      </c>
      <c r="BS58" s="106">
        <v>7063.2000000000007</v>
      </c>
      <c r="BT58" s="106">
        <v>8</v>
      </c>
      <c r="BU58" s="106">
        <v>9417.6</v>
      </c>
      <c r="BV58" s="106">
        <v>9</v>
      </c>
      <c r="BW58" s="106">
        <v>10594.800000000001</v>
      </c>
      <c r="BX58" s="106">
        <v>4</v>
      </c>
      <c r="BY58" s="106">
        <v>4708.8</v>
      </c>
      <c r="BZ58" s="106">
        <v>3</v>
      </c>
      <c r="CA58" s="106">
        <v>3531.6000000000004</v>
      </c>
      <c r="CB58" s="106">
        <v>3</v>
      </c>
      <c r="CC58" s="106">
        <v>3531.6000000000004</v>
      </c>
      <c r="CD58" s="106">
        <v>3</v>
      </c>
      <c r="CE58" s="106">
        <v>3531.6000000000004</v>
      </c>
      <c r="CF58" s="106">
        <v>63</v>
      </c>
      <c r="CG58" s="106">
        <v>74163.600000000006</v>
      </c>
      <c r="CH58" s="106">
        <v>35</v>
      </c>
      <c r="CI58" s="106">
        <v>41202</v>
      </c>
      <c r="CJ58" s="106">
        <v>42</v>
      </c>
      <c r="CK58" s="106">
        <v>49442.400000000001</v>
      </c>
      <c r="CL58" s="106">
        <v>55</v>
      </c>
      <c r="CM58" s="106">
        <v>64746</v>
      </c>
      <c r="CN58" s="106">
        <v>5</v>
      </c>
      <c r="CO58" s="106">
        <v>5886</v>
      </c>
      <c r="CP58" s="106">
        <v>7</v>
      </c>
      <c r="CQ58" s="106">
        <v>8240.4</v>
      </c>
      <c r="CR58" s="106">
        <v>6</v>
      </c>
      <c r="CS58" s="106">
        <v>7063.2000000000007</v>
      </c>
      <c r="CT58" s="106">
        <v>6</v>
      </c>
      <c r="CU58" s="106">
        <v>7063.2000000000007</v>
      </c>
    </row>
    <row r="59" spans="2:99" x14ac:dyDescent="0.2">
      <c r="C59" s="105" t="s">
        <v>225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226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227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228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229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230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231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232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233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234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235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236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237</v>
      </c>
      <c r="D71" s="106">
        <v>17</v>
      </c>
      <c r="E71" s="106">
        <v>9588</v>
      </c>
      <c r="F71" s="106">
        <v>16</v>
      </c>
      <c r="G71" s="106">
        <v>9024</v>
      </c>
      <c r="H71" s="106">
        <v>24</v>
      </c>
      <c r="I71" s="106">
        <v>13536</v>
      </c>
      <c r="J71" s="106">
        <v>30</v>
      </c>
      <c r="K71" s="106">
        <v>16920</v>
      </c>
      <c r="L71" s="106">
        <v>29</v>
      </c>
      <c r="M71" s="106">
        <v>16356</v>
      </c>
      <c r="N71" s="106">
        <v>25</v>
      </c>
      <c r="O71" s="106">
        <v>14100</v>
      </c>
      <c r="P71" s="106">
        <v>24</v>
      </c>
      <c r="Q71" s="106">
        <v>13536</v>
      </c>
      <c r="R71" s="106">
        <v>32</v>
      </c>
      <c r="S71" s="106">
        <v>18048</v>
      </c>
      <c r="T71" s="106">
        <v>15</v>
      </c>
      <c r="U71" s="106">
        <v>8460</v>
      </c>
      <c r="V71" s="106">
        <v>18</v>
      </c>
      <c r="W71" s="106">
        <v>10152</v>
      </c>
      <c r="X71" s="106">
        <v>12</v>
      </c>
      <c r="Y71" s="106">
        <v>6768</v>
      </c>
      <c r="Z71" s="106">
        <v>11</v>
      </c>
      <c r="AA71" s="106">
        <v>6204</v>
      </c>
      <c r="AB71" s="106">
        <v>6</v>
      </c>
      <c r="AC71" s="106">
        <v>3384</v>
      </c>
      <c r="AD71" s="106">
        <v>13</v>
      </c>
      <c r="AE71" s="106">
        <v>7332</v>
      </c>
      <c r="AF71" s="106">
        <v>13</v>
      </c>
      <c r="AG71" s="106">
        <v>7332</v>
      </c>
      <c r="AH71" s="106">
        <v>14</v>
      </c>
      <c r="AI71" s="106">
        <v>7896</v>
      </c>
      <c r="AJ71" s="106">
        <v>18</v>
      </c>
      <c r="AK71" s="106">
        <v>10152</v>
      </c>
      <c r="AL71" s="106">
        <v>17</v>
      </c>
      <c r="AM71" s="106">
        <v>9588</v>
      </c>
      <c r="AN71" s="106">
        <v>15</v>
      </c>
      <c r="AO71" s="106">
        <v>8460</v>
      </c>
      <c r="AP71" s="106">
        <v>22</v>
      </c>
      <c r="AQ71" s="106">
        <v>12408</v>
      </c>
      <c r="AR71" s="106">
        <v>28</v>
      </c>
      <c r="AS71" s="106">
        <v>15792</v>
      </c>
      <c r="AT71" s="106">
        <v>41</v>
      </c>
      <c r="AU71" s="106">
        <v>23124</v>
      </c>
      <c r="AV71" s="106">
        <v>41</v>
      </c>
      <c r="AW71" s="106">
        <v>23124</v>
      </c>
      <c r="AX71" s="106">
        <v>20</v>
      </c>
      <c r="AY71" s="106">
        <v>11280</v>
      </c>
      <c r="AZ71" s="106">
        <v>3</v>
      </c>
      <c r="BA71" s="106">
        <v>1692</v>
      </c>
      <c r="BB71" s="106">
        <v>3</v>
      </c>
      <c r="BC71" s="106">
        <v>1692</v>
      </c>
      <c r="BD71" s="106">
        <v>3</v>
      </c>
      <c r="BE71" s="106">
        <v>1692</v>
      </c>
      <c r="BF71" s="106">
        <v>3</v>
      </c>
      <c r="BG71" s="106">
        <v>1692</v>
      </c>
      <c r="BH71" s="106">
        <v>3</v>
      </c>
      <c r="BI71" s="106">
        <v>1692</v>
      </c>
      <c r="BJ71" s="106">
        <v>2</v>
      </c>
      <c r="BK71" s="106">
        <v>1128</v>
      </c>
      <c r="BL71" s="106">
        <v>3</v>
      </c>
      <c r="BM71" s="106">
        <v>1692</v>
      </c>
      <c r="BN71" s="106">
        <v>2</v>
      </c>
      <c r="BO71" s="106">
        <v>1128</v>
      </c>
      <c r="BP71" s="106">
        <v>5</v>
      </c>
      <c r="BQ71" s="106">
        <v>2820</v>
      </c>
      <c r="BR71" s="106">
        <v>3</v>
      </c>
      <c r="BS71" s="106">
        <v>1692</v>
      </c>
      <c r="BT71" s="106">
        <v>5</v>
      </c>
      <c r="BU71" s="106">
        <v>2820</v>
      </c>
      <c r="BV71" s="106">
        <v>4</v>
      </c>
      <c r="BW71" s="106">
        <v>2256</v>
      </c>
      <c r="BX71" s="106">
        <v>19</v>
      </c>
      <c r="BY71" s="106">
        <v>10716</v>
      </c>
      <c r="BZ71" s="106">
        <v>21</v>
      </c>
      <c r="CA71" s="106">
        <v>11844</v>
      </c>
      <c r="CB71" s="106">
        <v>23</v>
      </c>
      <c r="CC71" s="106">
        <v>12972</v>
      </c>
      <c r="CD71" s="106">
        <v>18</v>
      </c>
      <c r="CE71" s="106">
        <v>10152</v>
      </c>
      <c r="CF71" s="106">
        <v>2</v>
      </c>
      <c r="CG71" s="106">
        <v>1128</v>
      </c>
      <c r="CH71" s="106">
        <v>3</v>
      </c>
      <c r="CI71" s="106">
        <v>1692</v>
      </c>
      <c r="CJ71" s="106">
        <v>3</v>
      </c>
      <c r="CK71" s="106">
        <v>1692</v>
      </c>
      <c r="CL71" s="106">
        <v>3</v>
      </c>
      <c r="CM71" s="106">
        <v>1692</v>
      </c>
      <c r="CN71" s="106">
        <v>5</v>
      </c>
      <c r="CO71" s="106">
        <v>2820</v>
      </c>
      <c r="CP71" s="106">
        <v>6</v>
      </c>
      <c r="CQ71" s="106">
        <v>3384</v>
      </c>
      <c r="CR71" s="106">
        <v>6</v>
      </c>
      <c r="CS71" s="106">
        <v>3384</v>
      </c>
      <c r="CT71" s="106">
        <v>5</v>
      </c>
      <c r="CU71" s="106">
        <v>2820</v>
      </c>
    </row>
    <row r="72" spans="2:99" x14ac:dyDescent="0.2">
      <c r="C72" s="105" t="s">
        <v>238</v>
      </c>
      <c r="D72" s="106">
        <v>20</v>
      </c>
      <c r="E72" s="106">
        <v>1487.9999999999998</v>
      </c>
      <c r="F72" s="106">
        <v>17</v>
      </c>
      <c r="G72" s="106">
        <v>1264.8</v>
      </c>
      <c r="H72" s="106">
        <v>29</v>
      </c>
      <c r="I72" s="106">
        <v>2157.6</v>
      </c>
      <c r="J72" s="106">
        <v>30</v>
      </c>
      <c r="K72" s="106">
        <v>2231.9999999999995</v>
      </c>
      <c r="L72" s="106">
        <v>36</v>
      </c>
      <c r="M72" s="106">
        <v>2678.3999999999996</v>
      </c>
      <c r="N72" s="106">
        <v>24</v>
      </c>
      <c r="O72" s="106">
        <v>1785.6</v>
      </c>
      <c r="P72" s="106">
        <v>26</v>
      </c>
      <c r="Q72" s="106">
        <v>1934.3999999999999</v>
      </c>
      <c r="R72" s="106">
        <v>33</v>
      </c>
      <c r="S72" s="106">
        <v>2455.1999999999998</v>
      </c>
      <c r="T72" s="106">
        <v>16</v>
      </c>
      <c r="U72" s="106">
        <v>1190.3999999999999</v>
      </c>
      <c r="V72" s="106">
        <v>18</v>
      </c>
      <c r="W72" s="106">
        <v>1339.1999999999998</v>
      </c>
      <c r="X72" s="106">
        <v>14</v>
      </c>
      <c r="Y72" s="106">
        <v>1041.5999999999999</v>
      </c>
      <c r="Z72" s="106">
        <v>12</v>
      </c>
      <c r="AA72" s="106">
        <v>892.8</v>
      </c>
      <c r="AB72" s="106">
        <v>8</v>
      </c>
      <c r="AC72" s="106">
        <v>595.19999999999993</v>
      </c>
      <c r="AD72" s="106">
        <v>12</v>
      </c>
      <c r="AE72" s="106">
        <v>892.8</v>
      </c>
      <c r="AF72" s="106">
        <v>14</v>
      </c>
      <c r="AG72" s="106">
        <v>1041.5999999999999</v>
      </c>
      <c r="AH72" s="106">
        <v>15</v>
      </c>
      <c r="AI72" s="106">
        <v>1115.9999999999998</v>
      </c>
      <c r="AJ72" s="106">
        <v>18</v>
      </c>
      <c r="AK72" s="106">
        <v>1339.1999999999998</v>
      </c>
      <c r="AL72" s="106">
        <v>18</v>
      </c>
      <c r="AM72" s="106">
        <v>1339.1999999999998</v>
      </c>
      <c r="AN72" s="106">
        <v>18</v>
      </c>
      <c r="AO72" s="106">
        <v>1339.1999999999998</v>
      </c>
      <c r="AP72" s="106">
        <v>27</v>
      </c>
      <c r="AQ72" s="106">
        <v>2008.7999999999997</v>
      </c>
      <c r="AR72" s="106">
        <v>27</v>
      </c>
      <c r="AS72" s="106">
        <v>2008.7999999999997</v>
      </c>
      <c r="AT72" s="106">
        <v>47</v>
      </c>
      <c r="AU72" s="106">
        <v>3496.7999999999997</v>
      </c>
      <c r="AV72" s="106">
        <v>40</v>
      </c>
      <c r="AW72" s="106">
        <v>2975.9999999999995</v>
      </c>
      <c r="AX72" s="106">
        <v>24</v>
      </c>
      <c r="AY72" s="106">
        <v>1785.6</v>
      </c>
      <c r="AZ72" s="106">
        <v>3</v>
      </c>
      <c r="BA72" s="106">
        <v>223.2</v>
      </c>
      <c r="BB72" s="106">
        <v>4</v>
      </c>
      <c r="BC72" s="106">
        <v>297.59999999999997</v>
      </c>
      <c r="BD72" s="106">
        <v>3</v>
      </c>
      <c r="BE72" s="106">
        <v>223.2</v>
      </c>
      <c r="BF72" s="106">
        <v>3</v>
      </c>
      <c r="BG72" s="106">
        <v>223.2</v>
      </c>
      <c r="BH72" s="106">
        <v>4</v>
      </c>
      <c r="BI72" s="106">
        <v>297.59999999999997</v>
      </c>
      <c r="BJ72" s="106">
        <v>2</v>
      </c>
      <c r="BK72" s="106">
        <v>148.79999999999998</v>
      </c>
      <c r="BL72" s="106">
        <v>4</v>
      </c>
      <c r="BM72" s="106">
        <v>297.59999999999997</v>
      </c>
      <c r="BN72" s="106">
        <v>2</v>
      </c>
      <c r="BO72" s="106">
        <v>148.79999999999998</v>
      </c>
      <c r="BP72" s="106">
        <v>4</v>
      </c>
      <c r="BQ72" s="106">
        <v>297.59999999999997</v>
      </c>
      <c r="BR72" s="106">
        <v>4</v>
      </c>
      <c r="BS72" s="106">
        <v>297.59999999999997</v>
      </c>
      <c r="BT72" s="106">
        <v>5</v>
      </c>
      <c r="BU72" s="106">
        <v>371.99999999999994</v>
      </c>
      <c r="BV72" s="106">
        <v>4</v>
      </c>
      <c r="BW72" s="106">
        <v>297.59999999999997</v>
      </c>
      <c r="BX72" s="106">
        <v>20</v>
      </c>
      <c r="BY72" s="106">
        <v>1487.9999999999998</v>
      </c>
      <c r="BZ72" s="106">
        <v>25</v>
      </c>
      <c r="CA72" s="106">
        <v>1859.9999999999998</v>
      </c>
      <c r="CB72" s="106">
        <v>24</v>
      </c>
      <c r="CC72" s="106">
        <v>1785.6</v>
      </c>
      <c r="CD72" s="106">
        <v>21</v>
      </c>
      <c r="CE72" s="106">
        <v>1562.3999999999999</v>
      </c>
      <c r="CF72" s="106">
        <v>2</v>
      </c>
      <c r="CG72" s="106">
        <v>148.79999999999998</v>
      </c>
      <c r="CH72" s="106">
        <v>3</v>
      </c>
      <c r="CI72" s="106">
        <v>223.2</v>
      </c>
      <c r="CJ72" s="106">
        <v>3</v>
      </c>
      <c r="CK72" s="106">
        <v>223.2</v>
      </c>
      <c r="CL72" s="106">
        <v>3</v>
      </c>
      <c r="CM72" s="106">
        <v>223.2</v>
      </c>
      <c r="CN72" s="106">
        <v>7</v>
      </c>
      <c r="CO72" s="106">
        <v>520.79999999999995</v>
      </c>
      <c r="CP72" s="106">
        <v>6</v>
      </c>
      <c r="CQ72" s="106">
        <v>446.4</v>
      </c>
      <c r="CR72" s="106">
        <v>6</v>
      </c>
      <c r="CS72" s="106">
        <v>446.4</v>
      </c>
      <c r="CT72" s="106">
        <v>4</v>
      </c>
      <c r="CU72" s="106">
        <v>297.59999999999997</v>
      </c>
    </row>
    <row r="73" spans="2:99" x14ac:dyDescent="0.2">
      <c r="C73" s="105" t="s">
        <v>239</v>
      </c>
      <c r="D73" s="106">
        <v>18</v>
      </c>
      <c r="E73" s="106">
        <v>10065.599999999999</v>
      </c>
      <c r="F73" s="106">
        <v>16</v>
      </c>
      <c r="G73" s="106">
        <v>8947.1999999999989</v>
      </c>
      <c r="H73" s="106">
        <v>23</v>
      </c>
      <c r="I73" s="106">
        <v>12861.599999999999</v>
      </c>
      <c r="J73" s="106">
        <v>30</v>
      </c>
      <c r="K73" s="106">
        <v>16775.999999999996</v>
      </c>
      <c r="L73" s="106">
        <v>29</v>
      </c>
      <c r="M73" s="106">
        <v>16216.799999999997</v>
      </c>
      <c r="N73" s="106">
        <v>22</v>
      </c>
      <c r="O73" s="106">
        <v>12302.399999999998</v>
      </c>
      <c r="P73" s="106">
        <v>23</v>
      </c>
      <c r="Q73" s="106">
        <v>12861.599999999999</v>
      </c>
      <c r="R73" s="106">
        <v>27</v>
      </c>
      <c r="S73" s="106">
        <v>15098.399999999998</v>
      </c>
      <c r="T73" s="106">
        <v>17</v>
      </c>
      <c r="U73" s="106">
        <v>9506.4</v>
      </c>
      <c r="V73" s="106">
        <v>17</v>
      </c>
      <c r="W73" s="106">
        <v>9506.4</v>
      </c>
      <c r="X73" s="106">
        <v>12</v>
      </c>
      <c r="Y73" s="106">
        <v>6710.4</v>
      </c>
      <c r="Z73" s="106">
        <v>12</v>
      </c>
      <c r="AA73" s="106">
        <v>6710.4</v>
      </c>
      <c r="AB73" s="106">
        <v>7</v>
      </c>
      <c r="AC73" s="106">
        <v>3914.3999999999996</v>
      </c>
      <c r="AD73" s="106">
        <v>12</v>
      </c>
      <c r="AE73" s="106">
        <v>6710.4</v>
      </c>
      <c r="AF73" s="106">
        <v>13</v>
      </c>
      <c r="AG73" s="106">
        <v>7269.5999999999995</v>
      </c>
      <c r="AH73" s="106">
        <v>15</v>
      </c>
      <c r="AI73" s="106">
        <v>8387.9999999999982</v>
      </c>
      <c r="AJ73" s="106">
        <v>17</v>
      </c>
      <c r="AK73" s="106">
        <v>9506.4</v>
      </c>
      <c r="AL73" s="106">
        <v>16</v>
      </c>
      <c r="AM73" s="106">
        <v>8947.1999999999989</v>
      </c>
      <c r="AN73" s="106">
        <v>17</v>
      </c>
      <c r="AO73" s="106">
        <v>9506.4</v>
      </c>
      <c r="AP73" s="106">
        <v>22</v>
      </c>
      <c r="AQ73" s="106">
        <v>12302.399999999998</v>
      </c>
      <c r="AR73" s="106">
        <v>25</v>
      </c>
      <c r="AS73" s="106">
        <v>13979.999999999998</v>
      </c>
      <c r="AT73" s="106">
        <v>43</v>
      </c>
      <c r="AU73" s="106">
        <v>24045.599999999999</v>
      </c>
      <c r="AV73" s="106">
        <v>41</v>
      </c>
      <c r="AW73" s="106">
        <v>22927.199999999997</v>
      </c>
      <c r="AX73" s="106">
        <v>22</v>
      </c>
      <c r="AY73" s="106">
        <v>12302.399999999998</v>
      </c>
      <c r="AZ73" s="106">
        <v>3</v>
      </c>
      <c r="BA73" s="106">
        <v>1677.6</v>
      </c>
      <c r="BB73" s="106">
        <v>4</v>
      </c>
      <c r="BC73" s="106">
        <v>2236.7999999999997</v>
      </c>
      <c r="BD73" s="106">
        <v>2</v>
      </c>
      <c r="BE73" s="106">
        <v>1118.3999999999999</v>
      </c>
      <c r="BF73" s="106">
        <v>3</v>
      </c>
      <c r="BG73" s="106">
        <v>1677.6</v>
      </c>
      <c r="BH73" s="106">
        <v>3</v>
      </c>
      <c r="BI73" s="106">
        <v>1677.6</v>
      </c>
      <c r="BJ73" s="106">
        <v>2</v>
      </c>
      <c r="BK73" s="106">
        <v>1118.3999999999999</v>
      </c>
      <c r="BL73" s="106">
        <v>3</v>
      </c>
      <c r="BM73" s="106">
        <v>1677.6</v>
      </c>
      <c r="BN73" s="106">
        <v>2</v>
      </c>
      <c r="BO73" s="106">
        <v>1118.3999999999999</v>
      </c>
      <c r="BP73" s="106">
        <v>5</v>
      </c>
      <c r="BQ73" s="106">
        <v>2795.9999999999995</v>
      </c>
      <c r="BR73" s="106">
        <v>3</v>
      </c>
      <c r="BS73" s="106">
        <v>1677.6</v>
      </c>
      <c r="BT73" s="106">
        <v>5</v>
      </c>
      <c r="BU73" s="106">
        <v>2795.9999999999995</v>
      </c>
      <c r="BV73" s="106">
        <v>4</v>
      </c>
      <c r="BW73" s="106">
        <v>2236.7999999999997</v>
      </c>
      <c r="BX73" s="106">
        <v>20</v>
      </c>
      <c r="BY73" s="106">
        <v>11183.999999999998</v>
      </c>
      <c r="BZ73" s="106">
        <v>22</v>
      </c>
      <c r="CA73" s="106">
        <v>12302.399999999998</v>
      </c>
      <c r="CB73" s="106">
        <v>24</v>
      </c>
      <c r="CC73" s="106">
        <v>13420.8</v>
      </c>
      <c r="CD73" s="106">
        <v>18</v>
      </c>
      <c r="CE73" s="106">
        <v>10065.599999999999</v>
      </c>
      <c r="CF73" s="106">
        <v>2</v>
      </c>
      <c r="CG73" s="106">
        <v>1118.3999999999999</v>
      </c>
      <c r="CH73" s="106">
        <v>3</v>
      </c>
      <c r="CI73" s="106">
        <v>1677.6</v>
      </c>
      <c r="CJ73" s="106">
        <v>3</v>
      </c>
      <c r="CK73" s="106">
        <v>1677.6</v>
      </c>
      <c r="CL73" s="106">
        <v>3</v>
      </c>
      <c r="CM73" s="106">
        <v>1677.6</v>
      </c>
      <c r="CN73" s="106">
        <v>6</v>
      </c>
      <c r="CO73" s="106">
        <v>3355.2</v>
      </c>
      <c r="CP73" s="106">
        <v>6</v>
      </c>
      <c r="CQ73" s="106">
        <v>3355.2</v>
      </c>
      <c r="CR73" s="106">
        <v>6</v>
      </c>
      <c r="CS73" s="106">
        <v>3355.2</v>
      </c>
      <c r="CT73" s="106">
        <v>5</v>
      </c>
      <c r="CU73" s="106">
        <v>2795.9999999999995</v>
      </c>
    </row>
    <row r="74" spans="2:99" x14ac:dyDescent="0.2">
      <c r="C74" s="105" t="s">
        <v>240</v>
      </c>
      <c r="D74" s="106">
        <v>21</v>
      </c>
      <c r="E74" s="106">
        <v>8467.1999999999989</v>
      </c>
      <c r="F74" s="106">
        <v>19</v>
      </c>
      <c r="G74" s="106">
        <v>7660.8</v>
      </c>
      <c r="H74" s="106">
        <v>25</v>
      </c>
      <c r="I74" s="106">
        <v>10080</v>
      </c>
      <c r="J74" s="106">
        <v>29</v>
      </c>
      <c r="K74" s="106">
        <v>11692.8</v>
      </c>
      <c r="L74" s="106">
        <v>29</v>
      </c>
      <c r="M74" s="106">
        <v>11692.8</v>
      </c>
      <c r="N74" s="106">
        <v>24</v>
      </c>
      <c r="O74" s="106">
        <v>9676.7999999999993</v>
      </c>
      <c r="P74" s="106">
        <v>22</v>
      </c>
      <c r="Q74" s="106">
        <v>8870.4</v>
      </c>
      <c r="R74" s="106">
        <v>29</v>
      </c>
      <c r="S74" s="106">
        <v>11692.8</v>
      </c>
      <c r="T74" s="106">
        <v>18</v>
      </c>
      <c r="U74" s="106">
        <v>7257.5999999999995</v>
      </c>
      <c r="V74" s="106">
        <v>16</v>
      </c>
      <c r="W74" s="106">
        <v>6451.2</v>
      </c>
      <c r="X74" s="106">
        <v>11</v>
      </c>
      <c r="Y74" s="106">
        <v>4435.2</v>
      </c>
      <c r="Z74" s="106">
        <v>12</v>
      </c>
      <c r="AA74" s="106">
        <v>4838.3999999999996</v>
      </c>
      <c r="AB74" s="106">
        <v>8</v>
      </c>
      <c r="AC74" s="106">
        <v>3225.6</v>
      </c>
      <c r="AD74" s="106">
        <v>11</v>
      </c>
      <c r="AE74" s="106">
        <v>4435.2</v>
      </c>
      <c r="AF74" s="106">
        <v>15</v>
      </c>
      <c r="AG74" s="106">
        <v>6048</v>
      </c>
      <c r="AH74" s="106">
        <v>15</v>
      </c>
      <c r="AI74" s="106">
        <v>6048</v>
      </c>
      <c r="AJ74" s="106">
        <v>18</v>
      </c>
      <c r="AK74" s="106">
        <v>7257.5999999999995</v>
      </c>
      <c r="AL74" s="106">
        <v>17</v>
      </c>
      <c r="AM74" s="106">
        <v>6854.4</v>
      </c>
      <c r="AN74" s="106">
        <v>17</v>
      </c>
      <c r="AO74" s="106">
        <v>6854.4</v>
      </c>
      <c r="AP74" s="106">
        <v>25</v>
      </c>
      <c r="AQ74" s="106">
        <v>10080</v>
      </c>
      <c r="AR74" s="106">
        <v>30</v>
      </c>
      <c r="AS74" s="106">
        <v>12096</v>
      </c>
      <c r="AT74" s="106">
        <v>40</v>
      </c>
      <c r="AU74" s="106">
        <v>16128</v>
      </c>
      <c r="AV74" s="106">
        <v>37</v>
      </c>
      <c r="AW74" s="106">
        <v>14918.4</v>
      </c>
      <c r="AX74" s="106">
        <v>21</v>
      </c>
      <c r="AY74" s="106">
        <v>8467.1999999999989</v>
      </c>
      <c r="AZ74" s="106">
        <v>3</v>
      </c>
      <c r="BA74" s="106">
        <v>1209.5999999999999</v>
      </c>
      <c r="BB74" s="106">
        <v>4</v>
      </c>
      <c r="BC74" s="106">
        <v>1612.8</v>
      </c>
      <c r="BD74" s="106">
        <v>3</v>
      </c>
      <c r="BE74" s="106">
        <v>1209.5999999999999</v>
      </c>
      <c r="BF74" s="106">
        <v>3</v>
      </c>
      <c r="BG74" s="106">
        <v>1209.5999999999999</v>
      </c>
      <c r="BH74" s="106">
        <v>3</v>
      </c>
      <c r="BI74" s="106">
        <v>1209.5999999999999</v>
      </c>
      <c r="BJ74" s="106">
        <v>2</v>
      </c>
      <c r="BK74" s="106">
        <v>806.4</v>
      </c>
      <c r="BL74" s="106">
        <v>3</v>
      </c>
      <c r="BM74" s="106">
        <v>1209.5999999999999</v>
      </c>
      <c r="BN74" s="106">
        <v>2</v>
      </c>
      <c r="BO74" s="106">
        <v>806.4</v>
      </c>
      <c r="BP74" s="106">
        <v>4</v>
      </c>
      <c r="BQ74" s="106">
        <v>1612.8</v>
      </c>
      <c r="BR74" s="106">
        <v>3</v>
      </c>
      <c r="BS74" s="106">
        <v>1209.5999999999999</v>
      </c>
      <c r="BT74" s="106">
        <v>5</v>
      </c>
      <c r="BU74" s="106">
        <v>2016</v>
      </c>
      <c r="BV74" s="106">
        <v>5</v>
      </c>
      <c r="BW74" s="106">
        <v>2016</v>
      </c>
      <c r="BX74" s="106">
        <v>22</v>
      </c>
      <c r="BY74" s="106">
        <v>8870.4</v>
      </c>
      <c r="BZ74" s="106">
        <v>25</v>
      </c>
      <c r="CA74" s="106">
        <v>10080</v>
      </c>
      <c r="CB74" s="106">
        <v>23</v>
      </c>
      <c r="CC74" s="106">
        <v>9273.6</v>
      </c>
      <c r="CD74" s="106">
        <v>17</v>
      </c>
      <c r="CE74" s="106">
        <v>6854.4</v>
      </c>
      <c r="CF74" s="106">
        <v>2</v>
      </c>
      <c r="CG74" s="106">
        <v>806.4</v>
      </c>
      <c r="CH74" s="106">
        <v>3</v>
      </c>
      <c r="CI74" s="106">
        <v>1209.5999999999999</v>
      </c>
      <c r="CJ74" s="106">
        <v>3</v>
      </c>
      <c r="CK74" s="106">
        <v>1209.5999999999999</v>
      </c>
      <c r="CL74" s="106">
        <v>4</v>
      </c>
      <c r="CM74" s="106">
        <v>1612.8</v>
      </c>
      <c r="CN74" s="106">
        <v>6</v>
      </c>
      <c r="CO74" s="106">
        <v>2419.1999999999998</v>
      </c>
      <c r="CP74" s="106">
        <v>6</v>
      </c>
      <c r="CQ74" s="106">
        <v>2419.1999999999998</v>
      </c>
      <c r="CR74" s="106">
        <v>6</v>
      </c>
      <c r="CS74" s="106">
        <v>2419.1999999999998</v>
      </c>
      <c r="CT74" s="106">
        <v>4</v>
      </c>
      <c r="CU74" s="106">
        <v>1612.8</v>
      </c>
    </row>
    <row r="75" spans="2:99" x14ac:dyDescent="0.2">
      <c r="C75" s="105" t="s">
        <v>241</v>
      </c>
      <c r="D75" s="106">
        <v>17</v>
      </c>
      <c r="E75" s="106">
        <v>10934.4</v>
      </c>
      <c r="F75" s="106">
        <v>18</v>
      </c>
      <c r="G75" s="106">
        <v>11577.599999999999</v>
      </c>
      <c r="H75" s="106">
        <v>25</v>
      </c>
      <c r="I75" s="106">
        <v>16079.999999999998</v>
      </c>
      <c r="J75" s="106">
        <v>29</v>
      </c>
      <c r="K75" s="106">
        <v>18652.8</v>
      </c>
      <c r="L75" s="106">
        <v>28</v>
      </c>
      <c r="M75" s="106">
        <v>18009.599999999999</v>
      </c>
      <c r="N75" s="106">
        <v>21</v>
      </c>
      <c r="O75" s="106">
        <v>13507.199999999999</v>
      </c>
      <c r="P75" s="106">
        <v>20</v>
      </c>
      <c r="Q75" s="106">
        <v>12863.999999999998</v>
      </c>
      <c r="R75" s="106">
        <v>33</v>
      </c>
      <c r="S75" s="106">
        <v>21225.599999999999</v>
      </c>
      <c r="T75" s="106">
        <v>16</v>
      </c>
      <c r="U75" s="106">
        <v>10291.199999999999</v>
      </c>
      <c r="V75" s="106">
        <v>17</v>
      </c>
      <c r="W75" s="106">
        <v>10934.4</v>
      </c>
      <c r="X75" s="106">
        <v>13</v>
      </c>
      <c r="Y75" s="106">
        <v>8361.5999999999985</v>
      </c>
      <c r="Z75" s="106">
        <v>11</v>
      </c>
      <c r="AA75" s="106">
        <v>7075.1999999999989</v>
      </c>
      <c r="AB75" s="106">
        <v>8</v>
      </c>
      <c r="AC75" s="106">
        <v>5145.5999999999995</v>
      </c>
      <c r="AD75" s="106">
        <v>12</v>
      </c>
      <c r="AE75" s="106">
        <v>7718.4</v>
      </c>
      <c r="AF75" s="106">
        <v>14</v>
      </c>
      <c r="AG75" s="106">
        <v>9004.7999999999993</v>
      </c>
      <c r="AH75" s="106">
        <v>13</v>
      </c>
      <c r="AI75" s="106">
        <v>8361.5999999999985</v>
      </c>
      <c r="AJ75" s="106">
        <v>17</v>
      </c>
      <c r="AK75" s="106">
        <v>10934.4</v>
      </c>
      <c r="AL75" s="106">
        <v>17</v>
      </c>
      <c r="AM75" s="106">
        <v>10934.4</v>
      </c>
      <c r="AN75" s="106">
        <v>16</v>
      </c>
      <c r="AO75" s="106">
        <v>10291.199999999999</v>
      </c>
      <c r="AP75" s="106">
        <v>23</v>
      </c>
      <c r="AQ75" s="106">
        <v>14793.599999999999</v>
      </c>
      <c r="AR75" s="106">
        <v>27</v>
      </c>
      <c r="AS75" s="106">
        <v>17366.399999999998</v>
      </c>
      <c r="AT75" s="106">
        <v>38</v>
      </c>
      <c r="AU75" s="106">
        <v>24441.599999999999</v>
      </c>
      <c r="AV75" s="106">
        <v>40</v>
      </c>
      <c r="AW75" s="106">
        <v>25727.999999999996</v>
      </c>
      <c r="AX75" s="106">
        <v>22</v>
      </c>
      <c r="AY75" s="106">
        <v>14150.399999999998</v>
      </c>
      <c r="AZ75" s="106">
        <v>3</v>
      </c>
      <c r="BA75" s="106">
        <v>1929.6</v>
      </c>
      <c r="BB75" s="106">
        <v>4</v>
      </c>
      <c r="BC75" s="106">
        <v>2572.7999999999997</v>
      </c>
      <c r="BD75" s="106">
        <v>2</v>
      </c>
      <c r="BE75" s="106">
        <v>1286.3999999999999</v>
      </c>
      <c r="BF75" s="106">
        <v>3</v>
      </c>
      <c r="BG75" s="106">
        <v>1929.6</v>
      </c>
      <c r="BH75" s="106">
        <v>3</v>
      </c>
      <c r="BI75" s="106">
        <v>1929.6</v>
      </c>
      <c r="BJ75" s="106">
        <v>2</v>
      </c>
      <c r="BK75" s="106">
        <v>1286.3999999999999</v>
      </c>
      <c r="BL75" s="106">
        <v>3</v>
      </c>
      <c r="BM75" s="106">
        <v>1929.6</v>
      </c>
      <c r="BN75" s="106">
        <v>2</v>
      </c>
      <c r="BO75" s="106">
        <v>1286.3999999999999</v>
      </c>
      <c r="BP75" s="106">
        <v>4</v>
      </c>
      <c r="BQ75" s="106">
        <v>2572.7999999999997</v>
      </c>
      <c r="BR75" s="106">
        <v>3</v>
      </c>
      <c r="BS75" s="106">
        <v>1929.6</v>
      </c>
      <c r="BT75" s="106">
        <v>5</v>
      </c>
      <c r="BU75" s="106">
        <v>3215.9999999999995</v>
      </c>
      <c r="BV75" s="106">
        <v>5</v>
      </c>
      <c r="BW75" s="106">
        <v>3215.9999999999995</v>
      </c>
      <c r="BX75" s="106">
        <v>21</v>
      </c>
      <c r="BY75" s="106">
        <v>13507.199999999999</v>
      </c>
      <c r="BZ75" s="106">
        <v>23</v>
      </c>
      <c r="CA75" s="106">
        <v>14793.599999999999</v>
      </c>
      <c r="CB75" s="106">
        <v>26</v>
      </c>
      <c r="CC75" s="106">
        <v>16723.199999999997</v>
      </c>
      <c r="CD75" s="106">
        <v>17</v>
      </c>
      <c r="CE75" s="106">
        <v>10934.4</v>
      </c>
      <c r="CF75" s="106">
        <v>2</v>
      </c>
      <c r="CG75" s="106">
        <v>1286.3999999999999</v>
      </c>
      <c r="CH75" s="106">
        <v>3</v>
      </c>
      <c r="CI75" s="106">
        <v>1929.6</v>
      </c>
      <c r="CJ75" s="106">
        <v>3</v>
      </c>
      <c r="CK75" s="106">
        <v>1929.6</v>
      </c>
      <c r="CL75" s="106">
        <v>3</v>
      </c>
      <c r="CM75" s="106">
        <v>1929.6</v>
      </c>
      <c r="CN75" s="106">
        <v>6</v>
      </c>
      <c r="CO75" s="106">
        <v>3859.2</v>
      </c>
      <c r="CP75" s="106">
        <v>6</v>
      </c>
      <c r="CQ75" s="106">
        <v>3859.2</v>
      </c>
      <c r="CR75" s="106">
        <v>6</v>
      </c>
      <c r="CS75" s="106">
        <v>3859.2</v>
      </c>
      <c r="CT75" s="106">
        <v>4</v>
      </c>
      <c r="CU75" s="106">
        <v>2572.7999999999997</v>
      </c>
    </row>
    <row r="76" spans="2:99" x14ac:dyDescent="0.2">
      <c r="C76" s="105" t="s">
        <v>242</v>
      </c>
      <c r="D76" s="106">
        <v>17</v>
      </c>
      <c r="E76" s="106">
        <v>13239.599999999999</v>
      </c>
      <c r="F76" s="106">
        <v>16</v>
      </c>
      <c r="G76" s="106">
        <v>12460.8</v>
      </c>
      <c r="H76" s="106">
        <v>24</v>
      </c>
      <c r="I76" s="106">
        <v>18691.199999999997</v>
      </c>
      <c r="J76" s="106">
        <v>27</v>
      </c>
      <c r="K76" s="106">
        <v>21027.599999999999</v>
      </c>
      <c r="L76" s="106">
        <v>32</v>
      </c>
      <c r="M76" s="106">
        <v>24921.599999999999</v>
      </c>
      <c r="N76" s="106">
        <v>22</v>
      </c>
      <c r="O76" s="106">
        <v>17133.599999999999</v>
      </c>
      <c r="P76" s="106">
        <v>20</v>
      </c>
      <c r="Q76" s="106">
        <v>15576</v>
      </c>
      <c r="R76" s="106">
        <v>30</v>
      </c>
      <c r="S76" s="106">
        <v>23364</v>
      </c>
      <c r="T76" s="106">
        <v>16</v>
      </c>
      <c r="U76" s="106">
        <v>12460.8</v>
      </c>
      <c r="V76" s="106">
        <v>16</v>
      </c>
      <c r="W76" s="106">
        <v>12460.8</v>
      </c>
      <c r="X76" s="106">
        <v>11</v>
      </c>
      <c r="Y76" s="106">
        <v>8566.7999999999993</v>
      </c>
      <c r="Z76" s="106">
        <v>11</v>
      </c>
      <c r="AA76" s="106">
        <v>8566.7999999999993</v>
      </c>
      <c r="AB76" s="106">
        <v>8</v>
      </c>
      <c r="AC76" s="106">
        <v>6230.4</v>
      </c>
      <c r="AD76" s="106">
        <v>11</v>
      </c>
      <c r="AE76" s="106">
        <v>8566.7999999999993</v>
      </c>
      <c r="AF76" s="106">
        <v>13</v>
      </c>
      <c r="AG76" s="106">
        <v>10124.4</v>
      </c>
      <c r="AH76" s="106">
        <v>13</v>
      </c>
      <c r="AI76" s="106">
        <v>10124.4</v>
      </c>
      <c r="AJ76" s="106">
        <v>17</v>
      </c>
      <c r="AK76" s="106">
        <v>13239.599999999999</v>
      </c>
      <c r="AL76" s="106">
        <v>18</v>
      </c>
      <c r="AM76" s="106">
        <v>14018.4</v>
      </c>
      <c r="AN76" s="106">
        <v>14</v>
      </c>
      <c r="AO76" s="106">
        <v>10903.199999999999</v>
      </c>
      <c r="AP76" s="106">
        <v>22</v>
      </c>
      <c r="AQ76" s="106">
        <v>17133.599999999999</v>
      </c>
      <c r="AR76" s="106">
        <v>28</v>
      </c>
      <c r="AS76" s="106">
        <v>21806.399999999998</v>
      </c>
      <c r="AT76" s="106">
        <v>41</v>
      </c>
      <c r="AU76" s="106">
        <v>31930.799999999999</v>
      </c>
      <c r="AV76" s="106">
        <v>36</v>
      </c>
      <c r="AW76" s="106">
        <v>28036.799999999999</v>
      </c>
      <c r="AX76" s="106">
        <v>18</v>
      </c>
      <c r="AY76" s="106">
        <v>14018.4</v>
      </c>
      <c r="AZ76" s="106">
        <v>3</v>
      </c>
      <c r="BA76" s="106">
        <v>2336.3999999999996</v>
      </c>
      <c r="BB76" s="106">
        <v>4</v>
      </c>
      <c r="BC76" s="106">
        <v>3115.2</v>
      </c>
      <c r="BD76" s="106">
        <v>2</v>
      </c>
      <c r="BE76" s="106">
        <v>1557.6</v>
      </c>
      <c r="BF76" s="106">
        <v>3</v>
      </c>
      <c r="BG76" s="106">
        <v>2336.3999999999996</v>
      </c>
      <c r="BH76" s="106">
        <v>4</v>
      </c>
      <c r="BI76" s="106">
        <v>3115.2</v>
      </c>
      <c r="BJ76" s="106">
        <v>2</v>
      </c>
      <c r="BK76" s="106">
        <v>1557.6</v>
      </c>
      <c r="BL76" s="106">
        <v>3</v>
      </c>
      <c r="BM76" s="106">
        <v>2336.3999999999996</v>
      </c>
      <c r="BN76" s="106">
        <v>2</v>
      </c>
      <c r="BO76" s="106">
        <v>1557.6</v>
      </c>
      <c r="BP76" s="106">
        <v>4</v>
      </c>
      <c r="BQ76" s="106">
        <v>3115.2</v>
      </c>
      <c r="BR76" s="106">
        <v>3</v>
      </c>
      <c r="BS76" s="106">
        <v>2336.3999999999996</v>
      </c>
      <c r="BT76" s="106">
        <v>5</v>
      </c>
      <c r="BU76" s="106">
        <v>3894</v>
      </c>
      <c r="BV76" s="106">
        <v>5</v>
      </c>
      <c r="BW76" s="106">
        <v>3894</v>
      </c>
      <c r="BX76" s="106">
        <v>21</v>
      </c>
      <c r="BY76" s="106">
        <v>16354.8</v>
      </c>
      <c r="BZ76" s="106">
        <v>21</v>
      </c>
      <c r="CA76" s="106">
        <v>16354.8</v>
      </c>
      <c r="CB76" s="106">
        <v>23</v>
      </c>
      <c r="CC76" s="106">
        <v>17912.399999999998</v>
      </c>
      <c r="CD76" s="106">
        <v>18</v>
      </c>
      <c r="CE76" s="106">
        <v>14018.4</v>
      </c>
      <c r="CF76" s="106">
        <v>2</v>
      </c>
      <c r="CG76" s="106">
        <v>1557.6</v>
      </c>
      <c r="CH76" s="106">
        <v>3</v>
      </c>
      <c r="CI76" s="106">
        <v>2336.3999999999996</v>
      </c>
      <c r="CJ76" s="106">
        <v>3</v>
      </c>
      <c r="CK76" s="106">
        <v>2336.3999999999996</v>
      </c>
      <c r="CL76" s="106">
        <v>3</v>
      </c>
      <c r="CM76" s="106">
        <v>2336.3999999999996</v>
      </c>
      <c r="CN76" s="106">
        <v>6</v>
      </c>
      <c r="CO76" s="106">
        <v>4672.7999999999993</v>
      </c>
      <c r="CP76" s="106">
        <v>6</v>
      </c>
      <c r="CQ76" s="106">
        <v>4672.7999999999993</v>
      </c>
      <c r="CR76" s="106">
        <v>6</v>
      </c>
      <c r="CS76" s="106">
        <v>4672.7999999999993</v>
      </c>
      <c r="CT76" s="106">
        <v>4</v>
      </c>
      <c r="CU76" s="106">
        <v>3115.2</v>
      </c>
    </row>
    <row r="77" spans="2:99" x14ac:dyDescent="0.2">
      <c r="C77" s="105" t="s">
        <v>243</v>
      </c>
      <c r="D77" s="106">
        <v>18</v>
      </c>
      <c r="E77" s="106">
        <v>5011.2</v>
      </c>
      <c r="F77" s="106">
        <v>19</v>
      </c>
      <c r="G77" s="106">
        <v>5289.5999999999995</v>
      </c>
      <c r="H77" s="106">
        <v>26</v>
      </c>
      <c r="I77" s="106">
        <v>7238.4</v>
      </c>
      <c r="J77" s="106">
        <v>31</v>
      </c>
      <c r="K77" s="106">
        <v>8630.4</v>
      </c>
      <c r="L77" s="106">
        <v>31</v>
      </c>
      <c r="M77" s="106">
        <v>8630.4</v>
      </c>
      <c r="N77" s="106">
        <v>23</v>
      </c>
      <c r="O77" s="106">
        <v>6403.2</v>
      </c>
      <c r="P77" s="106">
        <v>26</v>
      </c>
      <c r="Q77" s="106">
        <v>7238.4</v>
      </c>
      <c r="R77" s="106">
        <v>34</v>
      </c>
      <c r="S77" s="106">
        <v>9465.5999999999985</v>
      </c>
      <c r="T77" s="106">
        <v>17</v>
      </c>
      <c r="U77" s="106">
        <v>4732.7999999999993</v>
      </c>
      <c r="V77" s="106">
        <v>19</v>
      </c>
      <c r="W77" s="106">
        <v>5289.5999999999995</v>
      </c>
      <c r="X77" s="106">
        <v>12</v>
      </c>
      <c r="Y77" s="106">
        <v>3340.7999999999997</v>
      </c>
      <c r="Z77" s="106">
        <v>11</v>
      </c>
      <c r="AA77" s="106">
        <v>3062.3999999999996</v>
      </c>
      <c r="AB77" s="106">
        <v>7</v>
      </c>
      <c r="AC77" s="106">
        <v>1948.7999999999997</v>
      </c>
      <c r="AD77" s="106">
        <v>12</v>
      </c>
      <c r="AE77" s="106">
        <v>3340.7999999999997</v>
      </c>
      <c r="AF77" s="106">
        <v>16</v>
      </c>
      <c r="AG77" s="106">
        <v>4454.3999999999996</v>
      </c>
      <c r="AH77" s="106">
        <v>13</v>
      </c>
      <c r="AI77" s="106">
        <v>3619.2</v>
      </c>
      <c r="AJ77" s="106">
        <v>17</v>
      </c>
      <c r="AK77" s="106">
        <v>4732.7999999999993</v>
      </c>
      <c r="AL77" s="106">
        <v>17</v>
      </c>
      <c r="AM77" s="106">
        <v>4732.7999999999993</v>
      </c>
      <c r="AN77" s="106">
        <v>16</v>
      </c>
      <c r="AO77" s="106">
        <v>4454.3999999999996</v>
      </c>
      <c r="AP77" s="106">
        <v>22</v>
      </c>
      <c r="AQ77" s="106">
        <v>6124.7999999999993</v>
      </c>
      <c r="AR77" s="106">
        <v>31</v>
      </c>
      <c r="AS77" s="106">
        <v>8630.4</v>
      </c>
      <c r="AT77" s="106">
        <v>40</v>
      </c>
      <c r="AU77" s="106">
        <v>11136</v>
      </c>
      <c r="AV77" s="106">
        <v>42</v>
      </c>
      <c r="AW77" s="106">
        <v>11692.8</v>
      </c>
      <c r="AX77" s="106">
        <v>23</v>
      </c>
      <c r="AY77" s="106">
        <v>6403.2</v>
      </c>
      <c r="AZ77" s="106">
        <v>3</v>
      </c>
      <c r="BA77" s="106">
        <v>835.19999999999993</v>
      </c>
      <c r="BB77" s="106">
        <v>4</v>
      </c>
      <c r="BC77" s="106">
        <v>1113.5999999999999</v>
      </c>
      <c r="BD77" s="106">
        <v>2</v>
      </c>
      <c r="BE77" s="106">
        <v>556.79999999999995</v>
      </c>
      <c r="BF77" s="106">
        <v>3</v>
      </c>
      <c r="BG77" s="106">
        <v>835.19999999999993</v>
      </c>
      <c r="BH77" s="106">
        <v>4</v>
      </c>
      <c r="BI77" s="106">
        <v>1113.5999999999999</v>
      </c>
      <c r="BJ77" s="106">
        <v>2</v>
      </c>
      <c r="BK77" s="106">
        <v>556.79999999999995</v>
      </c>
      <c r="BL77" s="106">
        <v>4</v>
      </c>
      <c r="BM77" s="106">
        <v>1113.5999999999999</v>
      </c>
      <c r="BN77" s="106">
        <v>2</v>
      </c>
      <c r="BO77" s="106">
        <v>556.79999999999995</v>
      </c>
      <c r="BP77" s="106">
        <v>5</v>
      </c>
      <c r="BQ77" s="106">
        <v>1392</v>
      </c>
      <c r="BR77" s="106">
        <v>3</v>
      </c>
      <c r="BS77" s="106">
        <v>835.19999999999993</v>
      </c>
      <c r="BT77" s="106">
        <v>5</v>
      </c>
      <c r="BU77" s="106">
        <v>1392</v>
      </c>
      <c r="BV77" s="106">
        <v>5</v>
      </c>
      <c r="BW77" s="106">
        <v>1392</v>
      </c>
      <c r="BX77" s="106">
        <v>22</v>
      </c>
      <c r="BY77" s="106">
        <v>6124.7999999999993</v>
      </c>
      <c r="BZ77" s="106">
        <v>22</v>
      </c>
      <c r="CA77" s="106">
        <v>6124.7999999999993</v>
      </c>
      <c r="CB77" s="106">
        <v>28</v>
      </c>
      <c r="CC77" s="106">
        <v>7795.1999999999989</v>
      </c>
      <c r="CD77" s="106">
        <v>19</v>
      </c>
      <c r="CE77" s="106">
        <v>5289.5999999999995</v>
      </c>
      <c r="CF77" s="106">
        <v>2</v>
      </c>
      <c r="CG77" s="106">
        <v>556.79999999999995</v>
      </c>
      <c r="CH77" s="106">
        <v>3</v>
      </c>
      <c r="CI77" s="106">
        <v>835.19999999999993</v>
      </c>
      <c r="CJ77" s="106">
        <v>3</v>
      </c>
      <c r="CK77" s="106">
        <v>835.19999999999993</v>
      </c>
      <c r="CL77" s="106">
        <v>3</v>
      </c>
      <c r="CM77" s="106">
        <v>835.19999999999993</v>
      </c>
      <c r="CN77" s="106">
        <v>6</v>
      </c>
      <c r="CO77" s="106">
        <v>1670.3999999999999</v>
      </c>
      <c r="CP77" s="106">
        <v>6</v>
      </c>
      <c r="CQ77" s="106">
        <v>1670.3999999999999</v>
      </c>
      <c r="CR77" s="106">
        <v>6</v>
      </c>
      <c r="CS77" s="106">
        <v>1670.3999999999999</v>
      </c>
      <c r="CT77" s="106">
        <v>4</v>
      </c>
      <c r="CU77" s="106">
        <v>1113.5999999999999</v>
      </c>
    </row>
    <row r="78" spans="2:99" x14ac:dyDescent="0.2">
      <c r="C78" s="105" t="s">
        <v>244</v>
      </c>
      <c r="D78" s="106">
        <v>18</v>
      </c>
      <c r="E78" s="106">
        <v>9936</v>
      </c>
      <c r="F78" s="106">
        <v>17</v>
      </c>
      <c r="G78" s="106">
        <v>9384</v>
      </c>
      <c r="H78" s="106">
        <v>24</v>
      </c>
      <c r="I78" s="106">
        <v>13248</v>
      </c>
      <c r="J78" s="106">
        <v>29</v>
      </c>
      <c r="K78" s="106">
        <v>16008</v>
      </c>
      <c r="L78" s="106">
        <v>28</v>
      </c>
      <c r="M78" s="106">
        <v>15456</v>
      </c>
      <c r="N78" s="106">
        <v>22</v>
      </c>
      <c r="O78" s="106">
        <v>12144</v>
      </c>
      <c r="P78" s="106">
        <v>24</v>
      </c>
      <c r="Q78" s="106">
        <v>13248</v>
      </c>
      <c r="R78" s="106">
        <v>29</v>
      </c>
      <c r="S78" s="106">
        <v>16008</v>
      </c>
      <c r="T78" s="106">
        <v>16</v>
      </c>
      <c r="U78" s="106">
        <v>8832</v>
      </c>
      <c r="V78" s="106">
        <v>18</v>
      </c>
      <c r="W78" s="106">
        <v>9936</v>
      </c>
      <c r="X78" s="106">
        <v>12</v>
      </c>
      <c r="Y78" s="106">
        <v>6624</v>
      </c>
      <c r="Z78" s="106">
        <v>12</v>
      </c>
      <c r="AA78" s="106">
        <v>6624</v>
      </c>
      <c r="AB78" s="106">
        <v>6</v>
      </c>
      <c r="AC78" s="106">
        <v>3312</v>
      </c>
      <c r="AD78" s="106">
        <v>12</v>
      </c>
      <c r="AE78" s="106">
        <v>6624</v>
      </c>
      <c r="AF78" s="106">
        <v>13</v>
      </c>
      <c r="AG78" s="106">
        <v>7176</v>
      </c>
      <c r="AH78" s="106">
        <v>14</v>
      </c>
      <c r="AI78" s="106">
        <v>7728</v>
      </c>
      <c r="AJ78" s="106">
        <v>16</v>
      </c>
      <c r="AK78" s="106">
        <v>8832</v>
      </c>
      <c r="AL78" s="106">
        <v>18</v>
      </c>
      <c r="AM78" s="106">
        <v>9936</v>
      </c>
      <c r="AN78" s="106">
        <v>17</v>
      </c>
      <c r="AO78" s="106">
        <v>9384</v>
      </c>
      <c r="AP78" s="106">
        <v>25</v>
      </c>
      <c r="AQ78" s="106">
        <v>13800</v>
      </c>
      <c r="AR78" s="106">
        <v>25</v>
      </c>
      <c r="AS78" s="106">
        <v>13800</v>
      </c>
      <c r="AT78" s="106">
        <v>40</v>
      </c>
      <c r="AU78" s="106">
        <v>22080</v>
      </c>
      <c r="AV78" s="106">
        <v>40</v>
      </c>
      <c r="AW78" s="106">
        <v>22080</v>
      </c>
      <c r="AX78" s="106">
        <v>23</v>
      </c>
      <c r="AY78" s="106">
        <v>12696</v>
      </c>
      <c r="AZ78" s="106">
        <v>3</v>
      </c>
      <c r="BA78" s="106">
        <v>1656</v>
      </c>
      <c r="BB78" s="106">
        <v>4</v>
      </c>
      <c r="BC78" s="106">
        <v>2208</v>
      </c>
      <c r="BD78" s="106">
        <v>3</v>
      </c>
      <c r="BE78" s="106">
        <v>1656</v>
      </c>
      <c r="BF78" s="106">
        <v>3</v>
      </c>
      <c r="BG78" s="106">
        <v>1656</v>
      </c>
      <c r="BH78" s="106">
        <v>4</v>
      </c>
      <c r="BI78" s="106">
        <v>2208</v>
      </c>
      <c r="BJ78" s="106">
        <v>2</v>
      </c>
      <c r="BK78" s="106">
        <v>1104</v>
      </c>
      <c r="BL78" s="106">
        <v>3</v>
      </c>
      <c r="BM78" s="106">
        <v>1656</v>
      </c>
      <c r="BN78" s="106">
        <v>2</v>
      </c>
      <c r="BO78" s="106">
        <v>1104</v>
      </c>
      <c r="BP78" s="106">
        <v>5</v>
      </c>
      <c r="BQ78" s="106">
        <v>2760</v>
      </c>
      <c r="BR78" s="106">
        <v>3</v>
      </c>
      <c r="BS78" s="106">
        <v>1656</v>
      </c>
      <c r="BT78" s="106">
        <v>5</v>
      </c>
      <c r="BU78" s="106">
        <v>2760</v>
      </c>
      <c r="BV78" s="106">
        <v>5</v>
      </c>
      <c r="BW78" s="106">
        <v>2760</v>
      </c>
      <c r="BX78" s="106">
        <v>21</v>
      </c>
      <c r="BY78" s="106">
        <v>11592</v>
      </c>
      <c r="BZ78" s="106">
        <v>23</v>
      </c>
      <c r="CA78" s="106">
        <v>12696</v>
      </c>
      <c r="CB78" s="106">
        <v>24</v>
      </c>
      <c r="CC78" s="106">
        <v>13248</v>
      </c>
      <c r="CD78" s="106">
        <v>17</v>
      </c>
      <c r="CE78" s="106">
        <v>9384</v>
      </c>
      <c r="CF78" s="106">
        <v>2</v>
      </c>
      <c r="CG78" s="106">
        <v>1104</v>
      </c>
      <c r="CH78" s="106">
        <v>3</v>
      </c>
      <c r="CI78" s="106">
        <v>1656</v>
      </c>
      <c r="CJ78" s="106">
        <v>3</v>
      </c>
      <c r="CK78" s="106">
        <v>1656</v>
      </c>
      <c r="CL78" s="106">
        <v>3</v>
      </c>
      <c r="CM78" s="106">
        <v>1656</v>
      </c>
      <c r="CN78" s="106">
        <v>6</v>
      </c>
      <c r="CO78" s="106">
        <v>3312</v>
      </c>
      <c r="CP78" s="106">
        <v>7</v>
      </c>
      <c r="CQ78" s="106">
        <v>3864</v>
      </c>
      <c r="CR78" s="106">
        <v>6</v>
      </c>
      <c r="CS78" s="106">
        <v>3312</v>
      </c>
      <c r="CT78" s="106">
        <v>4</v>
      </c>
      <c r="CU78" s="106">
        <v>2208</v>
      </c>
    </row>
    <row r="79" spans="2:99" x14ac:dyDescent="0.2">
      <c r="C79" s="105" t="s">
        <v>245</v>
      </c>
      <c r="D79" s="106">
        <v>17</v>
      </c>
      <c r="E79" s="106">
        <v>12872.4</v>
      </c>
      <c r="F79" s="106">
        <v>17</v>
      </c>
      <c r="G79" s="106">
        <v>12872.4</v>
      </c>
      <c r="H79" s="106">
        <v>25</v>
      </c>
      <c r="I79" s="106">
        <v>18930</v>
      </c>
      <c r="J79" s="106">
        <v>28</v>
      </c>
      <c r="K79" s="106">
        <v>21201.599999999999</v>
      </c>
      <c r="L79" s="106">
        <v>30</v>
      </c>
      <c r="M79" s="106">
        <v>22715.999999999996</v>
      </c>
      <c r="N79" s="106">
        <v>24</v>
      </c>
      <c r="O79" s="106">
        <v>18172.8</v>
      </c>
      <c r="P79" s="106">
        <v>23</v>
      </c>
      <c r="Q79" s="106">
        <v>17415.599999999999</v>
      </c>
      <c r="R79" s="106">
        <v>30</v>
      </c>
      <c r="S79" s="106">
        <v>22715.999999999996</v>
      </c>
      <c r="T79" s="106">
        <v>16</v>
      </c>
      <c r="U79" s="106">
        <v>12115.199999999999</v>
      </c>
      <c r="V79" s="106">
        <v>17</v>
      </c>
      <c r="W79" s="106">
        <v>12872.4</v>
      </c>
      <c r="X79" s="106">
        <v>13</v>
      </c>
      <c r="Y79" s="106">
        <v>9843.5999999999985</v>
      </c>
      <c r="Z79" s="106">
        <v>12</v>
      </c>
      <c r="AA79" s="106">
        <v>9086.4</v>
      </c>
      <c r="AB79" s="106">
        <v>7</v>
      </c>
      <c r="AC79" s="106">
        <v>5300.4</v>
      </c>
      <c r="AD79" s="106">
        <v>12</v>
      </c>
      <c r="AE79" s="106">
        <v>9086.4</v>
      </c>
      <c r="AF79" s="106">
        <v>14</v>
      </c>
      <c r="AG79" s="106">
        <v>10600.8</v>
      </c>
      <c r="AH79" s="106">
        <v>14</v>
      </c>
      <c r="AI79" s="106">
        <v>10600.8</v>
      </c>
      <c r="AJ79" s="106">
        <v>17</v>
      </c>
      <c r="AK79" s="106">
        <v>12872.4</v>
      </c>
      <c r="AL79" s="106">
        <v>17</v>
      </c>
      <c r="AM79" s="106">
        <v>12872.4</v>
      </c>
      <c r="AN79" s="106">
        <v>17</v>
      </c>
      <c r="AO79" s="106">
        <v>12872.4</v>
      </c>
      <c r="AP79" s="106">
        <v>24</v>
      </c>
      <c r="AQ79" s="106">
        <v>18172.8</v>
      </c>
      <c r="AR79" s="106">
        <v>25</v>
      </c>
      <c r="AS79" s="106">
        <v>18930</v>
      </c>
      <c r="AT79" s="106">
        <v>41</v>
      </c>
      <c r="AU79" s="106">
        <v>31045.199999999997</v>
      </c>
      <c r="AV79" s="106">
        <v>40</v>
      </c>
      <c r="AW79" s="106">
        <v>30287.999999999996</v>
      </c>
      <c r="AX79" s="106">
        <v>22</v>
      </c>
      <c r="AY79" s="106">
        <v>16658.399999999998</v>
      </c>
      <c r="AZ79" s="106">
        <v>3</v>
      </c>
      <c r="BA79" s="106">
        <v>2271.6</v>
      </c>
      <c r="BB79" s="106">
        <v>4</v>
      </c>
      <c r="BC79" s="106">
        <v>3028.7999999999997</v>
      </c>
      <c r="BD79" s="106">
        <v>3</v>
      </c>
      <c r="BE79" s="106">
        <v>2271.6</v>
      </c>
      <c r="BF79" s="106">
        <v>3</v>
      </c>
      <c r="BG79" s="106">
        <v>2271.6</v>
      </c>
      <c r="BH79" s="106">
        <v>4</v>
      </c>
      <c r="BI79" s="106">
        <v>3028.7999999999997</v>
      </c>
      <c r="BJ79" s="106">
        <v>2</v>
      </c>
      <c r="BK79" s="106">
        <v>1514.3999999999999</v>
      </c>
      <c r="BL79" s="106">
        <v>3</v>
      </c>
      <c r="BM79" s="106">
        <v>2271.6</v>
      </c>
      <c r="BN79" s="106">
        <v>2</v>
      </c>
      <c r="BO79" s="106">
        <v>1514.3999999999999</v>
      </c>
      <c r="BP79" s="106">
        <v>4</v>
      </c>
      <c r="BQ79" s="106">
        <v>3028.7999999999997</v>
      </c>
      <c r="BR79" s="106">
        <v>3</v>
      </c>
      <c r="BS79" s="106">
        <v>2271.6</v>
      </c>
      <c r="BT79" s="106">
        <v>5</v>
      </c>
      <c r="BU79" s="106">
        <v>3785.9999999999995</v>
      </c>
      <c r="BV79" s="106">
        <v>5</v>
      </c>
      <c r="BW79" s="106">
        <v>3785.9999999999995</v>
      </c>
      <c r="BX79" s="106">
        <v>18</v>
      </c>
      <c r="BY79" s="106">
        <v>13629.599999999999</v>
      </c>
      <c r="BZ79" s="106">
        <v>20</v>
      </c>
      <c r="CA79" s="106">
        <v>15143.999999999998</v>
      </c>
      <c r="CB79" s="106">
        <v>23</v>
      </c>
      <c r="CC79" s="106">
        <v>17415.599999999999</v>
      </c>
      <c r="CD79" s="106">
        <v>17</v>
      </c>
      <c r="CE79" s="106">
        <v>12872.4</v>
      </c>
      <c r="CF79" s="106">
        <v>2</v>
      </c>
      <c r="CG79" s="106">
        <v>1514.3999999999999</v>
      </c>
      <c r="CH79" s="106">
        <v>3</v>
      </c>
      <c r="CI79" s="106">
        <v>2271.6</v>
      </c>
      <c r="CJ79" s="106">
        <v>3</v>
      </c>
      <c r="CK79" s="106">
        <v>2271.6</v>
      </c>
      <c r="CL79" s="106">
        <v>3</v>
      </c>
      <c r="CM79" s="106">
        <v>2271.6</v>
      </c>
      <c r="CN79" s="106">
        <v>5</v>
      </c>
      <c r="CO79" s="106">
        <v>3785.9999999999995</v>
      </c>
      <c r="CP79" s="106">
        <v>6</v>
      </c>
      <c r="CQ79" s="106">
        <v>4543.2</v>
      </c>
      <c r="CR79" s="106">
        <v>6</v>
      </c>
      <c r="CS79" s="106">
        <v>4543.2</v>
      </c>
      <c r="CT79" s="106">
        <v>5</v>
      </c>
      <c r="CU79" s="106">
        <v>3785.9999999999995</v>
      </c>
    </row>
    <row r="80" spans="2:99" x14ac:dyDescent="0.2">
      <c r="C80" s="105" t="s">
        <v>246</v>
      </c>
      <c r="D80" s="106">
        <v>18</v>
      </c>
      <c r="E80" s="106">
        <v>14493.599999999999</v>
      </c>
      <c r="F80" s="106">
        <v>18</v>
      </c>
      <c r="G80" s="106">
        <v>14493.599999999999</v>
      </c>
      <c r="H80" s="106">
        <v>25</v>
      </c>
      <c r="I80" s="106">
        <v>20130</v>
      </c>
      <c r="J80" s="106">
        <v>24</v>
      </c>
      <c r="K80" s="106">
        <v>19324.8</v>
      </c>
      <c r="L80" s="106">
        <v>30</v>
      </c>
      <c r="M80" s="106">
        <v>24155.999999999996</v>
      </c>
      <c r="N80" s="106">
        <v>21</v>
      </c>
      <c r="O80" s="106">
        <v>16909.199999999997</v>
      </c>
      <c r="P80" s="106">
        <v>21</v>
      </c>
      <c r="Q80" s="106">
        <v>16909.199999999997</v>
      </c>
      <c r="R80" s="106">
        <v>27</v>
      </c>
      <c r="S80" s="106">
        <v>21740.399999999998</v>
      </c>
      <c r="T80" s="106">
        <v>17</v>
      </c>
      <c r="U80" s="106">
        <v>13688.4</v>
      </c>
      <c r="V80" s="106">
        <v>15</v>
      </c>
      <c r="W80" s="106">
        <v>12077.999999999998</v>
      </c>
      <c r="X80" s="106">
        <v>12</v>
      </c>
      <c r="Y80" s="106">
        <v>9662.4</v>
      </c>
      <c r="Z80" s="106">
        <v>12</v>
      </c>
      <c r="AA80" s="106">
        <v>9662.4</v>
      </c>
      <c r="AB80" s="106">
        <v>8</v>
      </c>
      <c r="AC80" s="106">
        <v>6441.5999999999995</v>
      </c>
      <c r="AD80" s="106">
        <v>13</v>
      </c>
      <c r="AE80" s="106">
        <v>10467.599999999999</v>
      </c>
      <c r="AF80" s="106">
        <v>15</v>
      </c>
      <c r="AG80" s="106">
        <v>12077.999999999998</v>
      </c>
      <c r="AH80" s="106">
        <v>12</v>
      </c>
      <c r="AI80" s="106">
        <v>9662.4</v>
      </c>
      <c r="AJ80" s="106">
        <v>17</v>
      </c>
      <c r="AK80" s="106">
        <v>13688.4</v>
      </c>
      <c r="AL80" s="106">
        <v>17</v>
      </c>
      <c r="AM80" s="106">
        <v>13688.4</v>
      </c>
      <c r="AN80" s="106">
        <v>14</v>
      </c>
      <c r="AO80" s="106">
        <v>11272.8</v>
      </c>
      <c r="AP80" s="106">
        <v>25</v>
      </c>
      <c r="AQ80" s="106">
        <v>20130</v>
      </c>
      <c r="AR80" s="106">
        <v>28</v>
      </c>
      <c r="AS80" s="106">
        <v>22545.599999999999</v>
      </c>
      <c r="AT80" s="106">
        <v>41</v>
      </c>
      <c r="AU80" s="106">
        <v>33013.199999999997</v>
      </c>
      <c r="AV80" s="106">
        <v>34</v>
      </c>
      <c r="AW80" s="106">
        <v>27376.799999999999</v>
      </c>
      <c r="AX80" s="106">
        <v>22</v>
      </c>
      <c r="AY80" s="106">
        <v>17714.399999999998</v>
      </c>
      <c r="AZ80" s="106">
        <v>3</v>
      </c>
      <c r="BA80" s="106">
        <v>2415.6</v>
      </c>
      <c r="BB80" s="106">
        <v>3</v>
      </c>
      <c r="BC80" s="106">
        <v>2415.6</v>
      </c>
      <c r="BD80" s="106">
        <v>2</v>
      </c>
      <c r="BE80" s="106">
        <v>1610.3999999999999</v>
      </c>
      <c r="BF80" s="106">
        <v>3</v>
      </c>
      <c r="BG80" s="106">
        <v>2415.6</v>
      </c>
      <c r="BH80" s="106">
        <v>3</v>
      </c>
      <c r="BI80" s="106">
        <v>2415.6</v>
      </c>
      <c r="BJ80" s="106">
        <v>2</v>
      </c>
      <c r="BK80" s="106">
        <v>1610.3999999999999</v>
      </c>
      <c r="BL80" s="106">
        <v>3</v>
      </c>
      <c r="BM80" s="106">
        <v>2415.6</v>
      </c>
      <c r="BN80" s="106">
        <v>2</v>
      </c>
      <c r="BO80" s="106">
        <v>1610.3999999999999</v>
      </c>
      <c r="BP80" s="106">
        <v>5</v>
      </c>
      <c r="BQ80" s="106">
        <v>4025.9999999999995</v>
      </c>
      <c r="BR80" s="106">
        <v>3</v>
      </c>
      <c r="BS80" s="106">
        <v>2415.6</v>
      </c>
      <c r="BT80" s="106">
        <v>5</v>
      </c>
      <c r="BU80" s="106">
        <v>4025.9999999999995</v>
      </c>
      <c r="BV80" s="106">
        <v>4</v>
      </c>
      <c r="BW80" s="106">
        <v>3220.7999999999997</v>
      </c>
      <c r="BX80" s="106">
        <v>19</v>
      </c>
      <c r="BY80" s="106">
        <v>15298.8</v>
      </c>
      <c r="BZ80" s="106">
        <v>22</v>
      </c>
      <c r="CA80" s="106">
        <v>17714.399999999998</v>
      </c>
      <c r="CB80" s="106">
        <v>26</v>
      </c>
      <c r="CC80" s="106">
        <v>20935.199999999997</v>
      </c>
      <c r="CD80" s="106">
        <v>19</v>
      </c>
      <c r="CE80" s="106">
        <v>15298.8</v>
      </c>
      <c r="CF80" s="106">
        <v>2</v>
      </c>
      <c r="CG80" s="106">
        <v>1610.3999999999999</v>
      </c>
      <c r="CH80" s="106">
        <v>3</v>
      </c>
      <c r="CI80" s="106">
        <v>2415.6</v>
      </c>
      <c r="CJ80" s="106">
        <v>3</v>
      </c>
      <c r="CK80" s="106">
        <v>2415.6</v>
      </c>
      <c r="CL80" s="106">
        <v>3</v>
      </c>
      <c r="CM80" s="106">
        <v>2415.6</v>
      </c>
      <c r="CN80" s="106">
        <v>6</v>
      </c>
      <c r="CO80" s="106">
        <v>4831.2</v>
      </c>
      <c r="CP80" s="106">
        <v>6</v>
      </c>
      <c r="CQ80" s="106">
        <v>4831.2</v>
      </c>
      <c r="CR80" s="106">
        <v>6</v>
      </c>
      <c r="CS80" s="106">
        <v>4831.2</v>
      </c>
      <c r="CT80" s="106">
        <v>5</v>
      </c>
      <c r="CU80" s="106">
        <v>4025.9999999999995</v>
      </c>
    </row>
    <row r="81" spans="2:99" x14ac:dyDescent="0.2">
      <c r="C81" s="105" t="s">
        <v>247</v>
      </c>
      <c r="D81" s="106">
        <v>18</v>
      </c>
      <c r="E81" s="106">
        <v>13564.800000000001</v>
      </c>
      <c r="F81" s="106">
        <v>15</v>
      </c>
      <c r="G81" s="106">
        <v>11304</v>
      </c>
      <c r="H81" s="106">
        <v>27</v>
      </c>
      <c r="I81" s="106">
        <v>20347.2</v>
      </c>
      <c r="J81" s="106">
        <v>26</v>
      </c>
      <c r="K81" s="106">
        <v>19593.600000000002</v>
      </c>
      <c r="L81" s="106">
        <v>31</v>
      </c>
      <c r="M81" s="106">
        <v>23361.600000000002</v>
      </c>
      <c r="N81" s="106">
        <v>22</v>
      </c>
      <c r="O81" s="106">
        <v>16579.2</v>
      </c>
      <c r="P81" s="106">
        <v>22</v>
      </c>
      <c r="Q81" s="106">
        <v>16579.2</v>
      </c>
      <c r="R81" s="106">
        <v>29</v>
      </c>
      <c r="S81" s="106">
        <v>21854.400000000001</v>
      </c>
      <c r="T81" s="106">
        <v>15</v>
      </c>
      <c r="U81" s="106">
        <v>11304</v>
      </c>
      <c r="V81" s="106">
        <v>17</v>
      </c>
      <c r="W81" s="106">
        <v>12811.2</v>
      </c>
      <c r="X81" s="106">
        <v>12</v>
      </c>
      <c r="Y81" s="106">
        <v>9043.2000000000007</v>
      </c>
      <c r="Z81" s="106">
        <v>12</v>
      </c>
      <c r="AA81" s="106">
        <v>9043.2000000000007</v>
      </c>
      <c r="AB81" s="106">
        <v>7</v>
      </c>
      <c r="AC81" s="106">
        <v>5275.2</v>
      </c>
      <c r="AD81" s="106">
        <v>11</v>
      </c>
      <c r="AE81" s="106">
        <v>8289.6</v>
      </c>
      <c r="AF81" s="106">
        <v>14</v>
      </c>
      <c r="AG81" s="106">
        <v>10550.4</v>
      </c>
      <c r="AH81" s="106">
        <v>12</v>
      </c>
      <c r="AI81" s="106">
        <v>9043.2000000000007</v>
      </c>
      <c r="AJ81" s="106">
        <v>17</v>
      </c>
      <c r="AK81" s="106">
        <v>12811.2</v>
      </c>
      <c r="AL81" s="106">
        <v>18</v>
      </c>
      <c r="AM81" s="106">
        <v>13564.800000000001</v>
      </c>
      <c r="AN81" s="106">
        <v>17</v>
      </c>
      <c r="AO81" s="106">
        <v>12811.2</v>
      </c>
      <c r="AP81" s="106">
        <v>21</v>
      </c>
      <c r="AQ81" s="106">
        <v>15825.6</v>
      </c>
      <c r="AR81" s="106">
        <v>25</v>
      </c>
      <c r="AS81" s="106">
        <v>18840</v>
      </c>
      <c r="AT81" s="106">
        <v>43</v>
      </c>
      <c r="AU81" s="106">
        <v>32404.799999999999</v>
      </c>
      <c r="AV81" s="106">
        <v>37</v>
      </c>
      <c r="AW81" s="106">
        <v>27883.200000000001</v>
      </c>
      <c r="AX81" s="106">
        <v>22</v>
      </c>
      <c r="AY81" s="106">
        <v>16579.2</v>
      </c>
      <c r="AZ81" s="106">
        <v>3</v>
      </c>
      <c r="BA81" s="106">
        <v>2260.8000000000002</v>
      </c>
      <c r="BB81" s="106">
        <v>4</v>
      </c>
      <c r="BC81" s="106">
        <v>3014.4</v>
      </c>
      <c r="BD81" s="106">
        <v>3</v>
      </c>
      <c r="BE81" s="106">
        <v>2260.8000000000002</v>
      </c>
      <c r="BF81" s="106">
        <v>3</v>
      </c>
      <c r="BG81" s="106">
        <v>2260.8000000000002</v>
      </c>
      <c r="BH81" s="106">
        <v>4</v>
      </c>
      <c r="BI81" s="106">
        <v>3014.4</v>
      </c>
      <c r="BJ81" s="106">
        <v>2</v>
      </c>
      <c r="BK81" s="106">
        <v>1507.2</v>
      </c>
      <c r="BL81" s="106">
        <v>3</v>
      </c>
      <c r="BM81" s="106">
        <v>2260.8000000000002</v>
      </c>
      <c r="BN81" s="106">
        <v>2</v>
      </c>
      <c r="BO81" s="106">
        <v>1507.2</v>
      </c>
      <c r="BP81" s="106">
        <v>4</v>
      </c>
      <c r="BQ81" s="106">
        <v>3014.4</v>
      </c>
      <c r="BR81" s="106">
        <v>3</v>
      </c>
      <c r="BS81" s="106">
        <v>2260.8000000000002</v>
      </c>
      <c r="BT81" s="106">
        <v>4</v>
      </c>
      <c r="BU81" s="106">
        <v>3014.4</v>
      </c>
      <c r="BV81" s="106">
        <v>4</v>
      </c>
      <c r="BW81" s="106">
        <v>3014.4</v>
      </c>
      <c r="BX81" s="106">
        <v>19</v>
      </c>
      <c r="BY81" s="106">
        <v>14318.4</v>
      </c>
      <c r="BZ81" s="106">
        <v>21</v>
      </c>
      <c r="CA81" s="106">
        <v>15825.6</v>
      </c>
      <c r="CB81" s="106">
        <v>25</v>
      </c>
      <c r="CC81" s="106">
        <v>18840</v>
      </c>
      <c r="CD81" s="106">
        <v>19</v>
      </c>
      <c r="CE81" s="106">
        <v>14318.4</v>
      </c>
      <c r="CF81" s="106">
        <v>2</v>
      </c>
      <c r="CG81" s="106">
        <v>1507.2</v>
      </c>
      <c r="CH81" s="106">
        <v>3</v>
      </c>
      <c r="CI81" s="106">
        <v>2260.8000000000002</v>
      </c>
      <c r="CJ81" s="106">
        <v>3</v>
      </c>
      <c r="CK81" s="106">
        <v>2260.8000000000002</v>
      </c>
      <c r="CL81" s="106">
        <v>3</v>
      </c>
      <c r="CM81" s="106">
        <v>2260.8000000000002</v>
      </c>
      <c r="CN81" s="106">
        <v>6</v>
      </c>
      <c r="CO81" s="106">
        <v>4521.6000000000004</v>
      </c>
      <c r="CP81" s="106">
        <v>6</v>
      </c>
      <c r="CQ81" s="106">
        <v>4521.6000000000004</v>
      </c>
      <c r="CR81" s="106">
        <v>6</v>
      </c>
      <c r="CS81" s="106">
        <v>4521.6000000000004</v>
      </c>
      <c r="CT81" s="106">
        <v>5</v>
      </c>
      <c r="CU81" s="106">
        <v>3768</v>
      </c>
    </row>
    <row r="82" spans="2:99" x14ac:dyDescent="0.2">
      <c r="C82" s="105" t="s">
        <v>248</v>
      </c>
      <c r="D82" s="106">
        <v>18</v>
      </c>
      <c r="E82" s="106">
        <v>9158.3999999999978</v>
      </c>
      <c r="F82" s="106">
        <v>18</v>
      </c>
      <c r="G82" s="106">
        <v>9158.3999999999978</v>
      </c>
      <c r="H82" s="106">
        <v>24</v>
      </c>
      <c r="I82" s="106">
        <v>12211.199999999997</v>
      </c>
      <c r="J82" s="106">
        <v>30</v>
      </c>
      <c r="K82" s="106">
        <v>15263.999999999996</v>
      </c>
      <c r="L82" s="106">
        <v>33</v>
      </c>
      <c r="M82" s="106">
        <v>16790.399999999998</v>
      </c>
      <c r="N82" s="106">
        <v>24</v>
      </c>
      <c r="O82" s="106">
        <v>12211.199999999997</v>
      </c>
      <c r="P82" s="106">
        <v>23</v>
      </c>
      <c r="Q82" s="106">
        <v>11702.399999999998</v>
      </c>
      <c r="R82" s="106">
        <v>33</v>
      </c>
      <c r="S82" s="106">
        <v>16790.399999999998</v>
      </c>
      <c r="T82" s="106">
        <v>17</v>
      </c>
      <c r="U82" s="106">
        <v>8649.5999999999985</v>
      </c>
      <c r="V82" s="106">
        <v>19</v>
      </c>
      <c r="W82" s="106">
        <v>9667.1999999999989</v>
      </c>
      <c r="X82" s="106">
        <v>11</v>
      </c>
      <c r="Y82" s="106">
        <v>5596.7999999999993</v>
      </c>
      <c r="Z82" s="106">
        <v>12</v>
      </c>
      <c r="AA82" s="106">
        <v>6105.5999999999985</v>
      </c>
      <c r="AB82" s="106">
        <v>7</v>
      </c>
      <c r="AC82" s="106">
        <v>3561.5999999999995</v>
      </c>
      <c r="AD82" s="106">
        <v>12</v>
      </c>
      <c r="AE82" s="106">
        <v>6105.5999999999985</v>
      </c>
      <c r="AF82" s="106">
        <v>14</v>
      </c>
      <c r="AG82" s="106">
        <v>7123.1999999999989</v>
      </c>
      <c r="AH82" s="106">
        <v>14</v>
      </c>
      <c r="AI82" s="106">
        <v>7123.1999999999989</v>
      </c>
      <c r="AJ82" s="106">
        <v>17</v>
      </c>
      <c r="AK82" s="106">
        <v>8649.5999999999985</v>
      </c>
      <c r="AL82" s="106">
        <v>16</v>
      </c>
      <c r="AM82" s="106">
        <v>8140.7999999999984</v>
      </c>
      <c r="AN82" s="106">
        <v>17</v>
      </c>
      <c r="AO82" s="106">
        <v>8649.5999999999985</v>
      </c>
      <c r="AP82" s="106">
        <v>22</v>
      </c>
      <c r="AQ82" s="106">
        <v>11193.599999999999</v>
      </c>
      <c r="AR82" s="106">
        <v>27</v>
      </c>
      <c r="AS82" s="106">
        <v>13737.599999999997</v>
      </c>
      <c r="AT82" s="106">
        <v>41</v>
      </c>
      <c r="AU82" s="106">
        <v>20860.799999999996</v>
      </c>
      <c r="AV82" s="106">
        <v>38</v>
      </c>
      <c r="AW82" s="106">
        <v>19334.399999999998</v>
      </c>
      <c r="AX82" s="106">
        <v>22</v>
      </c>
      <c r="AY82" s="106">
        <v>11193.599999999999</v>
      </c>
      <c r="AZ82" s="106">
        <v>3</v>
      </c>
      <c r="BA82" s="106">
        <v>1526.3999999999996</v>
      </c>
      <c r="BB82" s="106">
        <v>4</v>
      </c>
      <c r="BC82" s="106">
        <v>2035.1999999999996</v>
      </c>
      <c r="BD82" s="106">
        <v>3</v>
      </c>
      <c r="BE82" s="106">
        <v>1526.3999999999996</v>
      </c>
      <c r="BF82" s="106">
        <v>3</v>
      </c>
      <c r="BG82" s="106">
        <v>1526.3999999999996</v>
      </c>
      <c r="BH82" s="106">
        <v>4</v>
      </c>
      <c r="BI82" s="106">
        <v>2035.1999999999996</v>
      </c>
      <c r="BJ82" s="106">
        <v>2</v>
      </c>
      <c r="BK82" s="106">
        <v>1017.5999999999998</v>
      </c>
      <c r="BL82" s="106">
        <v>3</v>
      </c>
      <c r="BM82" s="106">
        <v>1526.3999999999996</v>
      </c>
      <c r="BN82" s="106">
        <v>2</v>
      </c>
      <c r="BO82" s="106">
        <v>1017.5999999999998</v>
      </c>
      <c r="BP82" s="106">
        <v>5</v>
      </c>
      <c r="BQ82" s="106">
        <v>2543.9999999999995</v>
      </c>
      <c r="BR82" s="106">
        <v>3</v>
      </c>
      <c r="BS82" s="106">
        <v>1526.3999999999996</v>
      </c>
      <c r="BT82" s="106">
        <v>5</v>
      </c>
      <c r="BU82" s="106">
        <v>2543.9999999999995</v>
      </c>
      <c r="BV82" s="106">
        <v>5</v>
      </c>
      <c r="BW82" s="106">
        <v>2543.9999999999995</v>
      </c>
      <c r="BX82" s="106">
        <v>22</v>
      </c>
      <c r="BY82" s="106">
        <v>11193.599999999999</v>
      </c>
      <c r="BZ82" s="106">
        <v>21</v>
      </c>
      <c r="CA82" s="106">
        <v>10684.799999999997</v>
      </c>
      <c r="CB82" s="106">
        <v>26</v>
      </c>
      <c r="CC82" s="106">
        <v>13228.799999999997</v>
      </c>
      <c r="CD82" s="106">
        <v>17</v>
      </c>
      <c r="CE82" s="106">
        <v>8649.5999999999985</v>
      </c>
      <c r="CF82" s="106">
        <v>2</v>
      </c>
      <c r="CG82" s="106">
        <v>1017.5999999999998</v>
      </c>
      <c r="CH82" s="106">
        <v>3</v>
      </c>
      <c r="CI82" s="106">
        <v>1526.3999999999996</v>
      </c>
      <c r="CJ82" s="106">
        <v>3</v>
      </c>
      <c r="CK82" s="106">
        <v>1526.3999999999996</v>
      </c>
      <c r="CL82" s="106">
        <v>4</v>
      </c>
      <c r="CM82" s="106">
        <v>2035.1999999999996</v>
      </c>
      <c r="CN82" s="106">
        <v>6</v>
      </c>
      <c r="CO82" s="106">
        <v>3052.7999999999993</v>
      </c>
      <c r="CP82" s="106">
        <v>6</v>
      </c>
      <c r="CQ82" s="106">
        <v>3052.7999999999993</v>
      </c>
      <c r="CR82" s="106">
        <v>6</v>
      </c>
      <c r="CS82" s="106">
        <v>3052.7999999999993</v>
      </c>
      <c r="CT82" s="106">
        <v>5</v>
      </c>
      <c r="CU82" s="106">
        <v>2543.9999999999995</v>
      </c>
    </row>
    <row r="83" spans="2:99" x14ac:dyDescent="0.2">
      <c r="C83" s="105" t="s">
        <v>249</v>
      </c>
      <c r="D83" s="106">
        <v>18</v>
      </c>
      <c r="E83" s="106">
        <v>15487.199999999999</v>
      </c>
      <c r="F83" s="106">
        <v>16</v>
      </c>
      <c r="G83" s="106">
        <v>13766.4</v>
      </c>
      <c r="H83" s="106">
        <v>27</v>
      </c>
      <c r="I83" s="106">
        <v>23230.799999999999</v>
      </c>
      <c r="J83" s="106">
        <v>27</v>
      </c>
      <c r="K83" s="106">
        <v>23230.799999999999</v>
      </c>
      <c r="L83" s="106">
        <v>27</v>
      </c>
      <c r="M83" s="106">
        <v>23230.799999999999</v>
      </c>
      <c r="N83" s="106">
        <v>22</v>
      </c>
      <c r="O83" s="106">
        <v>18928.8</v>
      </c>
      <c r="P83" s="106">
        <v>23</v>
      </c>
      <c r="Q83" s="106">
        <v>19789.2</v>
      </c>
      <c r="R83" s="106">
        <v>26</v>
      </c>
      <c r="S83" s="106">
        <v>22370.399999999998</v>
      </c>
      <c r="T83" s="106">
        <v>17</v>
      </c>
      <c r="U83" s="106">
        <v>14626.8</v>
      </c>
      <c r="V83" s="106">
        <v>18</v>
      </c>
      <c r="W83" s="106">
        <v>15487.199999999999</v>
      </c>
      <c r="X83" s="106">
        <v>11</v>
      </c>
      <c r="Y83" s="106">
        <v>9464.4</v>
      </c>
      <c r="Z83" s="106">
        <v>10</v>
      </c>
      <c r="AA83" s="106">
        <v>8604</v>
      </c>
      <c r="AB83" s="106">
        <v>7</v>
      </c>
      <c r="AC83" s="106">
        <v>6022.8</v>
      </c>
      <c r="AD83" s="106">
        <v>12</v>
      </c>
      <c r="AE83" s="106">
        <v>10324.799999999999</v>
      </c>
      <c r="AF83" s="106">
        <v>14</v>
      </c>
      <c r="AG83" s="106">
        <v>12045.6</v>
      </c>
      <c r="AH83" s="106">
        <v>12</v>
      </c>
      <c r="AI83" s="106">
        <v>10324.799999999999</v>
      </c>
      <c r="AJ83" s="106">
        <v>15</v>
      </c>
      <c r="AK83" s="106">
        <v>12906</v>
      </c>
      <c r="AL83" s="106">
        <v>18</v>
      </c>
      <c r="AM83" s="106">
        <v>15487.199999999999</v>
      </c>
      <c r="AN83" s="106">
        <v>14</v>
      </c>
      <c r="AO83" s="106">
        <v>12045.6</v>
      </c>
      <c r="AP83" s="106">
        <v>22</v>
      </c>
      <c r="AQ83" s="106">
        <v>18928.8</v>
      </c>
      <c r="AR83" s="106">
        <v>24</v>
      </c>
      <c r="AS83" s="106">
        <v>20649.599999999999</v>
      </c>
      <c r="AT83" s="106">
        <v>38</v>
      </c>
      <c r="AU83" s="106">
        <v>32695.200000000001</v>
      </c>
      <c r="AV83" s="106">
        <v>34</v>
      </c>
      <c r="AW83" s="106">
        <v>29253.599999999999</v>
      </c>
      <c r="AX83" s="106">
        <v>18</v>
      </c>
      <c r="AY83" s="106">
        <v>15487.199999999999</v>
      </c>
      <c r="AZ83" s="106">
        <v>3</v>
      </c>
      <c r="BA83" s="106">
        <v>2581.1999999999998</v>
      </c>
      <c r="BB83" s="106">
        <v>4</v>
      </c>
      <c r="BC83" s="106">
        <v>3441.6</v>
      </c>
      <c r="BD83" s="106">
        <v>3</v>
      </c>
      <c r="BE83" s="106">
        <v>2581.1999999999998</v>
      </c>
      <c r="BF83" s="106">
        <v>3</v>
      </c>
      <c r="BG83" s="106">
        <v>2581.1999999999998</v>
      </c>
      <c r="BH83" s="106">
        <v>3</v>
      </c>
      <c r="BI83" s="106">
        <v>2581.1999999999998</v>
      </c>
      <c r="BJ83" s="106">
        <v>2</v>
      </c>
      <c r="BK83" s="106">
        <v>1720.8</v>
      </c>
      <c r="BL83" s="106">
        <v>3</v>
      </c>
      <c r="BM83" s="106">
        <v>2581.1999999999998</v>
      </c>
      <c r="BN83" s="106">
        <v>2</v>
      </c>
      <c r="BO83" s="106">
        <v>1720.8</v>
      </c>
      <c r="BP83" s="106">
        <v>4</v>
      </c>
      <c r="BQ83" s="106">
        <v>3441.6</v>
      </c>
      <c r="BR83" s="106">
        <v>3</v>
      </c>
      <c r="BS83" s="106">
        <v>2581.1999999999998</v>
      </c>
      <c r="BT83" s="106">
        <v>5</v>
      </c>
      <c r="BU83" s="106">
        <v>4302</v>
      </c>
      <c r="BV83" s="106">
        <v>5</v>
      </c>
      <c r="BW83" s="106">
        <v>4302</v>
      </c>
      <c r="BX83" s="106">
        <v>19</v>
      </c>
      <c r="BY83" s="106">
        <v>16347.6</v>
      </c>
      <c r="BZ83" s="106">
        <v>22</v>
      </c>
      <c r="CA83" s="106">
        <v>18928.8</v>
      </c>
      <c r="CB83" s="106">
        <v>25</v>
      </c>
      <c r="CC83" s="106">
        <v>21510</v>
      </c>
      <c r="CD83" s="106">
        <v>16</v>
      </c>
      <c r="CE83" s="106">
        <v>13766.4</v>
      </c>
      <c r="CF83" s="106">
        <v>2</v>
      </c>
      <c r="CG83" s="106">
        <v>1720.8</v>
      </c>
      <c r="CH83" s="106">
        <v>3</v>
      </c>
      <c r="CI83" s="106">
        <v>2581.1999999999998</v>
      </c>
      <c r="CJ83" s="106">
        <v>3</v>
      </c>
      <c r="CK83" s="106">
        <v>2581.1999999999998</v>
      </c>
      <c r="CL83" s="106">
        <v>3</v>
      </c>
      <c r="CM83" s="106">
        <v>2581.1999999999998</v>
      </c>
      <c r="CN83" s="106">
        <v>6</v>
      </c>
      <c r="CO83" s="106">
        <v>5162.3999999999996</v>
      </c>
      <c r="CP83" s="106">
        <v>6</v>
      </c>
      <c r="CQ83" s="106">
        <v>5162.3999999999996</v>
      </c>
      <c r="CR83" s="106">
        <v>6</v>
      </c>
      <c r="CS83" s="106">
        <v>5162.3999999999996</v>
      </c>
      <c r="CT83" s="106">
        <v>4</v>
      </c>
      <c r="CU83" s="106">
        <v>3441.6</v>
      </c>
    </row>
    <row r="84" spans="2:99" x14ac:dyDescent="0.2">
      <c r="C84" s="105" t="s">
        <v>250</v>
      </c>
      <c r="D84" s="106">
        <v>19</v>
      </c>
      <c r="E84" s="106">
        <v>14842.8</v>
      </c>
      <c r="F84" s="106">
        <v>18</v>
      </c>
      <c r="G84" s="106">
        <v>14061.599999999999</v>
      </c>
      <c r="H84" s="106">
        <v>24</v>
      </c>
      <c r="I84" s="106">
        <v>18748.8</v>
      </c>
      <c r="J84" s="106">
        <v>26</v>
      </c>
      <c r="K84" s="106">
        <v>20311.199999999997</v>
      </c>
      <c r="L84" s="106">
        <v>32</v>
      </c>
      <c r="M84" s="106">
        <v>24998.399999999998</v>
      </c>
      <c r="N84" s="106">
        <v>24</v>
      </c>
      <c r="O84" s="106">
        <v>18748.8</v>
      </c>
      <c r="P84" s="106">
        <v>23</v>
      </c>
      <c r="Q84" s="106">
        <v>17967.599999999999</v>
      </c>
      <c r="R84" s="106">
        <v>31</v>
      </c>
      <c r="S84" s="106">
        <v>24217.199999999997</v>
      </c>
      <c r="T84" s="106">
        <v>17</v>
      </c>
      <c r="U84" s="106">
        <v>13280.4</v>
      </c>
      <c r="V84" s="106">
        <v>17</v>
      </c>
      <c r="W84" s="106">
        <v>13280.4</v>
      </c>
      <c r="X84" s="106">
        <v>12</v>
      </c>
      <c r="Y84" s="106">
        <v>9374.4</v>
      </c>
      <c r="Z84" s="106">
        <v>11</v>
      </c>
      <c r="AA84" s="106">
        <v>8593.1999999999989</v>
      </c>
      <c r="AB84" s="106">
        <v>6</v>
      </c>
      <c r="AC84" s="106">
        <v>4687.2</v>
      </c>
      <c r="AD84" s="106">
        <v>11</v>
      </c>
      <c r="AE84" s="106">
        <v>8593.1999999999989</v>
      </c>
      <c r="AF84" s="106">
        <v>12</v>
      </c>
      <c r="AG84" s="106">
        <v>9374.4</v>
      </c>
      <c r="AH84" s="106">
        <v>14</v>
      </c>
      <c r="AI84" s="106">
        <v>10936.8</v>
      </c>
      <c r="AJ84" s="106">
        <v>17</v>
      </c>
      <c r="AK84" s="106">
        <v>13280.4</v>
      </c>
      <c r="AL84" s="106">
        <v>15</v>
      </c>
      <c r="AM84" s="106">
        <v>11717.999999999998</v>
      </c>
      <c r="AN84" s="106">
        <v>16</v>
      </c>
      <c r="AO84" s="106">
        <v>12499.199999999999</v>
      </c>
      <c r="AP84" s="106">
        <v>22</v>
      </c>
      <c r="AQ84" s="106">
        <v>17186.399999999998</v>
      </c>
      <c r="AR84" s="106">
        <v>25</v>
      </c>
      <c r="AS84" s="106">
        <v>19530</v>
      </c>
      <c r="AT84" s="106">
        <v>38</v>
      </c>
      <c r="AU84" s="106">
        <v>29685.599999999999</v>
      </c>
      <c r="AV84" s="106">
        <v>38</v>
      </c>
      <c r="AW84" s="106">
        <v>29685.599999999999</v>
      </c>
      <c r="AX84" s="106">
        <v>19</v>
      </c>
      <c r="AY84" s="106">
        <v>14842.8</v>
      </c>
      <c r="AZ84" s="106">
        <v>3</v>
      </c>
      <c r="BA84" s="106">
        <v>2343.6</v>
      </c>
      <c r="BB84" s="106">
        <v>4</v>
      </c>
      <c r="BC84" s="106">
        <v>3124.7999999999997</v>
      </c>
      <c r="BD84" s="106">
        <v>3</v>
      </c>
      <c r="BE84" s="106">
        <v>2343.6</v>
      </c>
      <c r="BF84" s="106">
        <v>3</v>
      </c>
      <c r="BG84" s="106">
        <v>2343.6</v>
      </c>
      <c r="BH84" s="106">
        <v>3</v>
      </c>
      <c r="BI84" s="106">
        <v>2343.6</v>
      </c>
      <c r="BJ84" s="106">
        <v>2</v>
      </c>
      <c r="BK84" s="106">
        <v>1562.3999999999999</v>
      </c>
      <c r="BL84" s="106">
        <v>3</v>
      </c>
      <c r="BM84" s="106">
        <v>2343.6</v>
      </c>
      <c r="BN84" s="106">
        <v>2</v>
      </c>
      <c r="BO84" s="106">
        <v>1562.3999999999999</v>
      </c>
      <c r="BP84" s="106">
        <v>4</v>
      </c>
      <c r="BQ84" s="106">
        <v>3124.7999999999997</v>
      </c>
      <c r="BR84" s="106">
        <v>3</v>
      </c>
      <c r="BS84" s="106">
        <v>2343.6</v>
      </c>
      <c r="BT84" s="106">
        <v>5</v>
      </c>
      <c r="BU84" s="106">
        <v>3905.9999999999995</v>
      </c>
      <c r="BV84" s="106">
        <v>4</v>
      </c>
      <c r="BW84" s="106">
        <v>3124.7999999999997</v>
      </c>
      <c r="BX84" s="106">
        <v>18</v>
      </c>
      <c r="BY84" s="106">
        <v>14061.599999999999</v>
      </c>
      <c r="BZ84" s="106">
        <v>24</v>
      </c>
      <c r="CA84" s="106">
        <v>18748.8</v>
      </c>
      <c r="CB84" s="106">
        <v>25</v>
      </c>
      <c r="CC84" s="106">
        <v>19530</v>
      </c>
      <c r="CD84" s="106">
        <v>17</v>
      </c>
      <c r="CE84" s="106">
        <v>13280.4</v>
      </c>
      <c r="CF84" s="106">
        <v>2</v>
      </c>
      <c r="CG84" s="106">
        <v>1562.3999999999999</v>
      </c>
      <c r="CH84" s="106">
        <v>3</v>
      </c>
      <c r="CI84" s="106">
        <v>2343.6</v>
      </c>
      <c r="CJ84" s="106">
        <v>3</v>
      </c>
      <c r="CK84" s="106">
        <v>2343.6</v>
      </c>
      <c r="CL84" s="106">
        <v>3</v>
      </c>
      <c r="CM84" s="106">
        <v>2343.6</v>
      </c>
      <c r="CN84" s="106">
        <v>6</v>
      </c>
      <c r="CO84" s="106">
        <v>4687.2</v>
      </c>
      <c r="CP84" s="106">
        <v>6</v>
      </c>
      <c r="CQ84" s="106">
        <v>4687.2</v>
      </c>
      <c r="CR84" s="106">
        <v>5</v>
      </c>
      <c r="CS84" s="106">
        <v>3905.9999999999995</v>
      </c>
      <c r="CT84" s="106">
        <v>4</v>
      </c>
      <c r="CU84" s="106">
        <v>3124.7999999999997</v>
      </c>
    </row>
    <row r="85" spans="2:99" x14ac:dyDescent="0.2">
      <c r="C85" s="105" t="s">
        <v>251</v>
      </c>
      <c r="D85" s="106">
        <v>19</v>
      </c>
      <c r="E85" s="106">
        <v>2850</v>
      </c>
      <c r="F85" s="106">
        <v>18</v>
      </c>
      <c r="G85" s="106">
        <v>2700</v>
      </c>
      <c r="H85" s="106">
        <v>30</v>
      </c>
      <c r="I85" s="106">
        <v>4500</v>
      </c>
      <c r="J85" s="106">
        <v>30</v>
      </c>
      <c r="K85" s="106">
        <v>4500</v>
      </c>
      <c r="L85" s="106">
        <v>36</v>
      </c>
      <c r="M85" s="106">
        <v>5400</v>
      </c>
      <c r="N85" s="106">
        <v>24</v>
      </c>
      <c r="O85" s="106">
        <v>3600</v>
      </c>
      <c r="P85" s="106">
        <v>26</v>
      </c>
      <c r="Q85" s="106">
        <v>3900</v>
      </c>
      <c r="R85" s="106">
        <v>30</v>
      </c>
      <c r="S85" s="106">
        <v>4500</v>
      </c>
      <c r="T85" s="106">
        <v>16</v>
      </c>
      <c r="U85" s="106">
        <v>2400</v>
      </c>
      <c r="V85" s="106">
        <v>17</v>
      </c>
      <c r="W85" s="106">
        <v>2550</v>
      </c>
      <c r="X85" s="106">
        <v>14</v>
      </c>
      <c r="Y85" s="106">
        <v>2100</v>
      </c>
      <c r="Z85" s="106">
        <v>13</v>
      </c>
      <c r="AA85" s="106">
        <v>1950</v>
      </c>
      <c r="AB85" s="106">
        <v>7</v>
      </c>
      <c r="AC85" s="106">
        <v>1050</v>
      </c>
      <c r="AD85" s="106">
        <v>13</v>
      </c>
      <c r="AE85" s="106">
        <v>1950</v>
      </c>
      <c r="AF85" s="106">
        <v>13</v>
      </c>
      <c r="AG85" s="106">
        <v>1950</v>
      </c>
      <c r="AH85" s="106">
        <v>13</v>
      </c>
      <c r="AI85" s="106">
        <v>1950</v>
      </c>
      <c r="AJ85" s="106">
        <v>16</v>
      </c>
      <c r="AK85" s="106">
        <v>2400</v>
      </c>
      <c r="AL85" s="106">
        <v>17</v>
      </c>
      <c r="AM85" s="106">
        <v>2550</v>
      </c>
      <c r="AN85" s="106">
        <v>17</v>
      </c>
      <c r="AO85" s="106">
        <v>2550</v>
      </c>
      <c r="AP85" s="106">
        <v>27</v>
      </c>
      <c r="AQ85" s="106">
        <v>4050</v>
      </c>
      <c r="AR85" s="106">
        <v>28</v>
      </c>
      <c r="AS85" s="106">
        <v>4200</v>
      </c>
      <c r="AT85" s="106">
        <v>43</v>
      </c>
      <c r="AU85" s="106">
        <v>6450</v>
      </c>
      <c r="AV85" s="106">
        <v>38</v>
      </c>
      <c r="AW85" s="106">
        <v>5700</v>
      </c>
      <c r="AX85" s="106">
        <v>25</v>
      </c>
      <c r="AY85" s="106">
        <v>3750</v>
      </c>
      <c r="AZ85" s="106">
        <v>3</v>
      </c>
      <c r="BA85" s="106">
        <v>450</v>
      </c>
      <c r="BB85" s="106">
        <v>4</v>
      </c>
      <c r="BC85" s="106">
        <v>600</v>
      </c>
      <c r="BD85" s="106">
        <v>3</v>
      </c>
      <c r="BE85" s="106">
        <v>450</v>
      </c>
      <c r="BF85" s="106">
        <v>4</v>
      </c>
      <c r="BG85" s="106">
        <v>600</v>
      </c>
      <c r="BH85" s="106">
        <v>4</v>
      </c>
      <c r="BI85" s="106">
        <v>600</v>
      </c>
      <c r="BJ85" s="106">
        <v>2</v>
      </c>
      <c r="BK85" s="106">
        <v>300</v>
      </c>
      <c r="BL85" s="106">
        <v>3</v>
      </c>
      <c r="BM85" s="106">
        <v>450</v>
      </c>
      <c r="BN85" s="106">
        <v>2</v>
      </c>
      <c r="BO85" s="106">
        <v>300</v>
      </c>
      <c r="BP85" s="106">
        <v>4</v>
      </c>
      <c r="BQ85" s="106">
        <v>600</v>
      </c>
      <c r="BR85" s="106">
        <v>4</v>
      </c>
      <c r="BS85" s="106">
        <v>600</v>
      </c>
      <c r="BT85" s="106">
        <v>5</v>
      </c>
      <c r="BU85" s="106">
        <v>750</v>
      </c>
      <c r="BV85" s="106">
        <v>4</v>
      </c>
      <c r="BW85" s="106">
        <v>600</v>
      </c>
      <c r="BX85" s="106">
        <v>23</v>
      </c>
      <c r="BY85" s="106">
        <v>3450</v>
      </c>
      <c r="BZ85" s="106">
        <v>23</v>
      </c>
      <c r="CA85" s="106">
        <v>3450</v>
      </c>
      <c r="CB85" s="106">
        <v>26</v>
      </c>
      <c r="CC85" s="106">
        <v>3900</v>
      </c>
      <c r="CD85" s="106">
        <v>21</v>
      </c>
      <c r="CE85" s="106">
        <v>3150</v>
      </c>
      <c r="CF85" s="106">
        <v>2</v>
      </c>
      <c r="CG85" s="106">
        <v>300</v>
      </c>
      <c r="CH85" s="106">
        <v>3</v>
      </c>
      <c r="CI85" s="106">
        <v>450</v>
      </c>
      <c r="CJ85" s="106">
        <v>3</v>
      </c>
      <c r="CK85" s="106">
        <v>450</v>
      </c>
      <c r="CL85" s="106">
        <v>3</v>
      </c>
      <c r="CM85" s="106">
        <v>450</v>
      </c>
      <c r="CN85" s="106">
        <v>6</v>
      </c>
      <c r="CO85" s="106">
        <v>900</v>
      </c>
      <c r="CP85" s="106">
        <v>6</v>
      </c>
      <c r="CQ85" s="106">
        <v>900</v>
      </c>
      <c r="CR85" s="106">
        <v>6</v>
      </c>
      <c r="CS85" s="106">
        <v>900</v>
      </c>
      <c r="CT85" s="106">
        <v>5</v>
      </c>
      <c r="CU85" s="106">
        <v>750</v>
      </c>
    </row>
    <row r="86" spans="2:99" x14ac:dyDescent="0.2">
      <c r="C86" s="105" t="s">
        <v>252</v>
      </c>
      <c r="D86" s="106">
        <v>18</v>
      </c>
      <c r="E86" s="106">
        <v>9720</v>
      </c>
      <c r="F86" s="106">
        <v>16</v>
      </c>
      <c r="G86" s="106">
        <v>8640</v>
      </c>
      <c r="H86" s="106">
        <v>25</v>
      </c>
      <c r="I86" s="106">
        <v>13500</v>
      </c>
      <c r="J86" s="106">
        <v>30</v>
      </c>
      <c r="K86" s="106">
        <v>16200</v>
      </c>
      <c r="L86" s="106">
        <v>31</v>
      </c>
      <c r="M86" s="106">
        <v>16740</v>
      </c>
      <c r="N86" s="106">
        <v>22</v>
      </c>
      <c r="O86" s="106">
        <v>11880</v>
      </c>
      <c r="P86" s="106">
        <v>21</v>
      </c>
      <c r="Q86" s="106">
        <v>11340</v>
      </c>
      <c r="R86" s="106">
        <v>29</v>
      </c>
      <c r="S86" s="106">
        <v>15660</v>
      </c>
      <c r="T86" s="106">
        <v>15</v>
      </c>
      <c r="U86" s="106">
        <v>8100</v>
      </c>
      <c r="V86" s="106">
        <v>16</v>
      </c>
      <c r="W86" s="106">
        <v>8640</v>
      </c>
      <c r="X86" s="106">
        <v>12</v>
      </c>
      <c r="Y86" s="106">
        <v>6480</v>
      </c>
      <c r="Z86" s="106">
        <v>11</v>
      </c>
      <c r="AA86" s="106">
        <v>5940</v>
      </c>
      <c r="AB86" s="106">
        <v>7</v>
      </c>
      <c r="AC86" s="106">
        <v>3780</v>
      </c>
      <c r="AD86" s="106">
        <v>12</v>
      </c>
      <c r="AE86" s="106">
        <v>6480</v>
      </c>
      <c r="AF86" s="106">
        <v>15</v>
      </c>
      <c r="AG86" s="106">
        <v>8100</v>
      </c>
      <c r="AH86" s="106">
        <v>12</v>
      </c>
      <c r="AI86" s="106">
        <v>6480</v>
      </c>
      <c r="AJ86" s="106">
        <v>16</v>
      </c>
      <c r="AK86" s="106">
        <v>8640</v>
      </c>
      <c r="AL86" s="106">
        <v>16</v>
      </c>
      <c r="AM86" s="106">
        <v>8640</v>
      </c>
      <c r="AN86" s="106">
        <v>15</v>
      </c>
      <c r="AO86" s="106">
        <v>8100</v>
      </c>
      <c r="AP86" s="106">
        <v>22</v>
      </c>
      <c r="AQ86" s="106">
        <v>11880</v>
      </c>
      <c r="AR86" s="106">
        <v>26</v>
      </c>
      <c r="AS86" s="106">
        <v>14040</v>
      </c>
      <c r="AT86" s="106">
        <v>38</v>
      </c>
      <c r="AU86" s="106">
        <v>20520</v>
      </c>
      <c r="AV86" s="106">
        <v>40</v>
      </c>
      <c r="AW86" s="106">
        <v>21600</v>
      </c>
      <c r="AX86" s="106">
        <v>20</v>
      </c>
      <c r="AY86" s="106">
        <v>10800</v>
      </c>
      <c r="AZ86" s="106">
        <v>3</v>
      </c>
      <c r="BA86" s="106">
        <v>1620</v>
      </c>
      <c r="BB86" s="106">
        <v>4</v>
      </c>
      <c r="BC86" s="106">
        <v>2160</v>
      </c>
      <c r="BD86" s="106">
        <v>3</v>
      </c>
      <c r="BE86" s="106">
        <v>1620</v>
      </c>
      <c r="BF86" s="106">
        <v>3</v>
      </c>
      <c r="BG86" s="106">
        <v>1620</v>
      </c>
      <c r="BH86" s="106">
        <v>3</v>
      </c>
      <c r="BI86" s="106">
        <v>1620</v>
      </c>
      <c r="BJ86" s="106">
        <v>2</v>
      </c>
      <c r="BK86" s="106">
        <v>1080</v>
      </c>
      <c r="BL86" s="106">
        <v>3</v>
      </c>
      <c r="BM86" s="106">
        <v>1620</v>
      </c>
      <c r="BN86" s="106">
        <v>2</v>
      </c>
      <c r="BO86" s="106">
        <v>1080</v>
      </c>
      <c r="BP86" s="106">
        <v>5</v>
      </c>
      <c r="BQ86" s="106">
        <v>2700</v>
      </c>
      <c r="BR86" s="106">
        <v>3</v>
      </c>
      <c r="BS86" s="106">
        <v>1620</v>
      </c>
      <c r="BT86" s="106">
        <v>5</v>
      </c>
      <c r="BU86" s="106">
        <v>2700</v>
      </c>
      <c r="BV86" s="106">
        <v>4</v>
      </c>
      <c r="BW86" s="106">
        <v>2160</v>
      </c>
      <c r="BX86" s="106">
        <v>19</v>
      </c>
      <c r="BY86" s="106">
        <v>10260</v>
      </c>
      <c r="BZ86" s="106">
        <v>22</v>
      </c>
      <c r="CA86" s="106">
        <v>11880</v>
      </c>
      <c r="CB86" s="106">
        <v>23</v>
      </c>
      <c r="CC86" s="106">
        <v>12420</v>
      </c>
      <c r="CD86" s="106">
        <v>19</v>
      </c>
      <c r="CE86" s="106">
        <v>10260</v>
      </c>
      <c r="CF86" s="106">
        <v>2</v>
      </c>
      <c r="CG86" s="106">
        <v>1080</v>
      </c>
      <c r="CH86" s="106">
        <v>3</v>
      </c>
      <c r="CI86" s="106">
        <v>1620</v>
      </c>
      <c r="CJ86" s="106">
        <v>3</v>
      </c>
      <c r="CK86" s="106">
        <v>1620</v>
      </c>
      <c r="CL86" s="106">
        <v>4</v>
      </c>
      <c r="CM86" s="106">
        <v>2160</v>
      </c>
      <c r="CN86" s="106">
        <v>6</v>
      </c>
      <c r="CO86" s="106">
        <v>3240</v>
      </c>
      <c r="CP86" s="106">
        <v>6</v>
      </c>
      <c r="CQ86" s="106">
        <v>3240</v>
      </c>
      <c r="CR86" s="106">
        <v>6</v>
      </c>
      <c r="CS86" s="106">
        <v>3240</v>
      </c>
      <c r="CT86" s="106">
        <v>4</v>
      </c>
      <c r="CU86" s="106">
        <v>2160</v>
      </c>
    </row>
    <row r="87" spans="2:99" x14ac:dyDescent="0.2">
      <c r="B87" s="105" t="s">
        <v>131</v>
      </c>
      <c r="C87" s="105" t="s">
        <v>253</v>
      </c>
      <c r="D87" s="106">
        <v>2</v>
      </c>
      <c r="E87" s="106">
        <v>3909.6</v>
      </c>
      <c r="F87" s="106">
        <v>3</v>
      </c>
      <c r="G87" s="106">
        <v>5864.4</v>
      </c>
      <c r="H87" s="106">
        <v>3</v>
      </c>
      <c r="I87" s="106">
        <v>5864.4</v>
      </c>
      <c r="J87" s="106">
        <v>4</v>
      </c>
      <c r="K87" s="106">
        <v>7819.2</v>
      </c>
      <c r="L87" s="106">
        <v>9</v>
      </c>
      <c r="M87" s="106">
        <v>17593.2</v>
      </c>
      <c r="N87" s="106">
        <v>8</v>
      </c>
      <c r="O87" s="106">
        <v>15638.4</v>
      </c>
      <c r="P87" s="106">
        <v>4</v>
      </c>
      <c r="Q87" s="106">
        <v>7819.2</v>
      </c>
      <c r="R87" s="106">
        <v>7</v>
      </c>
      <c r="S87" s="106">
        <v>13683.6</v>
      </c>
      <c r="T87" s="106">
        <v>8</v>
      </c>
      <c r="U87" s="106">
        <v>15638.4</v>
      </c>
      <c r="V87" s="106">
        <v>9</v>
      </c>
      <c r="W87" s="106">
        <v>17593.2</v>
      </c>
      <c r="X87" s="106">
        <v>8</v>
      </c>
      <c r="Y87" s="106">
        <v>15638.4</v>
      </c>
      <c r="Z87" s="106">
        <v>7</v>
      </c>
      <c r="AA87" s="106">
        <v>13683.6</v>
      </c>
      <c r="AB87" s="106">
        <v>7</v>
      </c>
      <c r="AC87" s="106">
        <v>13683.6</v>
      </c>
      <c r="AD87" s="106">
        <v>9</v>
      </c>
      <c r="AE87" s="106">
        <v>17593.2</v>
      </c>
      <c r="AF87" s="106">
        <v>10</v>
      </c>
      <c r="AG87" s="106">
        <v>19548</v>
      </c>
      <c r="AH87" s="106">
        <v>12</v>
      </c>
      <c r="AI87" s="106">
        <v>23457.599999999999</v>
      </c>
      <c r="AJ87" s="106">
        <v>8</v>
      </c>
      <c r="AK87" s="106">
        <v>15638.4</v>
      </c>
      <c r="AL87" s="106">
        <v>11</v>
      </c>
      <c r="AM87" s="106">
        <v>21502.799999999999</v>
      </c>
      <c r="AN87" s="106">
        <v>10</v>
      </c>
      <c r="AO87" s="106">
        <v>19548</v>
      </c>
      <c r="AP87" s="106">
        <v>8</v>
      </c>
      <c r="AQ87" s="106">
        <v>15638.4</v>
      </c>
      <c r="AR87" s="106">
        <v>14</v>
      </c>
      <c r="AS87" s="106">
        <v>27367.200000000001</v>
      </c>
      <c r="AT87" s="106">
        <v>19</v>
      </c>
      <c r="AU87" s="106">
        <v>37141.199999999997</v>
      </c>
      <c r="AV87" s="106">
        <v>23</v>
      </c>
      <c r="AW87" s="106">
        <v>44960.4</v>
      </c>
      <c r="AX87" s="106">
        <v>19</v>
      </c>
      <c r="AY87" s="106">
        <v>37141.199999999997</v>
      </c>
      <c r="AZ87" s="106">
        <v>4</v>
      </c>
      <c r="BA87" s="106">
        <v>7819.2</v>
      </c>
      <c r="BB87" s="106">
        <v>4</v>
      </c>
      <c r="BC87" s="106">
        <v>7819.2</v>
      </c>
      <c r="BD87" s="106">
        <v>4</v>
      </c>
      <c r="BE87" s="106">
        <v>7819.2</v>
      </c>
      <c r="BF87" s="106">
        <v>4</v>
      </c>
      <c r="BG87" s="106">
        <v>7819.2</v>
      </c>
      <c r="BH87" s="106">
        <v>7</v>
      </c>
      <c r="BI87" s="106">
        <v>13683.6</v>
      </c>
      <c r="BJ87" s="106">
        <v>11</v>
      </c>
      <c r="BK87" s="106">
        <v>21502.799999999999</v>
      </c>
      <c r="BL87" s="106">
        <v>8</v>
      </c>
      <c r="BM87" s="106">
        <v>15638.4</v>
      </c>
      <c r="BN87" s="106">
        <v>8</v>
      </c>
      <c r="BO87" s="106">
        <v>15638.4</v>
      </c>
      <c r="BP87" s="106">
        <v>16</v>
      </c>
      <c r="BQ87" s="106">
        <v>31276.799999999999</v>
      </c>
      <c r="BR87" s="106">
        <v>20</v>
      </c>
      <c r="BS87" s="106">
        <v>39096</v>
      </c>
      <c r="BT87" s="106">
        <v>17</v>
      </c>
      <c r="BU87" s="106">
        <v>33231.599999999999</v>
      </c>
      <c r="BV87" s="106">
        <v>16</v>
      </c>
      <c r="BW87" s="106">
        <v>31276.799999999999</v>
      </c>
      <c r="BX87" s="106">
        <v>9</v>
      </c>
      <c r="BY87" s="106">
        <v>17593.2</v>
      </c>
      <c r="BZ87" s="106">
        <v>6</v>
      </c>
      <c r="CA87" s="106">
        <v>11728.8</v>
      </c>
      <c r="CB87" s="106">
        <v>10</v>
      </c>
      <c r="CC87" s="106">
        <v>19548</v>
      </c>
      <c r="CD87" s="106">
        <v>7</v>
      </c>
      <c r="CE87" s="106">
        <v>13683.6</v>
      </c>
      <c r="CF87" s="106">
        <v>4</v>
      </c>
      <c r="CG87" s="106">
        <v>7819.2</v>
      </c>
      <c r="CH87" s="106">
        <v>6</v>
      </c>
      <c r="CI87" s="106">
        <v>11728.8</v>
      </c>
      <c r="CJ87" s="106">
        <v>5</v>
      </c>
      <c r="CK87" s="106">
        <v>9774</v>
      </c>
      <c r="CL87" s="106">
        <v>3</v>
      </c>
      <c r="CM87" s="106">
        <v>5864.4</v>
      </c>
      <c r="CN87" s="106">
        <v>4</v>
      </c>
      <c r="CO87" s="106">
        <v>7819.2</v>
      </c>
      <c r="CP87" s="106">
        <v>5</v>
      </c>
      <c r="CQ87" s="106">
        <v>9774</v>
      </c>
      <c r="CR87" s="106">
        <v>3</v>
      </c>
      <c r="CS87" s="106">
        <v>5864.4</v>
      </c>
      <c r="CT87" s="106">
        <v>3</v>
      </c>
      <c r="CU87" s="106">
        <v>5864.4</v>
      </c>
    </row>
    <row r="88" spans="2:99" x14ac:dyDescent="0.2">
      <c r="C88" s="105" t="s">
        <v>254</v>
      </c>
      <c r="D88" s="106">
        <v>3</v>
      </c>
      <c r="E88" s="106">
        <v>5677.2</v>
      </c>
      <c r="F88" s="106">
        <v>3</v>
      </c>
      <c r="G88" s="106">
        <v>5677.2</v>
      </c>
      <c r="H88" s="106">
        <v>3</v>
      </c>
      <c r="I88" s="106">
        <v>5677.2</v>
      </c>
      <c r="J88" s="106">
        <v>5</v>
      </c>
      <c r="K88" s="106">
        <v>9462</v>
      </c>
      <c r="L88" s="106">
        <v>9</v>
      </c>
      <c r="M88" s="106">
        <v>17031.599999999999</v>
      </c>
      <c r="N88" s="106">
        <v>8</v>
      </c>
      <c r="O88" s="106">
        <v>15139.199999999999</v>
      </c>
      <c r="P88" s="106">
        <v>5</v>
      </c>
      <c r="Q88" s="106">
        <v>9462</v>
      </c>
      <c r="R88" s="106">
        <v>6</v>
      </c>
      <c r="S88" s="106">
        <v>11354.4</v>
      </c>
      <c r="T88" s="106">
        <v>9</v>
      </c>
      <c r="U88" s="106">
        <v>17031.599999999999</v>
      </c>
      <c r="V88" s="106">
        <v>8</v>
      </c>
      <c r="W88" s="106">
        <v>15139.199999999999</v>
      </c>
      <c r="X88" s="106">
        <v>7</v>
      </c>
      <c r="Y88" s="106">
        <v>13246.8</v>
      </c>
      <c r="Z88" s="106">
        <v>7</v>
      </c>
      <c r="AA88" s="106">
        <v>13246.8</v>
      </c>
      <c r="AB88" s="106">
        <v>7</v>
      </c>
      <c r="AC88" s="106">
        <v>13246.8</v>
      </c>
      <c r="AD88" s="106">
        <v>9</v>
      </c>
      <c r="AE88" s="106">
        <v>17031.599999999999</v>
      </c>
      <c r="AF88" s="106">
        <v>10</v>
      </c>
      <c r="AG88" s="106">
        <v>18924</v>
      </c>
      <c r="AH88" s="106">
        <v>12</v>
      </c>
      <c r="AI88" s="106">
        <v>22708.799999999999</v>
      </c>
      <c r="AJ88" s="106">
        <v>8</v>
      </c>
      <c r="AK88" s="106">
        <v>15139.199999999999</v>
      </c>
      <c r="AL88" s="106">
        <v>11</v>
      </c>
      <c r="AM88" s="106">
        <v>20816.399999999998</v>
      </c>
      <c r="AN88" s="106">
        <v>11</v>
      </c>
      <c r="AO88" s="106">
        <v>20816.399999999998</v>
      </c>
      <c r="AP88" s="106">
        <v>9</v>
      </c>
      <c r="AQ88" s="106">
        <v>17031.599999999999</v>
      </c>
      <c r="AR88" s="106">
        <v>13</v>
      </c>
      <c r="AS88" s="106">
        <v>24601.199999999997</v>
      </c>
      <c r="AT88" s="106">
        <v>18</v>
      </c>
      <c r="AU88" s="106">
        <v>34063.199999999997</v>
      </c>
      <c r="AV88" s="106">
        <v>23</v>
      </c>
      <c r="AW88" s="106">
        <v>43525.2</v>
      </c>
      <c r="AX88" s="106">
        <v>20</v>
      </c>
      <c r="AY88" s="106">
        <v>37848</v>
      </c>
      <c r="AZ88" s="106">
        <v>3</v>
      </c>
      <c r="BA88" s="106">
        <v>5677.2</v>
      </c>
      <c r="BB88" s="106">
        <v>4</v>
      </c>
      <c r="BC88" s="106">
        <v>7569.5999999999995</v>
      </c>
      <c r="BD88" s="106">
        <v>4</v>
      </c>
      <c r="BE88" s="106">
        <v>7569.5999999999995</v>
      </c>
      <c r="BF88" s="106">
        <v>4</v>
      </c>
      <c r="BG88" s="106">
        <v>7569.5999999999995</v>
      </c>
      <c r="BH88" s="106">
        <v>7</v>
      </c>
      <c r="BI88" s="106">
        <v>13246.8</v>
      </c>
      <c r="BJ88" s="106">
        <v>13</v>
      </c>
      <c r="BK88" s="106">
        <v>24601.199999999997</v>
      </c>
      <c r="BL88" s="106">
        <v>10</v>
      </c>
      <c r="BM88" s="106">
        <v>18924</v>
      </c>
      <c r="BN88" s="106">
        <v>8</v>
      </c>
      <c r="BO88" s="106">
        <v>15139.199999999999</v>
      </c>
      <c r="BP88" s="106">
        <v>16</v>
      </c>
      <c r="BQ88" s="106">
        <v>30278.399999999998</v>
      </c>
      <c r="BR88" s="106">
        <v>21</v>
      </c>
      <c r="BS88" s="106">
        <v>39740.399999999994</v>
      </c>
      <c r="BT88" s="106">
        <v>21</v>
      </c>
      <c r="BU88" s="106">
        <v>39740.399999999994</v>
      </c>
      <c r="BV88" s="106">
        <v>17</v>
      </c>
      <c r="BW88" s="106">
        <v>32170.799999999999</v>
      </c>
      <c r="BX88" s="106">
        <v>9</v>
      </c>
      <c r="BY88" s="106">
        <v>17031.599999999999</v>
      </c>
      <c r="BZ88" s="106">
        <v>7</v>
      </c>
      <c r="CA88" s="106">
        <v>13246.8</v>
      </c>
      <c r="CB88" s="106">
        <v>11</v>
      </c>
      <c r="CC88" s="106">
        <v>20816.399999999998</v>
      </c>
      <c r="CD88" s="106">
        <v>7</v>
      </c>
      <c r="CE88" s="106">
        <v>13246.8</v>
      </c>
      <c r="CF88" s="106">
        <v>4</v>
      </c>
      <c r="CG88" s="106">
        <v>7569.5999999999995</v>
      </c>
      <c r="CH88" s="106">
        <v>6</v>
      </c>
      <c r="CI88" s="106">
        <v>11354.4</v>
      </c>
      <c r="CJ88" s="106">
        <v>6</v>
      </c>
      <c r="CK88" s="106">
        <v>11354.4</v>
      </c>
      <c r="CL88" s="106">
        <v>3</v>
      </c>
      <c r="CM88" s="106">
        <v>5677.2</v>
      </c>
      <c r="CN88" s="106">
        <v>4</v>
      </c>
      <c r="CO88" s="106">
        <v>7569.5999999999995</v>
      </c>
      <c r="CP88" s="106">
        <v>4</v>
      </c>
      <c r="CQ88" s="106">
        <v>7569.5999999999995</v>
      </c>
      <c r="CR88" s="106">
        <v>3</v>
      </c>
      <c r="CS88" s="106">
        <v>5677.2</v>
      </c>
      <c r="CT88" s="106">
        <v>2</v>
      </c>
      <c r="CU88" s="106">
        <v>3784.7999999999997</v>
      </c>
    </row>
    <row r="89" spans="2:99" x14ac:dyDescent="0.2">
      <c r="C89" s="105" t="s">
        <v>255</v>
      </c>
      <c r="D89" s="106">
        <v>2</v>
      </c>
      <c r="E89" s="106">
        <v>4795.2</v>
      </c>
      <c r="F89" s="106">
        <v>3</v>
      </c>
      <c r="G89" s="106">
        <v>7192.7999999999993</v>
      </c>
      <c r="H89" s="106">
        <v>3</v>
      </c>
      <c r="I89" s="106">
        <v>7192.7999999999993</v>
      </c>
      <c r="J89" s="106">
        <v>5</v>
      </c>
      <c r="K89" s="106">
        <v>11988</v>
      </c>
      <c r="L89" s="106">
        <v>9</v>
      </c>
      <c r="M89" s="106">
        <v>21578.399999999998</v>
      </c>
      <c r="N89" s="106">
        <v>7</v>
      </c>
      <c r="O89" s="106">
        <v>16783.2</v>
      </c>
      <c r="P89" s="106">
        <v>5</v>
      </c>
      <c r="Q89" s="106">
        <v>11988</v>
      </c>
      <c r="R89" s="106">
        <v>6</v>
      </c>
      <c r="S89" s="106">
        <v>14385.599999999999</v>
      </c>
      <c r="T89" s="106">
        <v>7</v>
      </c>
      <c r="U89" s="106">
        <v>16783.2</v>
      </c>
      <c r="V89" s="106">
        <v>8</v>
      </c>
      <c r="W89" s="106">
        <v>19180.8</v>
      </c>
      <c r="X89" s="106">
        <v>7</v>
      </c>
      <c r="Y89" s="106">
        <v>16783.2</v>
      </c>
      <c r="Z89" s="106">
        <v>7</v>
      </c>
      <c r="AA89" s="106">
        <v>16783.2</v>
      </c>
      <c r="AB89" s="106">
        <v>8</v>
      </c>
      <c r="AC89" s="106">
        <v>19180.8</v>
      </c>
      <c r="AD89" s="106">
        <v>9</v>
      </c>
      <c r="AE89" s="106">
        <v>21578.399999999998</v>
      </c>
      <c r="AF89" s="106">
        <v>10</v>
      </c>
      <c r="AG89" s="106">
        <v>23976</v>
      </c>
      <c r="AH89" s="106">
        <v>11</v>
      </c>
      <c r="AI89" s="106">
        <v>26373.599999999999</v>
      </c>
      <c r="AJ89" s="106">
        <v>7</v>
      </c>
      <c r="AK89" s="106">
        <v>16783.2</v>
      </c>
      <c r="AL89" s="106">
        <v>9</v>
      </c>
      <c r="AM89" s="106">
        <v>21578.399999999998</v>
      </c>
      <c r="AN89" s="106">
        <v>8</v>
      </c>
      <c r="AO89" s="106">
        <v>19180.8</v>
      </c>
      <c r="AP89" s="106">
        <v>7</v>
      </c>
      <c r="AQ89" s="106">
        <v>16783.2</v>
      </c>
      <c r="AR89" s="106">
        <v>12</v>
      </c>
      <c r="AS89" s="106">
        <v>28771.199999999997</v>
      </c>
      <c r="AT89" s="106">
        <v>19</v>
      </c>
      <c r="AU89" s="106">
        <v>45554.400000000001</v>
      </c>
      <c r="AV89" s="106">
        <v>21</v>
      </c>
      <c r="AW89" s="106">
        <v>50349.599999999999</v>
      </c>
      <c r="AX89" s="106">
        <v>21</v>
      </c>
      <c r="AY89" s="106">
        <v>50349.599999999999</v>
      </c>
      <c r="AZ89" s="106">
        <v>3</v>
      </c>
      <c r="BA89" s="106">
        <v>7192.7999999999993</v>
      </c>
      <c r="BB89" s="106">
        <v>4</v>
      </c>
      <c r="BC89" s="106">
        <v>9590.4</v>
      </c>
      <c r="BD89" s="106">
        <v>4</v>
      </c>
      <c r="BE89" s="106">
        <v>9590.4</v>
      </c>
      <c r="BF89" s="106">
        <v>4</v>
      </c>
      <c r="BG89" s="106">
        <v>9590.4</v>
      </c>
      <c r="BH89" s="106">
        <v>7</v>
      </c>
      <c r="BI89" s="106">
        <v>16783.2</v>
      </c>
      <c r="BJ89" s="106">
        <v>13</v>
      </c>
      <c r="BK89" s="106">
        <v>31168.799999999999</v>
      </c>
      <c r="BL89" s="106">
        <v>9</v>
      </c>
      <c r="BM89" s="106">
        <v>21578.399999999998</v>
      </c>
      <c r="BN89" s="106">
        <v>8</v>
      </c>
      <c r="BO89" s="106">
        <v>19180.8</v>
      </c>
      <c r="BP89" s="106">
        <v>15</v>
      </c>
      <c r="BQ89" s="106">
        <v>35964</v>
      </c>
      <c r="BR89" s="106">
        <v>20</v>
      </c>
      <c r="BS89" s="106">
        <v>47952</v>
      </c>
      <c r="BT89" s="106">
        <v>17</v>
      </c>
      <c r="BU89" s="106">
        <v>40759.199999999997</v>
      </c>
      <c r="BV89" s="106">
        <v>16</v>
      </c>
      <c r="BW89" s="106">
        <v>38361.599999999999</v>
      </c>
      <c r="BX89" s="106">
        <v>8</v>
      </c>
      <c r="BY89" s="106">
        <v>19180.8</v>
      </c>
      <c r="BZ89" s="106">
        <v>7</v>
      </c>
      <c r="CA89" s="106">
        <v>16783.2</v>
      </c>
      <c r="CB89" s="106">
        <v>10</v>
      </c>
      <c r="CC89" s="106">
        <v>23976</v>
      </c>
      <c r="CD89" s="106">
        <v>7</v>
      </c>
      <c r="CE89" s="106">
        <v>16783.2</v>
      </c>
      <c r="CF89" s="106">
        <v>4</v>
      </c>
      <c r="CG89" s="106">
        <v>9590.4</v>
      </c>
      <c r="CH89" s="106">
        <v>5</v>
      </c>
      <c r="CI89" s="106">
        <v>11988</v>
      </c>
      <c r="CJ89" s="106">
        <v>5</v>
      </c>
      <c r="CK89" s="106">
        <v>11988</v>
      </c>
      <c r="CL89" s="106">
        <v>3</v>
      </c>
      <c r="CM89" s="106">
        <v>7192.7999999999993</v>
      </c>
      <c r="CN89" s="106">
        <v>4</v>
      </c>
      <c r="CO89" s="106">
        <v>9590.4</v>
      </c>
      <c r="CP89" s="106">
        <v>4</v>
      </c>
      <c r="CQ89" s="106">
        <v>9590.4</v>
      </c>
      <c r="CR89" s="106">
        <v>3</v>
      </c>
      <c r="CS89" s="106">
        <v>7192.7999999999993</v>
      </c>
      <c r="CT89" s="106">
        <v>3</v>
      </c>
      <c r="CU89" s="106">
        <v>7192.7999999999993</v>
      </c>
    </row>
    <row r="90" spans="2:99" x14ac:dyDescent="0.2">
      <c r="C90" s="105" t="s">
        <v>256</v>
      </c>
      <c r="D90" s="106">
        <v>2</v>
      </c>
      <c r="E90" s="106">
        <v>4394.3999999999996</v>
      </c>
      <c r="F90" s="106">
        <v>3</v>
      </c>
      <c r="G90" s="106">
        <v>6591.5999999999995</v>
      </c>
      <c r="H90" s="106">
        <v>3</v>
      </c>
      <c r="I90" s="106">
        <v>6591.5999999999995</v>
      </c>
      <c r="J90" s="106">
        <v>5</v>
      </c>
      <c r="K90" s="106">
        <v>10986</v>
      </c>
      <c r="L90" s="106">
        <v>8</v>
      </c>
      <c r="M90" s="106">
        <v>17577.599999999999</v>
      </c>
      <c r="N90" s="106">
        <v>6</v>
      </c>
      <c r="O90" s="106">
        <v>13183.199999999999</v>
      </c>
      <c r="P90" s="106">
        <v>4</v>
      </c>
      <c r="Q90" s="106">
        <v>8788.7999999999993</v>
      </c>
      <c r="R90" s="106">
        <v>7</v>
      </c>
      <c r="S90" s="106">
        <v>15380.399999999998</v>
      </c>
      <c r="T90" s="106">
        <v>8</v>
      </c>
      <c r="U90" s="106">
        <v>17577.599999999999</v>
      </c>
      <c r="V90" s="106">
        <v>8</v>
      </c>
      <c r="W90" s="106">
        <v>17577.599999999999</v>
      </c>
      <c r="X90" s="106">
        <v>8</v>
      </c>
      <c r="Y90" s="106">
        <v>17577.599999999999</v>
      </c>
      <c r="Z90" s="106">
        <v>6</v>
      </c>
      <c r="AA90" s="106">
        <v>13183.199999999999</v>
      </c>
      <c r="AB90" s="106">
        <v>9</v>
      </c>
      <c r="AC90" s="106">
        <v>19774.8</v>
      </c>
      <c r="AD90" s="106">
        <v>8</v>
      </c>
      <c r="AE90" s="106">
        <v>17577.599999999999</v>
      </c>
      <c r="AF90" s="106">
        <v>9</v>
      </c>
      <c r="AG90" s="106">
        <v>19774.8</v>
      </c>
      <c r="AH90" s="106">
        <v>12</v>
      </c>
      <c r="AI90" s="106">
        <v>26366.399999999998</v>
      </c>
      <c r="AJ90" s="106">
        <v>9</v>
      </c>
      <c r="AK90" s="106">
        <v>19774.8</v>
      </c>
      <c r="AL90" s="106">
        <v>11</v>
      </c>
      <c r="AM90" s="106">
        <v>24169.199999999997</v>
      </c>
      <c r="AN90" s="106">
        <v>8</v>
      </c>
      <c r="AO90" s="106">
        <v>17577.599999999999</v>
      </c>
      <c r="AP90" s="106">
        <v>8</v>
      </c>
      <c r="AQ90" s="106">
        <v>17577.599999999999</v>
      </c>
      <c r="AR90" s="106">
        <v>13</v>
      </c>
      <c r="AS90" s="106">
        <v>28563.599999999999</v>
      </c>
      <c r="AT90" s="106">
        <v>19</v>
      </c>
      <c r="AU90" s="106">
        <v>41746.799999999996</v>
      </c>
      <c r="AV90" s="106">
        <v>23</v>
      </c>
      <c r="AW90" s="106">
        <v>50535.6</v>
      </c>
      <c r="AX90" s="106">
        <v>18</v>
      </c>
      <c r="AY90" s="106">
        <v>39549.599999999999</v>
      </c>
      <c r="AZ90" s="106">
        <v>4</v>
      </c>
      <c r="BA90" s="106">
        <v>8788.7999999999993</v>
      </c>
      <c r="BB90" s="106">
        <v>4</v>
      </c>
      <c r="BC90" s="106">
        <v>8788.7999999999993</v>
      </c>
      <c r="BD90" s="106">
        <v>4</v>
      </c>
      <c r="BE90" s="106">
        <v>8788.7999999999993</v>
      </c>
      <c r="BF90" s="106">
        <v>4</v>
      </c>
      <c r="BG90" s="106">
        <v>8788.7999999999993</v>
      </c>
      <c r="BH90" s="106">
        <v>7</v>
      </c>
      <c r="BI90" s="106">
        <v>15380.399999999998</v>
      </c>
      <c r="BJ90" s="106">
        <v>13</v>
      </c>
      <c r="BK90" s="106">
        <v>28563.599999999999</v>
      </c>
      <c r="BL90" s="106">
        <v>10</v>
      </c>
      <c r="BM90" s="106">
        <v>21972</v>
      </c>
      <c r="BN90" s="106">
        <v>9</v>
      </c>
      <c r="BO90" s="106">
        <v>19774.8</v>
      </c>
      <c r="BP90" s="106">
        <v>15</v>
      </c>
      <c r="BQ90" s="106">
        <v>32958</v>
      </c>
      <c r="BR90" s="106">
        <v>20</v>
      </c>
      <c r="BS90" s="106">
        <v>43944</v>
      </c>
      <c r="BT90" s="106">
        <v>17</v>
      </c>
      <c r="BU90" s="106">
        <v>37352.399999999994</v>
      </c>
      <c r="BV90" s="106">
        <v>19</v>
      </c>
      <c r="BW90" s="106">
        <v>41746.799999999996</v>
      </c>
      <c r="BX90" s="106">
        <v>8</v>
      </c>
      <c r="BY90" s="106">
        <v>17577.599999999999</v>
      </c>
      <c r="BZ90" s="106">
        <v>7</v>
      </c>
      <c r="CA90" s="106">
        <v>15380.399999999998</v>
      </c>
      <c r="CB90" s="106">
        <v>9</v>
      </c>
      <c r="CC90" s="106">
        <v>19774.8</v>
      </c>
      <c r="CD90" s="106">
        <v>7</v>
      </c>
      <c r="CE90" s="106">
        <v>15380.399999999998</v>
      </c>
      <c r="CF90" s="106">
        <v>4</v>
      </c>
      <c r="CG90" s="106">
        <v>8788.7999999999993</v>
      </c>
      <c r="CH90" s="106">
        <v>5</v>
      </c>
      <c r="CI90" s="106">
        <v>10986</v>
      </c>
      <c r="CJ90" s="106">
        <v>6</v>
      </c>
      <c r="CK90" s="106">
        <v>13183.199999999999</v>
      </c>
      <c r="CL90" s="106">
        <v>3</v>
      </c>
      <c r="CM90" s="106">
        <v>6591.5999999999995</v>
      </c>
      <c r="CN90" s="106">
        <v>4</v>
      </c>
      <c r="CO90" s="106">
        <v>8788.7999999999993</v>
      </c>
      <c r="CP90" s="106">
        <v>4</v>
      </c>
      <c r="CQ90" s="106">
        <v>8788.7999999999993</v>
      </c>
      <c r="CR90" s="106">
        <v>3</v>
      </c>
      <c r="CS90" s="106">
        <v>6591.5999999999995</v>
      </c>
      <c r="CT90" s="106">
        <v>2</v>
      </c>
      <c r="CU90" s="106">
        <v>4394.3999999999996</v>
      </c>
    </row>
    <row r="91" spans="2:99" x14ac:dyDescent="0.2">
      <c r="C91" s="105" t="s">
        <v>257</v>
      </c>
      <c r="D91" s="106">
        <v>2</v>
      </c>
      <c r="E91" s="106">
        <v>4593.5999999999995</v>
      </c>
      <c r="F91" s="106">
        <v>3</v>
      </c>
      <c r="G91" s="106">
        <v>6890.4</v>
      </c>
      <c r="H91" s="106">
        <v>3</v>
      </c>
      <c r="I91" s="106">
        <v>6890.4</v>
      </c>
      <c r="J91" s="106">
        <v>5</v>
      </c>
      <c r="K91" s="106">
        <v>11483.999999999998</v>
      </c>
      <c r="L91" s="106">
        <v>8</v>
      </c>
      <c r="M91" s="106">
        <v>18374.399999999998</v>
      </c>
      <c r="N91" s="106">
        <v>7</v>
      </c>
      <c r="O91" s="106">
        <v>16077.599999999999</v>
      </c>
      <c r="P91" s="106">
        <v>5</v>
      </c>
      <c r="Q91" s="106">
        <v>11483.999999999998</v>
      </c>
      <c r="R91" s="106">
        <v>6</v>
      </c>
      <c r="S91" s="106">
        <v>13780.8</v>
      </c>
      <c r="T91" s="106">
        <v>8</v>
      </c>
      <c r="U91" s="106">
        <v>18374.399999999998</v>
      </c>
      <c r="V91" s="106">
        <v>7</v>
      </c>
      <c r="W91" s="106">
        <v>16077.599999999999</v>
      </c>
      <c r="X91" s="106">
        <v>7</v>
      </c>
      <c r="Y91" s="106">
        <v>16077.599999999999</v>
      </c>
      <c r="Z91" s="106">
        <v>7</v>
      </c>
      <c r="AA91" s="106">
        <v>16077.599999999999</v>
      </c>
      <c r="AB91" s="106">
        <v>7</v>
      </c>
      <c r="AC91" s="106">
        <v>16077.599999999999</v>
      </c>
      <c r="AD91" s="106">
        <v>9</v>
      </c>
      <c r="AE91" s="106">
        <v>20671.199999999997</v>
      </c>
      <c r="AF91" s="106">
        <v>10</v>
      </c>
      <c r="AG91" s="106">
        <v>22967.999999999996</v>
      </c>
      <c r="AH91" s="106">
        <v>12</v>
      </c>
      <c r="AI91" s="106">
        <v>27561.599999999999</v>
      </c>
      <c r="AJ91" s="106">
        <v>8</v>
      </c>
      <c r="AK91" s="106">
        <v>18374.399999999998</v>
      </c>
      <c r="AL91" s="106">
        <v>10</v>
      </c>
      <c r="AM91" s="106">
        <v>22967.999999999996</v>
      </c>
      <c r="AN91" s="106">
        <v>9</v>
      </c>
      <c r="AO91" s="106">
        <v>20671.199999999997</v>
      </c>
      <c r="AP91" s="106">
        <v>7</v>
      </c>
      <c r="AQ91" s="106">
        <v>16077.599999999999</v>
      </c>
      <c r="AR91" s="106">
        <v>11</v>
      </c>
      <c r="AS91" s="106">
        <v>25264.799999999996</v>
      </c>
      <c r="AT91" s="106">
        <v>20</v>
      </c>
      <c r="AU91" s="106">
        <v>45935.999999999993</v>
      </c>
      <c r="AV91" s="106">
        <v>22</v>
      </c>
      <c r="AW91" s="106">
        <v>50529.599999999991</v>
      </c>
      <c r="AX91" s="106">
        <v>18</v>
      </c>
      <c r="AY91" s="106">
        <v>41342.399999999994</v>
      </c>
      <c r="AZ91" s="106">
        <v>3</v>
      </c>
      <c r="BA91" s="106">
        <v>6890.4</v>
      </c>
      <c r="BB91" s="106">
        <v>4</v>
      </c>
      <c r="BC91" s="106">
        <v>9187.1999999999989</v>
      </c>
      <c r="BD91" s="106">
        <v>4</v>
      </c>
      <c r="BE91" s="106">
        <v>9187.1999999999989</v>
      </c>
      <c r="BF91" s="106">
        <v>4</v>
      </c>
      <c r="BG91" s="106">
        <v>9187.1999999999989</v>
      </c>
      <c r="BH91" s="106">
        <v>6</v>
      </c>
      <c r="BI91" s="106">
        <v>13780.8</v>
      </c>
      <c r="BJ91" s="106">
        <v>11</v>
      </c>
      <c r="BK91" s="106">
        <v>25264.799999999996</v>
      </c>
      <c r="BL91" s="106">
        <v>9</v>
      </c>
      <c r="BM91" s="106">
        <v>20671.199999999997</v>
      </c>
      <c r="BN91" s="106">
        <v>7</v>
      </c>
      <c r="BO91" s="106">
        <v>16077.599999999999</v>
      </c>
      <c r="BP91" s="106">
        <v>13</v>
      </c>
      <c r="BQ91" s="106">
        <v>29858.399999999998</v>
      </c>
      <c r="BR91" s="106">
        <v>18</v>
      </c>
      <c r="BS91" s="106">
        <v>41342.399999999994</v>
      </c>
      <c r="BT91" s="106">
        <v>19</v>
      </c>
      <c r="BU91" s="106">
        <v>43639.199999999997</v>
      </c>
      <c r="BV91" s="106">
        <v>19</v>
      </c>
      <c r="BW91" s="106">
        <v>43639.199999999997</v>
      </c>
      <c r="BX91" s="106">
        <v>9</v>
      </c>
      <c r="BY91" s="106">
        <v>20671.199999999997</v>
      </c>
      <c r="BZ91" s="106">
        <v>7</v>
      </c>
      <c r="CA91" s="106">
        <v>16077.599999999999</v>
      </c>
      <c r="CB91" s="106">
        <v>9</v>
      </c>
      <c r="CC91" s="106">
        <v>20671.199999999997</v>
      </c>
      <c r="CD91" s="106">
        <v>8</v>
      </c>
      <c r="CE91" s="106">
        <v>18374.399999999998</v>
      </c>
      <c r="CF91" s="106">
        <v>4</v>
      </c>
      <c r="CG91" s="106">
        <v>9187.1999999999989</v>
      </c>
      <c r="CH91" s="106">
        <v>5</v>
      </c>
      <c r="CI91" s="106">
        <v>11483.999999999998</v>
      </c>
      <c r="CJ91" s="106">
        <v>5</v>
      </c>
      <c r="CK91" s="106">
        <v>11483.999999999998</v>
      </c>
      <c r="CL91" s="106">
        <v>3</v>
      </c>
      <c r="CM91" s="106">
        <v>6890.4</v>
      </c>
      <c r="CN91" s="106">
        <v>4</v>
      </c>
      <c r="CO91" s="106">
        <v>9187.1999999999989</v>
      </c>
      <c r="CP91" s="106">
        <v>4</v>
      </c>
      <c r="CQ91" s="106">
        <v>9187.1999999999989</v>
      </c>
      <c r="CR91" s="106">
        <v>3</v>
      </c>
      <c r="CS91" s="106">
        <v>6890.4</v>
      </c>
      <c r="CT91" s="106">
        <v>3</v>
      </c>
      <c r="CU91" s="106">
        <v>6890.4</v>
      </c>
    </row>
    <row r="92" spans="2:99" x14ac:dyDescent="0.2">
      <c r="C92" s="105" t="s">
        <v>258</v>
      </c>
      <c r="D92" s="106">
        <v>2</v>
      </c>
      <c r="E92" s="106">
        <v>2841.6</v>
      </c>
      <c r="F92" s="106">
        <v>3</v>
      </c>
      <c r="G92" s="106">
        <v>4262.3999999999996</v>
      </c>
      <c r="H92" s="106">
        <v>3</v>
      </c>
      <c r="I92" s="106">
        <v>4262.3999999999996</v>
      </c>
      <c r="J92" s="106">
        <v>5</v>
      </c>
      <c r="K92" s="106">
        <v>7104</v>
      </c>
      <c r="L92" s="106">
        <v>9</v>
      </c>
      <c r="M92" s="106">
        <v>12787.199999999999</v>
      </c>
      <c r="N92" s="106">
        <v>8</v>
      </c>
      <c r="O92" s="106">
        <v>11366.4</v>
      </c>
      <c r="P92" s="106">
        <v>5</v>
      </c>
      <c r="Q92" s="106">
        <v>7104</v>
      </c>
      <c r="R92" s="106">
        <v>6</v>
      </c>
      <c r="S92" s="106">
        <v>8524.7999999999993</v>
      </c>
      <c r="T92" s="106">
        <v>8</v>
      </c>
      <c r="U92" s="106">
        <v>11366.4</v>
      </c>
      <c r="V92" s="106">
        <v>9</v>
      </c>
      <c r="W92" s="106">
        <v>12787.199999999999</v>
      </c>
      <c r="X92" s="106">
        <v>8</v>
      </c>
      <c r="Y92" s="106">
        <v>11366.4</v>
      </c>
      <c r="Z92" s="106">
        <v>7</v>
      </c>
      <c r="AA92" s="106">
        <v>9945.6</v>
      </c>
      <c r="AB92" s="106">
        <v>9</v>
      </c>
      <c r="AC92" s="106">
        <v>12787.199999999999</v>
      </c>
      <c r="AD92" s="106">
        <v>9</v>
      </c>
      <c r="AE92" s="106">
        <v>12787.199999999999</v>
      </c>
      <c r="AF92" s="106">
        <v>10</v>
      </c>
      <c r="AG92" s="106">
        <v>14208</v>
      </c>
      <c r="AH92" s="106">
        <v>14</v>
      </c>
      <c r="AI92" s="106">
        <v>19891.2</v>
      </c>
      <c r="AJ92" s="106">
        <v>8</v>
      </c>
      <c r="AK92" s="106">
        <v>11366.4</v>
      </c>
      <c r="AL92" s="106">
        <v>12</v>
      </c>
      <c r="AM92" s="106">
        <v>17049.599999999999</v>
      </c>
      <c r="AN92" s="106">
        <v>10</v>
      </c>
      <c r="AO92" s="106">
        <v>14208</v>
      </c>
      <c r="AP92" s="106">
        <v>9</v>
      </c>
      <c r="AQ92" s="106">
        <v>12787.199999999999</v>
      </c>
      <c r="AR92" s="106">
        <v>14</v>
      </c>
      <c r="AS92" s="106">
        <v>19891.2</v>
      </c>
      <c r="AT92" s="106">
        <v>21</v>
      </c>
      <c r="AU92" s="106">
        <v>29836.799999999999</v>
      </c>
      <c r="AV92" s="106">
        <v>22</v>
      </c>
      <c r="AW92" s="106">
        <v>31257.599999999999</v>
      </c>
      <c r="AX92" s="106">
        <v>22</v>
      </c>
      <c r="AY92" s="106">
        <v>31257.599999999999</v>
      </c>
      <c r="AZ92" s="106">
        <v>4</v>
      </c>
      <c r="BA92" s="106">
        <v>5683.2</v>
      </c>
      <c r="BB92" s="106">
        <v>4</v>
      </c>
      <c r="BC92" s="106">
        <v>5683.2</v>
      </c>
      <c r="BD92" s="106">
        <v>5</v>
      </c>
      <c r="BE92" s="106">
        <v>7104</v>
      </c>
      <c r="BF92" s="106">
        <v>4</v>
      </c>
      <c r="BG92" s="106">
        <v>5683.2</v>
      </c>
      <c r="BH92" s="106">
        <v>7</v>
      </c>
      <c r="BI92" s="106">
        <v>9945.6</v>
      </c>
      <c r="BJ92" s="106">
        <v>12</v>
      </c>
      <c r="BK92" s="106">
        <v>17049.599999999999</v>
      </c>
      <c r="BL92" s="106">
        <v>9</v>
      </c>
      <c r="BM92" s="106">
        <v>12787.199999999999</v>
      </c>
      <c r="BN92" s="106">
        <v>9</v>
      </c>
      <c r="BO92" s="106">
        <v>12787.199999999999</v>
      </c>
      <c r="BP92" s="106">
        <v>15</v>
      </c>
      <c r="BQ92" s="106">
        <v>21312</v>
      </c>
      <c r="BR92" s="106">
        <v>24</v>
      </c>
      <c r="BS92" s="106">
        <v>34099.199999999997</v>
      </c>
      <c r="BT92" s="106">
        <v>19</v>
      </c>
      <c r="BU92" s="106">
        <v>26995.200000000001</v>
      </c>
      <c r="BV92" s="106">
        <v>20</v>
      </c>
      <c r="BW92" s="106">
        <v>28416</v>
      </c>
      <c r="BX92" s="106">
        <v>9</v>
      </c>
      <c r="BY92" s="106">
        <v>12787.199999999999</v>
      </c>
      <c r="BZ92" s="106">
        <v>8</v>
      </c>
      <c r="CA92" s="106">
        <v>11366.4</v>
      </c>
      <c r="CB92" s="106">
        <v>10</v>
      </c>
      <c r="CC92" s="106">
        <v>14208</v>
      </c>
      <c r="CD92" s="106">
        <v>9</v>
      </c>
      <c r="CE92" s="106">
        <v>12787.199999999999</v>
      </c>
      <c r="CF92" s="106">
        <v>4</v>
      </c>
      <c r="CG92" s="106">
        <v>5683.2</v>
      </c>
      <c r="CH92" s="106">
        <v>5</v>
      </c>
      <c r="CI92" s="106">
        <v>7104</v>
      </c>
      <c r="CJ92" s="106">
        <v>6</v>
      </c>
      <c r="CK92" s="106">
        <v>8524.7999999999993</v>
      </c>
      <c r="CL92" s="106">
        <v>3</v>
      </c>
      <c r="CM92" s="106">
        <v>4262.3999999999996</v>
      </c>
      <c r="CN92" s="106">
        <v>4</v>
      </c>
      <c r="CO92" s="106">
        <v>5683.2</v>
      </c>
      <c r="CP92" s="106">
        <v>5</v>
      </c>
      <c r="CQ92" s="106">
        <v>7104</v>
      </c>
      <c r="CR92" s="106">
        <v>3</v>
      </c>
      <c r="CS92" s="106">
        <v>4262.3999999999996</v>
      </c>
      <c r="CT92" s="106">
        <v>3</v>
      </c>
      <c r="CU92" s="106">
        <v>4262.3999999999996</v>
      </c>
    </row>
    <row r="93" spans="2:99" x14ac:dyDescent="0.2">
      <c r="C93" s="105" t="s">
        <v>259</v>
      </c>
      <c r="D93" s="106">
        <v>3</v>
      </c>
      <c r="E93" s="106">
        <v>5317.2</v>
      </c>
      <c r="F93" s="106">
        <v>3</v>
      </c>
      <c r="G93" s="106">
        <v>5317.2</v>
      </c>
      <c r="H93" s="106">
        <v>3</v>
      </c>
      <c r="I93" s="106">
        <v>5317.2</v>
      </c>
      <c r="J93" s="106">
        <v>5</v>
      </c>
      <c r="K93" s="106">
        <v>8862</v>
      </c>
      <c r="L93" s="106">
        <v>9</v>
      </c>
      <c r="M93" s="106">
        <v>15951.599999999999</v>
      </c>
      <c r="N93" s="106">
        <v>7</v>
      </c>
      <c r="O93" s="106">
        <v>12406.8</v>
      </c>
      <c r="P93" s="106">
        <v>4</v>
      </c>
      <c r="Q93" s="106">
        <v>7089.5999999999995</v>
      </c>
      <c r="R93" s="106">
        <v>7</v>
      </c>
      <c r="S93" s="106">
        <v>12406.8</v>
      </c>
      <c r="T93" s="106">
        <v>8</v>
      </c>
      <c r="U93" s="106">
        <v>14179.199999999999</v>
      </c>
      <c r="V93" s="106">
        <v>7</v>
      </c>
      <c r="W93" s="106">
        <v>12406.8</v>
      </c>
      <c r="X93" s="106">
        <v>8</v>
      </c>
      <c r="Y93" s="106">
        <v>14179.199999999999</v>
      </c>
      <c r="Z93" s="106">
        <v>7</v>
      </c>
      <c r="AA93" s="106">
        <v>12406.8</v>
      </c>
      <c r="AB93" s="106">
        <v>8</v>
      </c>
      <c r="AC93" s="106">
        <v>14179.199999999999</v>
      </c>
      <c r="AD93" s="106">
        <v>9</v>
      </c>
      <c r="AE93" s="106">
        <v>15951.599999999999</v>
      </c>
      <c r="AF93" s="106">
        <v>10</v>
      </c>
      <c r="AG93" s="106">
        <v>17724</v>
      </c>
      <c r="AH93" s="106">
        <v>13</v>
      </c>
      <c r="AI93" s="106">
        <v>23041.199999999997</v>
      </c>
      <c r="AJ93" s="106">
        <v>8</v>
      </c>
      <c r="AK93" s="106">
        <v>14179.199999999999</v>
      </c>
      <c r="AL93" s="106">
        <v>11</v>
      </c>
      <c r="AM93" s="106">
        <v>19496.399999999998</v>
      </c>
      <c r="AN93" s="106">
        <v>10</v>
      </c>
      <c r="AO93" s="106">
        <v>17724</v>
      </c>
      <c r="AP93" s="106">
        <v>8</v>
      </c>
      <c r="AQ93" s="106">
        <v>14179.199999999999</v>
      </c>
      <c r="AR93" s="106">
        <v>14</v>
      </c>
      <c r="AS93" s="106">
        <v>24813.599999999999</v>
      </c>
      <c r="AT93" s="106">
        <v>20</v>
      </c>
      <c r="AU93" s="106">
        <v>35448</v>
      </c>
      <c r="AV93" s="106">
        <v>23</v>
      </c>
      <c r="AW93" s="106">
        <v>40765.199999999997</v>
      </c>
      <c r="AX93" s="106">
        <v>21</v>
      </c>
      <c r="AY93" s="106">
        <v>37220.399999999994</v>
      </c>
      <c r="AZ93" s="106">
        <v>3</v>
      </c>
      <c r="BA93" s="106">
        <v>5317.2</v>
      </c>
      <c r="BB93" s="106">
        <v>4</v>
      </c>
      <c r="BC93" s="106">
        <v>7089.5999999999995</v>
      </c>
      <c r="BD93" s="106">
        <v>4</v>
      </c>
      <c r="BE93" s="106">
        <v>7089.5999999999995</v>
      </c>
      <c r="BF93" s="106">
        <v>4</v>
      </c>
      <c r="BG93" s="106">
        <v>7089.5999999999995</v>
      </c>
      <c r="BH93" s="106">
        <v>6</v>
      </c>
      <c r="BI93" s="106">
        <v>10634.4</v>
      </c>
      <c r="BJ93" s="106">
        <v>12</v>
      </c>
      <c r="BK93" s="106">
        <v>21268.799999999999</v>
      </c>
      <c r="BL93" s="106">
        <v>9</v>
      </c>
      <c r="BM93" s="106">
        <v>15951.599999999999</v>
      </c>
      <c r="BN93" s="106">
        <v>9</v>
      </c>
      <c r="BO93" s="106">
        <v>15951.599999999999</v>
      </c>
      <c r="BP93" s="106">
        <v>15</v>
      </c>
      <c r="BQ93" s="106">
        <v>26585.999999999996</v>
      </c>
      <c r="BR93" s="106">
        <v>20</v>
      </c>
      <c r="BS93" s="106">
        <v>35448</v>
      </c>
      <c r="BT93" s="106">
        <v>19</v>
      </c>
      <c r="BU93" s="106">
        <v>33675.599999999999</v>
      </c>
      <c r="BV93" s="106">
        <v>20</v>
      </c>
      <c r="BW93" s="106">
        <v>35448</v>
      </c>
      <c r="BX93" s="106">
        <v>9</v>
      </c>
      <c r="BY93" s="106">
        <v>15951.599999999999</v>
      </c>
      <c r="BZ93" s="106">
        <v>6</v>
      </c>
      <c r="CA93" s="106">
        <v>10634.4</v>
      </c>
      <c r="CB93" s="106">
        <v>10</v>
      </c>
      <c r="CC93" s="106">
        <v>17724</v>
      </c>
      <c r="CD93" s="106">
        <v>7</v>
      </c>
      <c r="CE93" s="106">
        <v>12406.8</v>
      </c>
      <c r="CF93" s="106">
        <v>4</v>
      </c>
      <c r="CG93" s="106">
        <v>7089.5999999999995</v>
      </c>
      <c r="CH93" s="106">
        <v>6</v>
      </c>
      <c r="CI93" s="106">
        <v>10634.4</v>
      </c>
      <c r="CJ93" s="106">
        <v>6</v>
      </c>
      <c r="CK93" s="106">
        <v>10634.4</v>
      </c>
      <c r="CL93" s="106">
        <v>3</v>
      </c>
      <c r="CM93" s="106">
        <v>5317.2</v>
      </c>
      <c r="CN93" s="106">
        <v>4</v>
      </c>
      <c r="CO93" s="106">
        <v>7089.5999999999995</v>
      </c>
      <c r="CP93" s="106">
        <v>4</v>
      </c>
      <c r="CQ93" s="106">
        <v>7089.5999999999995</v>
      </c>
      <c r="CR93" s="106">
        <v>3</v>
      </c>
      <c r="CS93" s="106">
        <v>5317.2</v>
      </c>
      <c r="CT93" s="106">
        <v>3</v>
      </c>
      <c r="CU93" s="106">
        <v>5317.2</v>
      </c>
    </row>
    <row r="94" spans="2:99" x14ac:dyDescent="0.2">
      <c r="C94" s="105" t="s">
        <v>260</v>
      </c>
      <c r="D94" s="106">
        <v>2</v>
      </c>
      <c r="E94" s="106">
        <v>4790.3999999999996</v>
      </c>
      <c r="F94" s="106">
        <v>3</v>
      </c>
      <c r="G94" s="106">
        <v>7185.5999999999995</v>
      </c>
      <c r="H94" s="106">
        <v>3</v>
      </c>
      <c r="I94" s="106">
        <v>7185.5999999999995</v>
      </c>
      <c r="J94" s="106">
        <v>5</v>
      </c>
      <c r="K94" s="106">
        <v>11976</v>
      </c>
      <c r="L94" s="106">
        <v>9</v>
      </c>
      <c r="M94" s="106">
        <v>21556.799999999999</v>
      </c>
      <c r="N94" s="106">
        <v>7</v>
      </c>
      <c r="O94" s="106">
        <v>16766.399999999998</v>
      </c>
      <c r="P94" s="106">
        <v>4</v>
      </c>
      <c r="Q94" s="106">
        <v>9580.7999999999993</v>
      </c>
      <c r="R94" s="106">
        <v>7</v>
      </c>
      <c r="S94" s="106">
        <v>16766.399999999998</v>
      </c>
      <c r="T94" s="106">
        <v>7</v>
      </c>
      <c r="U94" s="106">
        <v>16766.399999999998</v>
      </c>
      <c r="V94" s="106">
        <v>8</v>
      </c>
      <c r="W94" s="106">
        <v>19161.599999999999</v>
      </c>
      <c r="X94" s="106">
        <v>7</v>
      </c>
      <c r="Y94" s="106">
        <v>16766.399999999998</v>
      </c>
      <c r="Z94" s="106">
        <v>7</v>
      </c>
      <c r="AA94" s="106">
        <v>16766.399999999998</v>
      </c>
      <c r="AB94" s="106">
        <v>7</v>
      </c>
      <c r="AC94" s="106">
        <v>16766.399999999998</v>
      </c>
      <c r="AD94" s="106">
        <v>9</v>
      </c>
      <c r="AE94" s="106">
        <v>21556.799999999999</v>
      </c>
      <c r="AF94" s="106">
        <v>9</v>
      </c>
      <c r="AG94" s="106">
        <v>21556.799999999999</v>
      </c>
      <c r="AH94" s="106">
        <v>12</v>
      </c>
      <c r="AI94" s="106">
        <v>28742.399999999998</v>
      </c>
      <c r="AJ94" s="106">
        <v>8</v>
      </c>
      <c r="AK94" s="106">
        <v>19161.599999999999</v>
      </c>
      <c r="AL94" s="106">
        <v>10</v>
      </c>
      <c r="AM94" s="106">
        <v>23952</v>
      </c>
      <c r="AN94" s="106">
        <v>10</v>
      </c>
      <c r="AO94" s="106">
        <v>23952</v>
      </c>
      <c r="AP94" s="106">
        <v>8</v>
      </c>
      <c r="AQ94" s="106">
        <v>19161.599999999999</v>
      </c>
      <c r="AR94" s="106">
        <v>13</v>
      </c>
      <c r="AS94" s="106">
        <v>31137.599999999999</v>
      </c>
      <c r="AT94" s="106">
        <v>18</v>
      </c>
      <c r="AU94" s="106">
        <v>43113.599999999999</v>
      </c>
      <c r="AV94" s="106">
        <v>20</v>
      </c>
      <c r="AW94" s="106">
        <v>47904</v>
      </c>
      <c r="AX94" s="106">
        <v>20</v>
      </c>
      <c r="AY94" s="106">
        <v>47904</v>
      </c>
      <c r="AZ94" s="106">
        <v>3</v>
      </c>
      <c r="BA94" s="106">
        <v>7185.5999999999995</v>
      </c>
      <c r="BB94" s="106">
        <v>4</v>
      </c>
      <c r="BC94" s="106">
        <v>9580.7999999999993</v>
      </c>
      <c r="BD94" s="106">
        <v>4</v>
      </c>
      <c r="BE94" s="106">
        <v>9580.7999999999993</v>
      </c>
      <c r="BF94" s="106">
        <v>4</v>
      </c>
      <c r="BG94" s="106">
        <v>9580.7999999999993</v>
      </c>
      <c r="BH94" s="106">
        <v>7</v>
      </c>
      <c r="BI94" s="106">
        <v>16766.399999999998</v>
      </c>
      <c r="BJ94" s="106">
        <v>11</v>
      </c>
      <c r="BK94" s="106">
        <v>26347.199999999997</v>
      </c>
      <c r="BL94" s="106">
        <v>9</v>
      </c>
      <c r="BM94" s="106">
        <v>21556.799999999999</v>
      </c>
      <c r="BN94" s="106">
        <v>7</v>
      </c>
      <c r="BO94" s="106">
        <v>16766.399999999998</v>
      </c>
      <c r="BP94" s="106">
        <v>14</v>
      </c>
      <c r="BQ94" s="106">
        <v>33532.799999999996</v>
      </c>
      <c r="BR94" s="106">
        <v>20</v>
      </c>
      <c r="BS94" s="106">
        <v>47904</v>
      </c>
      <c r="BT94" s="106">
        <v>20</v>
      </c>
      <c r="BU94" s="106">
        <v>47904</v>
      </c>
      <c r="BV94" s="106">
        <v>18</v>
      </c>
      <c r="BW94" s="106">
        <v>43113.599999999999</v>
      </c>
      <c r="BX94" s="106">
        <v>9</v>
      </c>
      <c r="BY94" s="106">
        <v>21556.799999999999</v>
      </c>
      <c r="BZ94" s="106">
        <v>7</v>
      </c>
      <c r="CA94" s="106">
        <v>16766.399999999998</v>
      </c>
      <c r="CB94" s="106">
        <v>9</v>
      </c>
      <c r="CC94" s="106">
        <v>21556.799999999999</v>
      </c>
      <c r="CD94" s="106">
        <v>7</v>
      </c>
      <c r="CE94" s="106">
        <v>16766.399999999998</v>
      </c>
      <c r="CF94" s="106">
        <v>4</v>
      </c>
      <c r="CG94" s="106">
        <v>9580.7999999999993</v>
      </c>
      <c r="CH94" s="106">
        <v>5</v>
      </c>
      <c r="CI94" s="106">
        <v>11976</v>
      </c>
      <c r="CJ94" s="106">
        <v>5</v>
      </c>
      <c r="CK94" s="106">
        <v>11976</v>
      </c>
      <c r="CL94" s="106">
        <v>3</v>
      </c>
      <c r="CM94" s="106">
        <v>7185.5999999999995</v>
      </c>
      <c r="CN94" s="106">
        <v>4</v>
      </c>
      <c r="CO94" s="106">
        <v>9580.7999999999993</v>
      </c>
      <c r="CP94" s="106">
        <v>4</v>
      </c>
      <c r="CQ94" s="106">
        <v>9580.7999999999993</v>
      </c>
      <c r="CR94" s="106">
        <v>3</v>
      </c>
      <c r="CS94" s="106">
        <v>7185.5999999999995</v>
      </c>
      <c r="CT94" s="106">
        <v>2</v>
      </c>
      <c r="CU94" s="106">
        <v>4790.3999999999996</v>
      </c>
    </row>
    <row r="95" spans="2:99" x14ac:dyDescent="0.2">
      <c r="B95" s="105" t="s">
        <v>132</v>
      </c>
      <c r="C95" s="105" t="s">
        <v>261</v>
      </c>
      <c r="D95" s="106">
        <v>16</v>
      </c>
      <c r="E95" s="106">
        <v>27724.799999999999</v>
      </c>
      <c r="F95" s="106">
        <v>15</v>
      </c>
      <c r="G95" s="106">
        <v>25992</v>
      </c>
      <c r="H95" s="106">
        <v>9</v>
      </c>
      <c r="I95" s="106">
        <v>15595.199999999999</v>
      </c>
      <c r="J95" s="106">
        <v>15</v>
      </c>
      <c r="K95" s="106">
        <v>25992</v>
      </c>
      <c r="L95" s="106">
        <v>22</v>
      </c>
      <c r="M95" s="106">
        <v>38121.599999999999</v>
      </c>
      <c r="N95" s="106">
        <v>26</v>
      </c>
      <c r="O95" s="106">
        <v>45052.799999999996</v>
      </c>
      <c r="P95" s="106">
        <v>26</v>
      </c>
      <c r="Q95" s="106">
        <v>45052.799999999996</v>
      </c>
      <c r="R95" s="106">
        <v>29</v>
      </c>
      <c r="S95" s="106">
        <v>50251.199999999997</v>
      </c>
      <c r="T95" s="106">
        <v>12</v>
      </c>
      <c r="U95" s="106">
        <v>20793.599999999999</v>
      </c>
      <c r="V95" s="106">
        <v>12</v>
      </c>
      <c r="W95" s="106">
        <v>20793.599999999999</v>
      </c>
      <c r="X95" s="106">
        <v>14</v>
      </c>
      <c r="Y95" s="106">
        <v>24259.200000000001</v>
      </c>
      <c r="Z95" s="106">
        <v>11</v>
      </c>
      <c r="AA95" s="106">
        <v>19060.8</v>
      </c>
      <c r="AB95" s="106">
        <v>6</v>
      </c>
      <c r="AC95" s="106">
        <v>10396.799999999999</v>
      </c>
      <c r="AD95" s="106">
        <v>8</v>
      </c>
      <c r="AE95" s="106">
        <v>13862.4</v>
      </c>
      <c r="AF95" s="106">
        <v>6</v>
      </c>
      <c r="AG95" s="106">
        <v>10396.799999999999</v>
      </c>
      <c r="AH95" s="106">
        <v>8</v>
      </c>
      <c r="AI95" s="106">
        <v>13862.4</v>
      </c>
      <c r="AJ95" s="106">
        <v>8</v>
      </c>
      <c r="AK95" s="106">
        <v>13862.4</v>
      </c>
      <c r="AL95" s="106">
        <v>6</v>
      </c>
      <c r="AM95" s="106">
        <v>10396.799999999999</v>
      </c>
      <c r="AN95" s="106">
        <v>7</v>
      </c>
      <c r="AO95" s="106">
        <v>12129.6</v>
      </c>
      <c r="AP95" s="106">
        <v>11</v>
      </c>
      <c r="AQ95" s="106">
        <v>19060.8</v>
      </c>
      <c r="AR95" s="106">
        <v>4</v>
      </c>
      <c r="AS95" s="106">
        <v>6931.2</v>
      </c>
      <c r="AT95" s="106">
        <v>3</v>
      </c>
      <c r="AU95" s="106">
        <v>5198.3999999999996</v>
      </c>
      <c r="AV95" s="106">
        <v>5</v>
      </c>
      <c r="AW95" s="106">
        <v>8664</v>
      </c>
      <c r="AX95" s="106">
        <v>4</v>
      </c>
      <c r="AY95" s="106">
        <v>6931.2</v>
      </c>
      <c r="AZ95" s="106">
        <v>8</v>
      </c>
      <c r="BA95" s="106">
        <v>13862.4</v>
      </c>
      <c r="BB95" s="106">
        <v>6</v>
      </c>
      <c r="BC95" s="106">
        <v>10396.799999999999</v>
      </c>
      <c r="BD95" s="106">
        <v>9</v>
      </c>
      <c r="BE95" s="106">
        <v>15595.199999999999</v>
      </c>
      <c r="BF95" s="106">
        <v>8</v>
      </c>
      <c r="BG95" s="106">
        <v>13862.4</v>
      </c>
      <c r="BH95" s="106">
        <v>7</v>
      </c>
      <c r="BI95" s="106">
        <v>12129.6</v>
      </c>
      <c r="BJ95" s="106">
        <v>10</v>
      </c>
      <c r="BK95" s="106">
        <v>17328</v>
      </c>
      <c r="BL95" s="106">
        <v>8</v>
      </c>
      <c r="BM95" s="106">
        <v>13862.4</v>
      </c>
      <c r="BN95" s="106">
        <v>7</v>
      </c>
      <c r="BO95" s="106">
        <v>12129.6</v>
      </c>
      <c r="BP95" s="106">
        <v>4</v>
      </c>
      <c r="BQ95" s="106">
        <v>6931.2</v>
      </c>
      <c r="BR95" s="106">
        <v>4</v>
      </c>
      <c r="BS95" s="106">
        <v>6931.2</v>
      </c>
      <c r="BT95" s="106">
        <v>3</v>
      </c>
      <c r="BU95" s="106">
        <v>5198.3999999999996</v>
      </c>
      <c r="BV95" s="106">
        <v>4</v>
      </c>
      <c r="BW95" s="106">
        <v>6931.2</v>
      </c>
      <c r="BX95" s="106">
        <v>11</v>
      </c>
      <c r="BY95" s="106">
        <v>19060.8</v>
      </c>
      <c r="BZ95" s="106">
        <v>11</v>
      </c>
      <c r="CA95" s="106">
        <v>19060.8</v>
      </c>
      <c r="CB95" s="106">
        <v>7</v>
      </c>
      <c r="CC95" s="106">
        <v>12129.6</v>
      </c>
      <c r="CD95" s="106">
        <v>8</v>
      </c>
      <c r="CE95" s="106">
        <v>13862.4</v>
      </c>
      <c r="CF95" s="106">
        <v>5</v>
      </c>
      <c r="CG95" s="106">
        <v>8664</v>
      </c>
      <c r="CH95" s="106">
        <v>4</v>
      </c>
      <c r="CI95" s="106">
        <v>6931.2</v>
      </c>
      <c r="CJ95" s="106">
        <v>5</v>
      </c>
      <c r="CK95" s="106">
        <v>8664</v>
      </c>
      <c r="CL95" s="106">
        <v>7</v>
      </c>
      <c r="CM95" s="106">
        <v>12129.6</v>
      </c>
      <c r="CN95" s="106">
        <v>12</v>
      </c>
      <c r="CO95" s="106">
        <v>20793.599999999999</v>
      </c>
      <c r="CP95" s="106">
        <v>10</v>
      </c>
      <c r="CQ95" s="106">
        <v>17328</v>
      </c>
      <c r="CR95" s="106">
        <v>8</v>
      </c>
      <c r="CS95" s="106">
        <v>13862.4</v>
      </c>
      <c r="CT95" s="106">
        <v>5</v>
      </c>
      <c r="CU95" s="106">
        <v>8664</v>
      </c>
    </row>
    <row r="96" spans="2:99" x14ac:dyDescent="0.2">
      <c r="C96" s="105" t="s">
        <v>262</v>
      </c>
      <c r="D96" s="106">
        <v>16</v>
      </c>
      <c r="E96" s="106">
        <v>13171.199999999999</v>
      </c>
      <c r="F96" s="106">
        <v>15</v>
      </c>
      <c r="G96" s="106">
        <v>12347.999999999998</v>
      </c>
      <c r="H96" s="106">
        <v>10</v>
      </c>
      <c r="I96" s="106">
        <v>8232</v>
      </c>
      <c r="J96" s="106">
        <v>17</v>
      </c>
      <c r="K96" s="106">
        <v>13994.4</v>
      </c>
      <c r="L96" s="106">
        <v>27</v>
      </c>
      <c r="M96" s="106">
        <v>22226.399999999998</v>
      </c>
      <c r="N96" s="106">
        <v>28</v>
      </c>
      <c r="O96" s="106">
        <v>23049.599999999999</v>
      </c>
      <c r="P96" s="106">
        <v>35</v>
      </c>
      <c r="Q96" s="106">
        <v>28811.999999999996</v>
      </c>
      <c r="R96" s="106">
        <v>32</v>
      </c>
      <c r="S96" s="106">
        <v>26342.399999999998</v>
      </c>
      <c r="T96" s="106">
        <v>13</v>
      </c>
      <c r="U96" s="106">
        <v>10701.599999999999</v>
      </c>
      <c r="V96" s="106">
        <v>14</v>
      </c>
      <c r="W96" s="106">
        <v>11524.8</v>
      </c>
      <c r="X96" s="106">
        <v>14</v>
      </c>
      <c r="Y96" s="106">
        <v>11524.8</v>
      </c>
      <c r="Z96" s="106">
        <v>13</v>
      </c>
      <c r="AA96" s="106">
        <v>10701.599999999999</v>
      </c>
      <c r="AB96" s="106">
        <v>7</v>
      </c>
      <c r="AC96" s="106">
        <v>5762.4</v>
      </c>
      <c r="AD96" s="106">
        <v>8</v>
      </c>
      <c r="AE96" s="106">
        <v>6585.5999999999995</v>
      </c>
      <c r="AF96" s="106">
        <v>6</v>
      </c>
      <c r="AG96" s="106">
        <v>4939.2</v>
      </c>
      <c r="AH96" s="106">
        <v>8</v>
      </c>
      <c r="AI96" s="106">
        <v>6585.5999999999995</v>
      </c>
      <c r="AJ96" s="106">
        <v>8</v>
      </c>
      <c r="AK96" s="106">
        <v>6585.5999999999995</v>
      </c>
      <c r="AL96" s="106">
        <v>7</v>
      </c>
      <c r="AM96" s="106">
        <v>5762.4</v>
      </c>
      <c r="AN96" s="106">
        <v>8</v>
      </c>
      <c r="AO96" s="106">
        <v>6585.5999999999995</v>
      </c>
      <c r="AP96" s="106">
        <v>11</v>
      </c>
      <c r="AQ96" s="106">
        <v>9055.1999999999989</v>
      </c>
      <c r="AR96" s="106">
        <v>4</v>
      </c>
      <c r="AS96" s="106">
        <v>3292.7999999999997</v>
      </c>
      <c r="AT96" s="106">
        <v>4</v>
      </c>
      <c r="AU96" s="106">
        <v>3292.7999999999997</v>
      </c>
      <c r="AV96" s="106">
        <v>4</v>
      </c>
      <c r="AW96" s="106">
        <v>3292.7999999999997</v>
      </c>
      <c r="AX96" s="106">
        <v>5</v>
      </c>
      <c r="AY96" s="106">
        <v>4116</v>
      </c>
      <c r="AZ96" s="106">
        <v>9</v>
      </c>
      <c r="BA96" s="106">
        <v>7408.7999999999993</v>
      </c>
      <c r="BB96" s="106">
        <v>7</v>
      </c>
      <c r="BC96" s="106">
        <v>5762.4</v>
      </c>
      <c r="BD96" s="106">
        <v>9</v>
      </c>
      <c r="BE96" s="106">
        <v>7408.7999999999993</v>
      </c>
      <c r="BF96" s="106">
        <v>9</v>
      </c>
      <c r="BG96" s="106">
        <v>7408.7999999999993</v>
      </c>
      <c r="BH96" s="106">
        <v>8</v>
      </c>
      <c r="BI96" s="106">
        <v>6585.5999999999995</v>
      </c>
      <c r="BJ96" s="106">
        <v>12</v>
      </c>
      <c r="BK96" s="106">
        <v>9878.4</v>
      </c>
      <c r="BL96" s="106">
        <v>8</v>
      </c>
      <c r="BM96" s="106">
        <v>6585.5999999999995</v>
      </c>
      <c r="BN96" s="106">
        <v>7</v>
      </c>
      <c r="BO96" s="106">
        <v>5762.4</v>
      </c>
      <c r="BP96" s="106">
        <v>4</v>
      </c>
      <c r="BQ96" s="106">
        <v>3292.7999999999997</v>
      </c>
      <c r="BR96" s="106">
        <v>5</v>
      </c>
      <c r="BS96" s="106">
        <v>4116</v>
      </c>
      <c r="BT96" s="106">
        <v>3</v>
      </c>
      <c r="BU96" s="106">
        <v>2469.6</v>
      </c>
      <c r="BV96" s="106">
        <v>4</v>
      </c>
      <c r="BW96" s="106">
        <v>3292.7999999999997</v>
      </c>
      <c r="BX96" s="106">
        <v>13</v>
      </c>
      <c r="BY96" s="106">
        <v>10701.599999999999</v>
      </c>
      <c r="BZ96" s="106">
        <v>13</v>
      </c>
      <c r="CA96" s="106">
        <v>10701.599999999999</v>
      </c>
      <c r="CB96" s="106">
        <v>7</v>
      </c>
      <c r="CC96" s="106">
        <v>5762.4</v>
      </c>
      <c r="CD96" s="106">
        <v>9</v>
      </c>
      <c r="CE96" s="106">
        <v>7408.7999999999993</v>
      </c>
      <c r="CF96" s="106">
        <v>5</v>
      </c>
      <c r="CG96" s="106">
        <v>4116</v>
      </c>
      <c r="CH96" s="106">
        <v>5</v>
      </c>
      <c r="CI96" s="106">
        <v>4116</v>
      </c>
      <c r="CJ96" s="106">
        <v>6</v>
      </c>
      <c r="CK96" s="106">
        <v>4939.2</v>
      </c>
      <c r="CL96" s="106">
        <v>7</v>
      </c>
      <c r="CM96" s="106">
        <v>5762.4</v>
      </c>
      <c r="CN96" s="106">
        <v>11</v>
      </c>
      <c r="CO96" s="106">
        <v>9055.1999999999989</v>
      </c>
      <c r="CP96" s="106">
        <v>12</v>
      </c>
      <c r="CQ96" s="106">
        <v>9878.4</v>
      </c>
      <c r="CR96" s="106">
        <v>9</v>
      </c>
      <c r="CS96" s="106">
        <v>7408.7999999999993</v>
      </c>
      <c r="CT96" s="106">
        <v>6</v>
      </c>
      <c r="CU96" s="106">
        <v>4939.2</v>
      </c>
    </row>
    <row r="97" spans="2:99" x14ac:dyDescent="0.2">
      <c r="C97" s="105" t="s">
        <v>263</v>
      </c>
      <c r="D97" s="106">
        <v>16</v>
      </c>
      <c r="E97" s="106">
        <v>29260.799999999999</v>
      </c>
      <c r="F97" s="106">
        <v>15</v>
      </c>
      <c r="G97" s="106">
        <v>27432</v>
      </c>
      <c r="H97" s="106">
        <v>10</v>
      </c>
      <c r="I97" s="106">
        <v>18288</v>
      </c>
      <c r="J97" s="106">
        <v>15</v>
      </c>
      <c r="K97" s="106">
        <v>27432</v>
      </c>
      <c r="L97" s="106">
        <v>23</v>
      </c>
      <c r="M97" s="106">
        <v>42062.400000000001</v>
      </c>
      <c r="N97" s="106">
        <v>25</v>
      </c>
      <c r="O97" s="106">
        <v>45720</v>
      </c>
      <c r="P97" s="106">
        <v>29</v>
      </c>
      <c r="Q97" s="106">
        <v>53035.199999999997</v>
      </c>
      <c r="R97" s="106">
        <v>25</v>
      </c>
      <c r="S97" s="106">
        <v>45720</v>
      </c>
      <c r="T97" s="106">
        <v>11</v>
      </c>
      <c r="U97" s="106">
        <v>20116.8</v>
      </c>
      <c r="V97" s="106">
        <v>12</v>
      </c>
      <c r="W97" s="106">
        <v>21945.599999999999</v>
      </c>
      <c r="X97" s="106">
        <v>12</v>
      </c>
      <c r="Y97" s="106">
        <v>21945.599999999999</v>
      </c>
      <c r="Z97" s="106">
        <v>12</v>
      </c>
      <c r="AA97" s="106">
        <v>21945.599999999999</v>
      </c>
      <c r="AB97" s="106">
        <v>7</v>
      </c>
      <c r="AC97" s="106">
        <v>12801.6</v>
      </c>
      <c r="AD97" s="106">
        <v>7</v>
      </c>
      <c r="AE97" s="106">
        <v>12801.6</v>
      </c>
      <c r="AF97" s="106">
        <v>7</v>
      </c>
      <c r="AG97" s="106">
        <v>12801.6</v>
      </c>
      <c r="AH97" s="106">
        <v>6</v>
      </c>
      <c r="AI97" s="106">
        <v>10972.8</v>
      </c>
      <c r="AJ97" s="106">
        <v>8</v>
      </c>
      <c r="AK97" s="106">
        <v>14630.4</v>
      </c>
      <c r="AL97" s="106">
        <v>6</v>
      </c>
      <c r="AM97" s="106">
        <v>10972.8</v>
      </c>
      <c r="AN97" s="106">
        <v>7</v>
      </c>
      <c r="AO97" s="106">
        <v>12801.6</v>
      </c>
      <c r="AP97" s="106">
        <v>11</v>
      </c>
      <c r="AQ97" s="106">
        <v>20116.8</v>
      </c>
      <c r="AR97" s="106">
        <v>4</v>
      </c>
      <c r="AS97" s="106">
        <v>7315.2</v>
      </c>
      <c r="AT97" s="106">
        <v>3</v>
      </c>
      <c r="AU97" s="106">
        <v>5486.4</v>
      </c>
      <c r="AV97" s="106">
        <v>5</v>
      </c>
      <c r="AW97" s="106">
        <v>9144</v>
      </c>
      <c r="AX97" s="106">
        <v>4</v>
      </c>
      <c r="AY97" s="106">
        <v>7315.2</v>
      </c>
      <c r="AZ97" s="106">
        <v>8</v>
      </c>
      <c r="BA97" s="106">
        <v>14630.4</v>
      </c>
      <c r="BB97" s="106">
        <v>6</v>
      </c>
      <c r="BC97" s="106">
        <v>10972.8</v>
      </c>
      <c r="BD97" s="106">
        <v>8</v>
      </c>
      <c r="BE97" s="106">
        <v>14630.4</v>
      </c>
      <c r="BF97" s="106">
        <v>7</v>
      </c>
      <c r="BG97" s="106">
        <v>12801.6</v>
      </c>
      <c r="BH97" s="106">
        <v>7</v>
      </c>
      <c r="BI97" s="106">
        <v>12801.6</v>
      </c>
      <c r="BJ97" s="106">
        <v>10</v>
      </c>
      <c r="BK97" s="106">
        <v>18288</v>
      </c>
      <c r="BL97" s="106">
        <v>7</v>
      </c>
      <c r="BM97" s="106">
        <v>12801.6</v>
      </c>
      <c r="BN97" s="106">
        <v>6</v>
      </c>
      <c r="BO97" s="106">
        <v>10972.8</v>
      </c>
      <c r="BP97" s="106">
        <v>3</v>
      </c>
      <c r="BQ97" s="106">
        <v>5486.4</v>
      </c>
      <c r="BR97" s="106">
        <v>4</v>
      </c>
      <c r="BS97" s="106">
        <v>7315.2</v>
      </c>
      <c r="BT97" s="106">
        <v>3</v>
      </c>
      <c r="BU97" s="106">
        <v>5486.4</v>
      </c>
      <c r="BV97" s="106">
        <v>3</v>
      </c>
      <c r="BW97" s="106">
        <v>5486.4</v>
      </c>
      <c r="BX97" s="106">
        <v>13</v>
      </c>
      <c r="BY97" s="106">
        <v>23774.399999999998</v>
      </c>
      <c r="BZ97" s="106">
        <v>10</v>
      </c>
      <c r="CA97" s="106">
        <v>18288</v>
      </c>
      <c r="CB97" s="106">
        <v>7</v>
      </c>
      <c r="CC97" s="106">
        <v>12801.6</v>
      </c>
      <c r="CD97" s="106">
        <v>8</v>
      </c>
      <c r="CE97" s="106">
        <v>14630.4</v>
      </c>
      <c r="CF97" s="106">
        <v>5</v>
      </c>
      <c r="CG97" s="106">
        <v>9144</v>
      </c>
      <c r="CH97" s="106">
        <v>4</v>
      </c>
      <c r="CI97" s="106">
        <v>7315.2</v>
      </c>
      <c r="CJ97" s="106">
        <v>6</v>
      </c>
      <c r="CK97" s="106">
        <v>10972.8</v>
      </c>
      <c r="CL97" s="106">
        <v>6</v>
      </c>
      <c r="CM97" s="106">
        <v>10972.8</v>
      </c>
      <c r="CN97" s="106">
        <v>10</v>
      </c>
      <c r="CO97" s="106">
        <v>18288</v>
      </c>
      <c r="CP97" s="106">
        <v>11</v>
      </c>
      <c r="CQ97" s="106">
        <v>20116.8</v>
      </c>
      <c r="CR97" s="106">
        <v>9</v>
      </c>
      <c r="CS97" s="106">
        <v>16459.2</v>
      </c>
      <c r="CT97" s="106">
        <v>5</v>
      </c>
      <c r="CU97" s="106">
        <v>9144</v>
      </c>
    </row>
    <row r="98" spans="2:99" x14ac:dyDescent="0.2">
      <c r="C98" s="105" t="s">
        <v>264</v>
      </c>
      <c r="D98" s="106">
        <v>17</v>
      </c>
      <c r="E98" s="106">
        <v>21481.199999999997</v>
      </c>
      <c r="F98" s="106">
        <v>15</v>
      </c>
      <c r="G98" s="106">
        <v>18954</v>
      </c>
      <c r="H98" s="106">
        <v>10</v>
      </c>
      <c r="I98" s="106">
        <v>12636</v>
      </c>
      <c r="J98" s="106">
        <v>16</v>
      </c>
      <c r="K98" s="106">
        <v>20217.599999999999</v>
      </c>
      <c r="L98" s="106">
        <v>24</v>
      </c>
      <c r="M98" s="106">
        <v>30326.399999999998</v>
      </c>
      <c r="N98" s="106">
        <v>29</v>
      </c>
      <c r="O98" s="106">
        <v>36644.399999999994</v>
      </c>
      <c r="P98" s="106">
        <v>31</v>
      </c>
      <c r="Q98" s="106">
        <v>39171.599999999999</v>
      </c>
      <c r="R98" s="106">
        <v>29</v>
      </c>
      <c r="S98" s="106">
        <v>36644.399999999994</v>
      </c>
      <c r="T98" s="106">
        <v>13</v>
      </c>
      <c r="U98" s="106">
        <v>16426.8</v>
      </c>
      <c r="V98" s="106">
        <v>13</v>
      </c>
      <c r="W98" s="106">
        <v>16426.8</v>
      </c>
      <c r="X98" s="106">
        <v>14</v>
      </c>
      <c r="Y98" s="106">
        <v>17690.399999999998</v>
      </c>
      <c r="Z98" s="106">
        <v>11</v>
      </c>
      <c r="AA98" s="106">
        <v>13899.599999999999</v>
      </c>
      <c r="AB98" s="106">
        <v>7</v>
      </c>
      <c r="AC98" s="106">
        <v>8845.1999999999989</v>
      </c>
      <c r="AD98" s="106">
        <v>8</v>
      </c>
      <c r="AE98" s="106">
        <v>10108.799999999999</v>
      </c>
      <c r="AF98" s="106">
        <v>7</v>
      </c>
      <c r="AG98" s="106">
        <v>8845.1999999999989</v>
      </c>
      <c r="AH98" s="106">
        <v>7</v>
      </c>
      <c r="AI98" s="106">
        <v>8845.1999999999989</v>
      </c>
      <c r="AJ98" s="106">
        <v>8</v>
      </c>
      <c r="AK98" s="106">
        <v>10108.799999999999</v>
      </c>
      <c r="AL98" s="106">
        <v>7</v>
      </c>
      <c r="AM98" s="106">
        <v>8845.1999999999989</v>
      </c>
      <c r="AN98" s="106">
        <v>8</v>
      </c>
      <c r="AO98" s="106">
        <v>10108.799999999999</v>
      </c>
      <c r="AP98" s="106">
        <v>10</v>
      </c>
      <c r="AQ98" s="106">
        <v>12636</v>
      </c>
      <c r="AR98" s="106">
        <v>4</v>
      </c>
      <c r="AS98" s="106">
        <v>5054.3999999999996</v>
      </c>
      <c r="AT98" s="106">
        <v>3</v>
      </c>
      <c r="AU98" s="106">
        <v>3790.7999999999997</v>
      </c>
      <c r="AV98" s="106">
        <v>4</v>
      </c>
      <c r="AW98" s="106">
        <v>5054.3999999999996</v>
      </c>
      <c r="AX98" s="106">
        <v>4</v>
      </c>
      <c r="AY98" s="106">
        <v>5054.3999999999996</v>
      </c>
      <c r="AZ98" s="106">
        <v>8</v>
      </c>
      <c r="BA98" s="106">
        <v>10108.799999999999</v>
      </c>
      <c r="BB98" s="106">
        <v>7</v>
      </c>
      <c r="BC98" s="106">
        <v>8845.1999999999989</v>
      </c>
      <c r="BD98" s="106">
        <v>8</v>
      </c>
      <c r="BE98" s="106">
        <v>10108.799999999999</v>
      </c>
      <c r="BF98" s="106">
        <v>8</v>
      </c>
      <c r="BG98" s="106">
        <v>10108.799999999999</v>
      </c>
      <c r="BH98" s="106">
        <v>8</v>
      </c>
      <c r="BI98" s="106">
        <v>10108.799999999999</v>
      </c>
      <c r="BJ98" s="106">
        <v>10</v>
      </c>
      <c r="BK98" s="106">
        <v>12636</v>
      </c>
      <c r="BL98" s="106">
        <v>7</v>
      </c>
      <c r="BM98" s="106">
        <v>8845.1999999999989</v>
      </c>
      <c r="BN98" s="106">
        <v>7</v>
      </c>
      <c r="BO98" s="106">
        <v>8845.1999999999989</v>
      </c>
      <c r="BP98" s="106">
        <v>3</v>
      </c>
      <c r="BQ98" s="106">
        <v>3790.7999999999997</v>
      </c>
      <c r="BR98" s="106">
        <v>5</v>
      </c>
      <c r="BS98" s="106">
        <v>6318</v>
      </c>
      <c r="BT98" s="106">
        <v>3</v>
      </c>
      <c r="BU98" s="106">
        <v>3790.7999999999997</v>
      </c>
      <c r="BV98" s="106">
        <v>4</v>
      </c>
      <c r="BW98" s="106">
        <v>5054.3999999999996</v>
      </c>
      <c r="BX98" s="106">
        <v>11</v>
      </c>
      <c r="BY98" s="106">
        <v>13899.599999999999</v>
      </c>
      <c r="BZ98" s="106">
        <v>11</v>
      </c>
      <c r="CA98" s="106">
        <v>13899.599999999999</v>
      </c>
      <c r="CB98" s="106">
        <v>7</v>
      </c>
      <c r="CC98" s="106">
        <v>8845.1999999999989</v>
      </c>
      <c r="CD98" s="106">
        <v>8</v>
      </c>
      <c r="CE98" s="106">
        <v>10108.799999999999</v>
      </c>
      <c r="CF98" s="106">
        <v>5</v>
      </c>
      <c r="CG98" s="106">
        <v>6318</v>
      </c>
      <c r="CH98" s="106">
        <v>4</v>
      </c>
      <c r="CI98" s="106">
        <v>5054.3999999999996</v>
      </c>
      <c r="CJ98" s="106">
        <v>6</v>
      </c>
      <c r="CK98" s="106">
        <v>7581.5999999999995</v>
      </c>
      <c r="CL98" s="106">
        <v>6</v>
      </c>
      <c r="CM98" s="106">
        <v>7581.5999999999995</v>
      </c>
      <c r="CN98" s="106">
        <v>11</v>
      </c>
      <c r="CO98" s="106">
        <v>13899.599999999999</v>
      </c>
      <c r="CP98" s="106">
        <v>11</v>
      </c>
      <c r="CQ98" s="106">
        <v>13899.599999999999</v>
      </c>
      <c r="CR98" s="106">
        <v>10</v>
      </c>
      <c r="CS98" s="106">
        <v>12636</v>
      </c>
      <c r="CT98" s="106">
        <v>6</v>
      </c>
      <c r="CU98" s="106">
        <v>7581.5999999999995</v>
      </c>
    </row>
    <row r="99" spans="2:99" x14ac:dyDescent="0.2">
      <c r="C99" s="105" t="s">
        <v>265</v>
      </c>
      <c r="D99" s="106">
        <v>10</v>
      </c>
      <c r="E99" s="106">
        <v>54815.999999999993</v>
      </c>
      <c r="F99" s="106">
        <v>9</v>
      </c>
      <c r="G99" s="106">
        <v>49334.399999999994</v>
      </c>
      <c r="H99" s="106">
        <v>7</v>
      </c>
      <c r="I99" s="106">
        <v>38371.199999999997</v>
      </c>
      <c r="J99" s="106">
        <v>11</v>
      </c>
      <c r="K99" s="106">
        <v>60297.599999999991</v>
      </c>
      <c r="L99" s="106">
        <v>14</v>
      </c>
      <c r="M99" s="106">
        <v>76742.399999999994</v>
      </c>
      <c r="N99" s="106">
        <v>14</v>
      </c>
      <c r="O99" s="106">
        <v>76742.399999999994</v>
      </c>
      <c r="P99" s="106">
        <v>18</v>
      </c>
      <c r="Q99" s="106">
        <v>98668.799999999988</v>
      </c>
      <c r="R99" s="106">
        <v>15</v>
      </c>
      <c r="S99" s="106">
        <v>82223.999999999985</v>
      </c>
      <c r="T99" s="106">
        <v>8</v>
      </c>
      <c r="U99" s="106">
        <v>43852.799999999996</v>
      </c>
      <c r="V99" s="106">
        <v>7</v>
      </c>
      <c r="W99" s="106">
        <v>38371.199999999997</v>
      </c>
      <c r="X99" s="106">
        <v>8</v>
      </c>
      <c r="Y99" s="106">
        <v>43852.799999999996</v>
      </c>
      <c r="Z99" s="106">
        <v>8</v>
      </c>
      <c r="AA99" s="106">
        <v>43852.799999999996</v>
      </c>
      <c r="AB99" s="106">
        <v>5</v>
      </c>
      <c r="AC99" s="106">
        <v>27407.999999999996</v>
      </c>
      <c r="AD99" s="106">
        <v>5</v>
      </c>
      <c r="AE99" s="106">
        <v>27407.999999999996</v>
      </c>
      <c r="AF99" s="106">
        <v>4</v>
      </c>
      <c r="AG99" s="106">
        <v>21926.399999999998</v>
      </c>
      <c r="AH99" s="106">
        <v>5</v>
      </c>
      <c r="AI99" s="106">
        <v>27407.999999999996</v>
      </c>
      <c r="AJ99" s="106">
        <v>5</v>
      </c>
      <c r="AK99" s="106">
        <v>27407.999999999996</v>
      </c>
      <c r="AL99" s="106">
        <v>5</v>
      </c>
      <c r="AM99" s="106">
        <v>27407.999999999996</v>
      </c>
      <c r="AN99" s="106">
        <v>6</v>
      </c>
      <c r="AO99" s="106">
        <v>32889.599999999999</v>
      </c>
      <c r="AP99" s="106">
        <v>7</v>
      </c>
      <c r="AQ99" s="106">
        <v>38371.199999999997</v>
      </c>
      <c r="AR99" s="106">
        <v>4</v>
      </c>
      <c r="AS99" s="106">
        <v>21926.399999999998</v>
      </c>
      <c r="AT99" s="106">
        <v>3</v>
      </c>
      <c r="AU99" s="106">
        <v>16444.8</v>
      </c>
      <c r="AV99" s="106">
        <v>4</v>
      </c>
      <c r="AW99" s="106">
        <v>21926.399999999998</v>
      </c>
      <c r="AX99" s="106">
        <v>3</v>
      </c>
      <c r="AY99" s="106">
        <v>16444.8</v>
      </c>
      <c r="AZ99" s="106">
        <v>6</v>
      </c>
      <c r="BA99" s="106">
        <v>32889.599999999999</v>
      </c>
      <c r="BB99" s="106">
        <v>5</v>
      </c>
      <c r="BC99" s="106">
        <v>27407.999999999996</v>
      </c>
      <c r="BD99" s="106">
        <v>6</v>
      </c>
      <c r="BE99" s="106">
        <v>32889.599999999999</v>
      </c>
      <c r="BF99" s="106">
        <v>5</v>
      </c>
      <c r="BG99" s="106">
        <v>27407.999999999996</v>
      </c>
      <c r="BH99" s="106">
        <v>6</v>
      </c>
      <c r="BI99" s="106">
        <v>32889.599999999999</v>
      </c>
      <c r="BJ99" s="106">
        <v>7</v>
      </c>
      <c r="BK99" s="106">
        <v>38371.199999999997</v>
      </c>
      <c r="BL99" s="106">
        <v>5</v>
      </c>
      <c r="BM99" s="106">
        <v>27407.999999999996</v>
      </c>
      <c r="BN99" s="106">
        <v>4</v>
      </c>
      <c r="BO99" s="106">
        <v>21926.399999999998</v>
      </c>
      <c r="BP99" s="106">
        <v>3</v>
      </c>
      <c r="BQ99" s="106">
        <v>16444.8</v>
      </c>
      <c r="BR99" s="106">
        <v>4</v>
      </c>
      <c r="BS99" s="106">
        <v>21926.399999999998</v>
      </c>
      <c r="BT99" s="106">
        <v>2</v>
      </c>
      <c r="BU99" s="106">
        <v>10963.199999999999</v>
      </c>
      <c r="BV99" s="106">
        <v>3</v>
      </c>
      <c r="BW99" s="106">
        <v>16444.8</v>
      </c>
      <c r="BX99" s="106">
        <v>8</v>
      </c>
      <c r="BY99" s="106">
        <v>43852.799999999996</v>
      </c>
      <c r="BZ99" s="106">
        <v>8</v>
      </c>
      <c r="CA99" s="106">
        <v>43852.799999999996</v>
      </c>
      <c r="CB99" s="106">
        <v>4</v>
      </c>
      <c r="CC99" s="106">
        <v>21926.399999999998</v>
      </c>
      <c r="CD99" s="106">
        <v>5</v>
      </c>
      <c r="CE99" s="106">
        <v>27407.999999999996</v>
      </c>
      <c r="CF99" s="106">
        <v>4</v>
      </c>
      <c r="CG99" s="106">
        <v>21926.399999999998</v>
      </c>
      <c r="CH99" s="106">
        <v>3</v>
      </c>
      <c r="CI99" s="106">
        <v>16444.8</v>
      </c>
      <c r="CJ99" s="106">
        <v>4</v>
      </c>
      <c r="CK99" s="106">
        <v>21926.399999999998</v>
      </c>
      <c r="CL99" s="106">
        <v>5</v>
      </c>
      <c r="CM99" s="106">
        <v>27407.999999999996</v>
      </c>
      <c r="CN99" s="106">
        <v>8</v>
      </c>
      <c r="CO99" s="106">
        <v>43852.799999999996</v>
      </c>
      <c r="CP99" s="106">
        <v>8</v>
      </c>
      <c r="CQ99" s="106">
        <v>43852.799999999996</v>
      </c>
      <c r="CR99" s="106">
        <v>7</v>
      </c>
      <c r="CS99" s="106">
        <v>38371.199999999997</v>
      </c>
      <c r="CT99" s="106">
        <v>4</v>
      </c>
      <c r="CU99" s="106">
        <v>21926.399999999998</v>
      </c>
    </row>
    <row r="100" spans="2:99" x14ac:dyDescent="0.2">
      <c r="C100" s="105" t="s">
        <v>266</v>
      </c>
      <c r="D100" s="106">
        <v>15</v>
      </c>
      <c r="E100" s="106">
        <v>24335.999999999996</v>
      </c>
      <c r="F100" s="106">
        <v>15</v>
      </c>
      <c r="G100" s="106">
        <v>24335.999999999996</v>
      </c>
      <c r="H100" s="106">
        <v>10</v>
      </c>
      <c r="I100" s="106">
        <v>16223.999999999998</v>
      </c>
      <c r="J100" s="106">
        <v>15</v>
      </c>
      <c r="K100" s="106">
        <v>24335.999999999996</v>
      </c>
      <c r="L100" s="106">
        <v>23</v>
      </c>
      <c r="M100" s="106">
        <v>37315.199999999997</v>
      </c>
      <c r="N100" s="106">
        <v>28</v>
      </c>
      <c r="O100" s="106">
        <v>45427.199999999997</v>
      </c>
      <c r="P100" s="106">
        <v>31</v>
      </c>
      <c r="Q100" s="106">
        <v>50294.399999999994</v>
      </c>
      <c r="R100" s="106">
        <v>29</v>
      </c>
      <c r="S100" s="106">
        <v>47049.599999999999</v>
      </c>
      <c r="T100" s="106">
        <v>13</v>
      </c>
      <c r="U100" s="106">
        <v>21091.199999999997</v>
      </c>
      <c r="V100" s="106">
        <v>13</v>
      </c>
      <c r="W100" s="106">
        <v>21091.199999999997</v>
      </c>
      <c r="X100" s="106">
        <v>13</v>
      </c>
      <c r="Y100" s="106">
        <v>21091.199999999997</v>
      </c>
      <c r="Z100" s="106">
        <v>11</v>
      </c>
      <c r="AA100" s="106">
        <v>17846.399999999998</v>
      </c>
      <c r="AB100" s="106">
        <v>6</v>
      </c>
      <c r="AC100" s="106">
        <v>9734.4</v>
      </c>
      <c r="AD100" s="106">
        <v>7</v>
      </c>
      <c r="AE100" s="106">
        <v>11356.8</v>
      </c>
      <c r="AF100" s="106">
        <v>6</v>
      </c>
      <c r="AG100" s="106">
        <v>9734.4</v>
      </c>
      <c r="AH100" s="106">
        <v>6</v>
      </c>
      <c r="AI100" s="106">
        <v>9734.4</v>
      </c>
      <c r="AJ100" s="106">
        <v>9</v>
      </c>
      <c r="AK100" s="106">
        <v>14601.599999999999</v>
      </c>
      <c r="AL100" s="106">
        <v>6</v>
      </c>
      <c r="AM100" s="106">
        <v>9734.4</v>
      </c>
      <c r="AN100" s="106">
        <v>8</v>
      </c>
      <c r="AO100" s="106">
        <v>12979.199999999999</v>
      </c>
      <c r="AP100" s="106">
        <v>10</v>
      </c>
      <c r="AQ100" s="106">
        <v>16223.999999999998</v>
      </c>
      <c r="AR100" s="106">
        <v>5</v>
      </c>
      <c r="AS100" s="106">
        <v>8111.9999999999991</v>
      </c>
      <c r="AT100" s="106">
        <v>3</v>
      </c>
      <c r="AU100" s="106">
        <v>4867.2</v>
      </c>
      <c r="AV100" s="106">
        <v>5</v>
      </c>
      <c r="AW100" s="106">
        <v>8111.9999999999991</v>
      </c>
      <c r="AX100" s="106">
        <v>4</v>
      </c>
      <c r="AY100" s="106">
        <v>6489.5999999999995</v>
      </c>
      <c r="AZ100" s="106">
        <v>8</v>
      </c>
      <c r="BA100" s="106">
        <v>12979.199999999999</v>
      </c>
      <c r="BB100" s="106">
        <v>7</v>
      </c>
      <c r="BC100" s="106">
        <v>11356.8</v>
      </c>
      <c r="BD100" s="106">
        <v>7</v>
      </c>
      <c r="BE100" s="106">
        <v>11356.8</v>
      </c>
      <c r="BF100" s="106">
        <v>8</v>
      </c>
      <c r="BG100" s="106">
        <v>12979.199999999999</v>
      </c>
      <c r="BH100" s="106">
        <v>7</v>
      </c>
      <c r="BI100" s="106">
        <v>11356.8</v>
      </c>
      <c r="BJ100" s="106">
        <v>11</v>
      </c>
      <c r="BK100" s="106">
        <v>17846.399999999998</v>
      </c>
      <c r="BL100" s="106">
        <v>8</v>
      </c>
      <c r="BM100" s="106">
        <v>12979.199999999999</v>
      </c>
      <c r="BN100" s="106">
        <v>7</v>
      </c>
      <c r="BO100" s="106">
        <v>11356.8</v>
      </c>
      <c r="BP100" s="106">
        <v>4</v>
      </c>
      <c r="BQ100" s="106">
        <v>6489.5999999999995</v>
      </c>
      <c r="BR100" s="106">
        <v>4</v>
      </c>
      <c r="BS100" s="106">
        <v>6489.5999999999995</v>
      </c>
      <c r="BT100" s="106">
        <v>3</v>
      </c>
      <c r="BU100" s="106">
        <v>4867.2</v>
      </c>
      <c r="BV100" s="106">
        <v>4</v>
      </c>
      <c r="BW100" s="106">
        <v>6489.5999999999995</v>
      </c>
      <c r="BX100" s="106">
        <v>12</v>
      </c>
      <c r="BY100" s="106">
        <v>19468.8</v>
      </c>
      <c r="BZ100" s="106">
        <v>10</v>
      </c>
      <c r="CA100" s="106">
        <v>16223.999999999998</v>
      </c>
      <c r="CB100" s="106">
        <v>6</v>
      </c>
      <c r="CC100" s="106">
        <v>9734.4</v>
      </c>
      <c r="CD100" s="106">
        <v>7</v>
      </c>
      <c r="CE100" s="106">
        <v>11356.8</v>
      </c>
      <c r="CF100" s="106">
        <v>5</v>
      </c>
      <c r="CG100" s="106">
        <v>8111.9999999999991</v>
      </c>
      <c r="CH100" s="106">
        <v>4</v>
      </c>
      <c r="CI100" s="106">
        <v>6489.5999999999995</v>
      </c>
      <c r="CJ100" s="106">
        <v>5</v>
      </c>
      <c r="CK100" s="106">
        <v>8111.9999999999991</v>
      </c>
      <c r="CL100" s="106">
        <v>6</v>
      </c>
      <c r="CM100" s="106">
        <v>9734.4</v>
      </c>
      <c r="CN100" s="106">
        <v>11</v>
      </c>
      <c r="CO100" s="106">
        <v>17846.399999999998</v>
      </c>
      <c r="CP100" s="106">
        <v>11</v>
      </c>
      <c r="CQ100" s="106">
        <v>17846.399999999998</v>
      </c>
      <c r="CR100" s="106">
        <v>8</v>
      </c>
      <c r="CS100" s="106">
        <v>12979.199999999999</v>
      </c>
      <c r="CT100" s="106">
        <v>6</v>
      </c>
      <c r="CU100" s="106">
        <v>9734.4</v>
      </c>
    </row>
    <row r="101" spans="2:99" x14ac:dyDescent="0.2">
      <c r="C101" s="105" t="s">
        <v>267</v>
      </c>
      <c r="D101" s="106">
        <v>17</v>
      </c>
      <c r="E101" s="106">
        <v>20236.8</v>
      </c>
      <c r="F101" s="106">
        <v>16</v>
      </c>
      <c r="G101" s="106">
        <v>19046.399999999998</v>
      </c>
      <c r="H101" s="106">
        <v>11</v>
      </c>
      <c r="I101" s="106">
        <v>13094.399999999998</v>
      </c>
      <c r="J101" s="106">
        <v>17</v>
      </c>
      <c r="K101" s="106">
        <v>20236.8</v>
      </c>
      <c r="L101" s="106">
        <v>24</v>
      </c>
      <c r="M101" s="106">
        <v>28569.599999999999</v>
      </c>
      <c r="N101" s="106">
        <v>31</v>
      </c>
      <c r="O101" s="106">
        <v>36902.399999999994</v>
      </c>
      <c r="P101" s="106">
        <v>31</v>
      </c>
      <c r="Q101" s="106">
        <v>36902.399999999994</v>
      </c>
      <c r="R101" s="106">
        <v>29</v>
      </c>
      <c r="S101" s="106">
        <v>34521.599999999999</v>
      </c>
      <c r="T101" s="106">
        <v>14</v>
      </c>
      <c r="U101" s="106">
        <v>16665.599999999999</v>
      </c>
      <c r="V101" s="106">
        <v>13</v>
      </c>
      <c r="W101" s="106">
        <v>15475.199999999999</v>
      </c>
      <c r="X101" s="106">
        <v>14</v>
      </c>
      <c r="Y101" s="106">
        <v>16665.599999999999</v>
      </c>
      <c r="Z101" s="106">
        <v>12</v>
      </c>
      <c r="AA101" s="106">
        <v>14284.8</v>
      </c>
      <c r="AB101" s="106">
        <v>6</v>
      </c>
      <c r="AC101" s="106">
        <v>7142.4</v>
      </c>
      <c r="AD101" s="106">
        <v>7</v>
      </c>
      <c r="AE101" s="106">
        <v>8332.7999999999993</v>
      </c>
      <c r="AF101" s="106">
        <v>7</v>
      </c>
      <c r="AG101" s="106">
        <v>8332.7999999999993</v>
      </c>
      <c r="AH101" s="106">
        <v>8</v>
      </c>
      <c r="AI101" s="106">
        <v>9523.1999999999989</v>
      </c>
      <c r="AJ101" s="106">
        <v>8</v>
      </c>
      <c r="AK101" s="106">
        <v>9523.1999999999989</v>
      </c>
      <c r="AL101" s="106">
        <v>7</v>
      </c>
      <c r="AM101" s="106">
        <v>8332.7999999999993</v>
      </c>
      <c r="AN101" s="106">
        <v>7</v>
      </c>
      <c r="AO101" s="106">
        <v>8332.7999999999993</v>
      </c>
      <c r="AP101" s="106">
        <v>10</v>
      </c>
      <c r="AQ101" s="106">
        <v>11903.999999999998</v>
      </c>
      <c r="AR101" s="106">
        <v>4</v>
      </c>
      <c r="AS101" s="106">
        <v>4761.5999999999995</v>
      </c>
      <c r="AT101" s="106">
        <v>3</v>
      </c>
      <c r="AU101" s="106">
        <v>3571.2</v>
      </c>
      <c r="AV101" s="106">
        <v>5</v>
      </c>
      <c r="AW101" s="106">
        <v>5951.9999999999991</v>
      </c>
      <c r="AX101" s="106">
        <v>4</v>
      </c>
      <c r="AY101" s="106">
        <v>4761.5999999999995</v>
      </c>
      <c r="AZ101" s="106">
        <v>8</v>
      </c>
      <c r="BA101" s="106">
        <v>9523.1999999999989</v>
      </c>
      <c r="BB101" s="106">
        <v>7</v>
      </c>
      <c r="BC101" s="106">
        <v>8332.7999999999993</v>
      </c>
      <c r="BD101" s="106">
        <v>9</v>
      </c>
      <c r="BE101" s="106">
        <v>10713.599999999999</v>
      </c>
      <c r="BF101" s="106">
        <v>9</v>
      </c>
      <c r="BG101" s="106">
        <v>10713.599999999999</v>
      </c>
      <c r="BH101" s="106">
        <v>8</v>
      </c>
      <c r="BI101" s="106">
        <v>9523.1999999999989</v>
      </c>
      <c r="BJ101" s="106">
        <v>11</v>
      </c>
      <c r="BK101" s="106">
        <v>13094.399999999998</v>
      </c>
      <c r="BL101" s="106">
        <v>8</v>
      </c>
      <c r="BM101" s="106">
        <v>9523.1999999999989</v>
      </c>
      <c r="BN101" s="106">
        <v>7</v>
      </c>
      <c r="BO101" s="106">
        <v>8332.7999999999993</v>
      </c>
      <c r="BP101" s="106">
        <v>4</v>
      </c>
      <c r="BQ101" s="106">
        <v>4761.5999999999995</v>
      </c>
      <c r="BR101" s="106">
        <v>5</v>
      </c>
      <c r="BS101" s="106">
        <v>5951.9999999999991</v>
      </c>
      <c r="BT101" s="106">
        <v>3</v>
      </c>
      <c r="BU101" s="106">
        <v>3571.2</v>
      </c>
      <c r="BV101" s="106">
        <v>4</v>
      </c>
      <c r="BW101" s="106">
        <v>4761.5999999999995</v>
      </c>
      <c r="BX101" s="106">
        <v>13</v>
      </c>
      <c r="BY101" s="106">
        <v>15475.199999999999</v>
      </c>
      <c r="BZ101" s="106">
        <v>11</v>
      </c>
      <c r="CA101" s="106">
        <v>13094.399999999998</v>
      </c>
      <c r="CB101" s="106">
        <v>7</v>
      </c>
      <c r="CC101" s="106">
        <v>8332.7999999999993</v>
      </c>
      <c r="CD101" s="106">
        <v>8</v>
      </c>
      <c r="CE101" s="106">
        <v>9523.1999999999989</v>
      </c>
      <c r="CF101" s="106">
        <v>5</v>
      </c>
      <c r="CG101" s="106">
        <v>5951.9999999999991</v>
      </c>
      <c r="CH101" s="106">
        <v>4</v>
      </c>
      <c r="CI101" s="106">
        <v>4761.5999999999995</v>
      </c>
      <c r="CJ101" s="106">
        <v>6</v>
      </c>
      <c r="CK101" s="106">
        <v>7142.4</v>
      </c>
      <c r="CL101" s="106">
        <v>7</v>
      </c>
      <c r="CM101" s="106">
        <v>8332.7999999999993</v>
      </c>
      <c r="CN101" s="106">
        <v>11</v>
      </c>
      <c r="CO101" s="106">
        <v>13094.399999999998</v>
      </c>
      <c r="CP101" s="106">
        <v>11</v>
      </c>
      <c r="CQ101" s="106">
        <v>13094.399999999998</v>
      </c>
      <c r="CR101" s="106">
        <v>9</v>
      </c>
      <c r="CS101" s="106">
        <v>10713.599999999999</v>
      </c>
      <c r="CT101" s="106">
        <v>6</v>
      </c>
      <c r="CU101" s="106">
        <v>7142.4</v>
      </c>
    </row>
    <row r="102" spans="2:99" x14ac:dyDescent="0.2">
      <c r="C102" s="105" t="s">
        <v>268</v>
      </c>
      <c r="D102" s="106">
        <v>15</v>
      </c>
      <c r="E102" s="106">
        <v>29087.999999999996</v>
      </c>
      <c r="F102" s="106">
        <v>13</v>
      </c>
      <c r="G102" s="106">
        <v>25209.599999999999</v>
      </c>
      <c r="H102" s="106">
        <v>10</v>
      </c>
      <c r="I102" s="106">
        <v>19392</v>
      </c>
      <c r="J102" s="106">
        <v>14</v>
      </c>
      <c r="K102" s="106">
        <v>27148.799999999996</v>
      </c>
      <c r="L102" s="106">
        <v>20</v>
      </c>
      <c r="M102" s="106">
        <v>38784</v>
      </c>
      <c r="N102" s="106">
        <v>26</v>
      </c>
      <c r="O102" s="106">
        <v>50419.199999999997</v>
      </c>
      <c r="P102" s="106">
        <v>25</v>
      </c>
      <c r="Q102" s="106">
        <v>48479.999999999993</v>
      </c>
      <c r="R102" s="106">
        <v>27</v>
      </c>
      <c r="S102" s="106">
        <v>52358.399999999994</v>
      </c>
      <c r="T102" s="106">
        <v>13</v>
      </c>
      <c r="U102" s="106">
        <v>25209.599999999999</v>
      </c>
      <c r="V102" s="106">
        <v>10</v>
      </c>
      <c r="W102" s="106">
        <v>19392</v>
      </c>
      <c r="X102" s="106">
        <v>14</v>
      </c>
      <c r="Y102" s="106">
        <v>27148.799999999996</v>
      </c>
      <c r="Z102" s="106">
        <v>11</v>
      </c>
      <c r="AA102" s="106">
        <v>21331.199999999997</v>
      </c>
      <c r="AB102" s="106">
        <v>7</v>
      </c>
      <c r="AC102" s="106">
        <v>13574.399999999998</v>
      </c>
      <c r="AD102" s="106">
        <v>7</v>
      </c>
      <c r="AE102" s="106">
        <v>13574.399999999998</v>
      </c>
      <c r="AF102" s="106">
        <v>6</v>
      </c>
      <c r="AG102" s="106">
        <v>11635.199999999999</v>
      </c>
      <c r="AH102" s="106">
        <v>6</v>
      </c>
      <c r="AI102" s="106">
        <v>11635.199999999999</v>
      </c>
      <c r="AJ102" s="106">
        <v>8</v>
      </c>
      <c r="AK102" s="106">
        <v>15513.599999999999</v>
      </c>
      <c r="AL102" s="106">
        <v>7</v>
      </c>
      <c r="AM102" s="106">
        <v>13574.399999999998</v>
      </c>
      <c r="AN102" s="106">
        <v>7</v>
      </c>
      <c r="AO102" s="106">
        <v>13574.399999999998</v>
      </c>
      <c r="AP102" s="106">
        <v>10</v>
      </c>
      <c r="AQ102" s="106">
        <v>19392</v>
      </c>
      <c r="AR102" s="106">
        <v>5</v>
      </c>
      <c r="AS102" s="106">
        <v>9696</v>
      </c>
      <c r="AT102" s="106">
        <v>3</v>
      </c>
      <c r="AU102" s="106">
        <v>5817.5999999999995</v>
      </c>
      <c r="AV102" s="106">
        <v>4</v>
      </c>
      <c r="AW102" s="106">
        <v>7756.7999999999993</v>
      </c>
      <c r="AX102" s="106">
        <v>4</v>
      </c>
      <c r="AY102" s="106">
        <v>7756.7999999999993</v>
      </c>
      <c r="AZ102" s="106">
        <v>9</v>
      </c>
      <c r="BA102" s="106">
        <v>17452.8</v>
      </c>
      <c r="BB102" s="106">
        <v>7</v>
      </c>
      <c r="BC102" s="106">
        <v>13574.399999999998</v>
      </c>
      <c r="BD102" s="106">
        <v>8</v>
      </c>
      <c r="BE102" s="106">
        <v>15513.599999999999</v>
      </c>
      <c r="BF102" s="106">
        <v>8</v>
      </c>
      <c r="BG102" s="106">
        <v>15513.599999999999</v>
      </c>
      <c r="BH102" s="106">
        <v>7</v>
      </c>
      <c r="BI102" s="106">
        <v>13574.399999999998</v>
      </c>
      <c r="BJ102" s="106">
        <v>10</v>
      </c>
      <c r="BK102" s="106">
        <v>19392</v>
      </c>
      <c r="BL102" s="106">
        <v>7</v>
      </c>
      <c r="BM102" s="106">
        <v>13574.399999999998</v>
      </c>
      <c r="BN102" s="106">
        <v>6</v>
      </c>
      <c r="BO102" s="106">
        <v>11635.199999999999</v>
      </c>
      <c r="BP102" s="106">
        <v>4</v>
      </c>
      <c r="BQ102" s="106">
        <v>7756.7999999999993</v>
      </c>
      <c r="BR102" s="106">
        <v>5</v>
      </c>
      <c r="BS102" s="106">
        <v>9696</v>
      </c>
      <c r="BT102" s="106">
        <v>2</v>
      </c>
      <c r="BU102" s="106">
        <v>3878.3999999999996</v>
      </c>
      <c r="BV102" s="106">
        <v>4</v>
      </c>
      <c r="BW102" s="106">
        <v>7756.7999999999993</v>
      </c>
      <c r="BX102" s="106">
        <v>12</v>
      </c>
      <c r="BY102" s="106">
        <v>23270.399999999998</v>
      </c>
      <c r="BZ102" s="106">
        <v>10</v>
      </c>
      <c r="CA102" s="106">
        <v>19392</v>
      </c>
      <c r="CB102" s="106">
        <v>6</v>
      </c>
      <c r="CC102" s="106">
        <v>11635.199999999999</v>
      </c>
      <c r="CD102" s="106">
        <v>7</v>
      </c>
      <c r="CE102" s="106">
        <v>13574.399999999998</v>
      </c>
      <c r="CF102" s="106">
        <v>4</v>
      </c>
      <c r="CG102" s="106">
        <v>7756.7999999999993</v>
      </c>
      <c r="CH102" s="106">
        <v>4</v>
      </c>
      <c r="CI102" s="106">
        <v>7756.7999999999993</v>
      </c>
      <c r="CJ102" s="106">
        <v>5</v>
      </c>
      <c r="CK102" s="106">
        <v>9696</v>
      </c>
      <c r="CL102" s="106">
        <v>6</v>
      </c>
      <c r="CM102" s="106">
        <v>11635.199999999999</v>
      </c>
      <c r="CN102" s="106">
        <v>10</v>
      </c>
      <c r="CO102" s="106">
        <v>19392</v>
      </c>
      <c r="CP102" s="106">
        <v>11</v>
      </c>
      <c r="CQ102" s="106">
        <v>21331.199999999997</v>
      </c>
      <c r="CR102" s="106">
        <v>10</v>
      </c>
      <c r="CS102" s="106">
        <v>19392</v>
      </c>
      <c r="CT102" s="106">
        <v>5</v>
      </c>
      <c r="CU102" s="106">
        <v>9696</v>
      </c>
    </row>
    <row r="103" spans="2:99" x14ac:dyDescent="0.2">
      <c r="C103" s="105" t="s">
        <v>269</v>
      </c>
      <c r="D103" s="106">
        <v>14</v>
      </c>
      <c r="E103" s="106">
        <v>28392</v>
      </c>
      <c r="F103" s="106">
        <v>13</v>
      </c>
      <c r="G103" s="106">
        <v>26364</v>
      </c>
      <c r="H103" s="106">
        <v>9</v>
      </c>
      <c r="I103" s="106">
        <v>18252</v>
      </c>
      <c r="J103" s="106">
        <v>16</v>
      </c>
      <c r="K103" s="106">
        <v>32448</v>
      </c>
      <c r="L103" s="106">
        <v>22</v>
      </c>
      <c r="M103" s="106">
        <v>44616</v>
      </c>
      <c r="N103" s="106">
        <v>25</v>
      </c>
      <c r="O103" s="106">
        <v>50700</v>
      </c>
      <c r="P103" s="106">
        <v>27</v>
      </c>
      <c r="Q103" s="106">
        <v>54756</v>
      </c>
      <c r="R103" s="106">
        <v>27</v>
      </c>
      <c r="S103" s="106">
        <v>54756</v>
      </c>
      <c r="T103" s="106">
        <v>12</v>
      </c>
      <c r="U103" s="106">
        <v>24336</v>
      </c>
      <c r="V103" s="106">
        <v>12</v>
      </c>
      <c r="W103" s="106">
        <v>24336</v>
      </c>
      <c r="X103" s="106">
        <v>13</v>
      </c>
      <c r="Y103" s="106">
        <v>26364</v>
      </c>
      <c r="Z103" s="106">
        <v>10</v>
      </c>
      <c r="AA103" s="106">
        <v>20280</v>
      </c>
      <c r="AB103" s="106">
        <v>6</v>
      </c>
      <c r="AC103" s="106">
        <v>12168</v>
      </c>
      <c r="AD103" s="106">
        <v>7</v>
      </c>
      <c r="AE103" s="106">
        <v>14196</v>
      </c>
      <c r="AF103" s="106">
        <v>7</v>
      </c>
      <c r="AG103" s="106">
        <v>14196</v>
      </c>
      <c r="AH103" s="106">
        <v>7</v>
      </c>
      <c r="AI103" s="106">
        <v>14196</v>
      </c>
      <c r="AJ103" s="106">
        <v>9</v>
      </c>
      <c r="AK103" s="106">
        <v>18252</v>
      </c>
      <c r="AL103" s="106">
        <v>6</v>
      </c>
      <c r="AM103" s="106">
        <v>12168</v>
      </c>
      <c r="AN103" s="106">
        <v>7</v>
      </c>
      <c r="AO103" s="106">
        <v>14196</v>
      </c>
      <c r="AP103" s="106">
        <v>10</v>
      </c>
      <c r="AQ103" s="106">
        <v>20280</v>
      </c>
      <c r="AR103" s="106">
        <v>4</v>
      </c>
      <c r="AS103" s="106">
        <v>8112</v>
      </c>
      <c r="AT103" s="106">
        <v>3</v>
      </c>
      <c r="AU103" s="106">
        <v>6084</v>
      </c>
      <c r="AV103" s="106">
        <v>4</v>
      </c>
      <c r="AW103" s="106">
        <v>8112</v>
      </c>
      <c r="AX103" s="106">
        <v>4</v>
      </c>
      <c r="AY103" s="106">
        <v>8112</v>
      </c>
      <c r="AZ103" s="106">
        <v>9</v>
      </c>
      <c r="BA103" s="106">
        <v>18252</v>
      </c>
      <c r="BB103" s="106">
        <v>6</v>
      </c>
      <c r="BC103" s="106">
        <v>12168</v>
      </c>
      <c r="BD103" s="106">
        <v>7</v>
      </c>
      <c r="BE103" s="106">
        <v>14196</v>
      </c>
      <c r="BF103" s="106">
        <v>7</v>
      </c>
      <c r="BG103" s="106">
        <v>14196</v>
      </c>
      <c r="BH103" s="106">
        <v>6</v>
      </c>
      <c r="BI103" s="106">
        <v>12168</v>
      </c>
      <c r="BJ103" s="106">
        <v>10</v>
      </c>
      <c r="BK103" s="106">
        <v>20280</v>
      </c>
      <c r="BL103" s="106">
        <v>8</v>
      </c>
      <c r="BM103" s="106">
        <v>16224</v>
      </c>
      <c r="BN103" s="106">
        <v>7</v>
      </c>
      <c r="BO103" s="106">
        <v>14196</v>
      </c>
      <c r="BP103" s="106">
        <v>3</v>
      </c>
      <c r="BQ103" s="106">
        <v>6084</v>
      </c>
      <c r="BR103" s="106">
        <v>5</v>
      </c>
      <c r="BS103" s="106">
        <v>10140</v>
      </c>
      <c r="BT103" s="106">
        <v>3</v>
      </c>
      <c r="BU103" s="106">
        <v>6084</v>
      </c>
      <c r="BV103" s="106">
        <v>4</v>
      </c>
      <c r="BW103" s="106">
        <v>8112</v>
      </c>
      <c r="BX103" s="106">
        <v>11</v>
      </c>
      <c r="BY103" s="106">
        <v>22308</v>
      </c>
      <c r="BZ103" s="106">
        <v>10</v>
      </c>
      <c r="CA103" s="106">
        <v>20280</v>
      </c>
      <c r="CB103" s="106">
        <v>6</v>
      </c>
      <c r="CC103" s="106">
        <v>12168</v>
      </c>
      <c r="CD103" s="106">
        <v>8</v>
      </c>
      <c r="CE103" s="106">
        <v>16224</v>
      </c>
      <c r="CF103" s="106">
        <v>4</v>
      </c>
      <c r="CG103" s="106">
        <v>8112</v>
      </c>
      <c r="CH103" s="106">
        <v>4</v>
      </c>
      <c r="CI103" s="106">
        <v>8112</v>
      </c>
      <c r="CJ103" s="106">
        <v>6</v>
      </c>
      <c r="CK103" s="106">
        <v>12168</v>
      </c>
      <c r="CL103" s="106">
        <v>6</v>
      </c>
      <c r="CM103" s="106">
        <v>12168</v>
      </c>
      <c r="CN103" s="106">
        <v>11</v>
      </c>
      <c r="CO103" s="106">
        <v>22308</v>
      </c>
      <c r="CP103" s="106">
        <v>11</v>
      </c>
      <c r="CQ103" s="106">
        <v>22308</v>
      </c>
      <c r="CR103" s="106">
        <v>9</v>
      </c>
      <c r="CS103" s="106">
        <v>18252</v>
      </c>
      <c r="CT103" s="106">
        <v>6</v>
      </c>
      <c r="CU103" s="106">
        <v>12168</v>
      </c>
    </row>
    <row r="104" spans="2:99" x14ac:dyDescent="0.2">
      <c r="C104" s="105" t="s">
        <v>270</v>
      </c>
      <c r="D104" s="106">
        <v>14</v>
      </c>
      <c r="E104" s="106">
        <v>29013.600000000002</v>
      </c>
      <c r="F104" s="106">
        <v>15</v>
      </c>
      <c r="G104" s="106">
        <v>31086</v>
      </c>
      <c r="H104" s="106">
        <v>9</v>
      </c>
      <c r="I104" s="106">
        <v>18651.600000000002</v>
      </c>
      <c r="J104" s="106">
        <v>14</v>
      </c>
      <c r="K104" s="106">
        <v>29013.600000000002</v>
      </c>
      <c r="L104" s="106">
        <v>21</v>
      </c>
      <c r="M104" s="106">
        <v>43520.4</v>
      </c>
      <c r="N104" s="106">
        <v>25</v>
      </c>
      <c r="O104" s="106">
        <v>51810</v>
      </c>
      <c r="P104" s="106">
        <v>27</v>
      </c>
      <c r="Q104" s="106">
        <v>55954.8</v>
      </c>
      <c r="R104" s="106">
        <v>25</v>
      </c>
      <c r="S104" s="106">
        <v>51810</v>
      </c>
      <c r="T104" s="106">
        <v>12</v>
      </c>
      <c r="U104" s="106">
        <v>24868.800000000003</v>
      </c>
      <c r="V104" s="106">
        <v>12</v>
      </c>
      <c r="W104" s="106">
        <v>24868.800000000003</v>
      </c>
      <c r="X104" s="106">
        <v>13</v>
      </c>
      <c r="Y104" s="106">
        <v>26941.200000000001</v>
      </c>
      <c r="Z104" s="106">
        <v>11</v>
      </c>
      <c r="AA104" s="106">
        <v>22796.400000000001</v>
      </c>
      <c r="AB104" s="106">
        <v>6</v>
      </c>
      <c r="AC104" s="106">
        <v>12434.400000000001</v>
      </c>
      <c r="AD104" s="106">
        <v>7</v>
      </c>
      <c r="AE104" s="106">
        <v>14506.800000000001</v>
      </c>
      <c r="AF104" s="106">
        <v>6</v>
      </c>
      <c r="AG104" s="106">
        <v>12434.400000000001</v>
      </c>
      <c r="AH104" s="106">
        <v>7</v>
      </c>
      <c r="AI104" s="106">
        <v>14506.800000000001</v>
      </c>
      <c r="AJ104" s="106">
        <v>9</v>
      </c>
      <c r="AK104" s="106">
        <v>18651.600000000002</v>
      </c>
      <c r="AL104" s="106">
        <v>6</v>
      </c>
      <c r="AM104" s="106">
        <v>12434.400000000001</v>
      </c>
      <c r="AN104" s="106">
        <v>7</v>
      </c>
      <c r="AO104" s="106">
        <v>14506.800000000001</v>
      </c>
      <c r="AP104" s="106">
        <v>10</v>
      </c>
      <c r="AQ104" s="106">
        <v>20724</v>
      </c>
      <c r="AR104" s="106">
        <v>5</v>
      </c>
      <c r="AS104" s="106">
        <v>10362</v>
      </c>
      <c r="AT104" s="106">
        <v>3</v>
      </c>
      <c r="AU104" s="106">
        <v>6217.2000000000007</v>
      </c>
      <c r="AV104" s="106">
        <v>4</v>
      </c>
      <c r="AW104" s="106">
        <v>8289.6</v>
      </c>
      <c r="AX104" s="106">
        <v>4</v>
      </c>
      <c r="AY104" s="106">
        <v>8289.6</v>
      </c>
      <c r="AZ104" s="106">
        <v>9</v>
      </c>
      <c r="BA104" s="106">
        <v>18651.600000000002</v>
      </c>
      <c r="BB104" s="106">
        <v>7</v>
      </c>
      <c r="BC104" s="106">
        <v>14506.800000000001</v>
      </c>
      <c r="BD104" s="106">
        <v>8</v>
      </c>
      <c r="BE104" s="106">
        <v>16579.2</v>
      </c>
      <c r="BF104" s="106">
        <v>7</v>
      </c>
      <c r="BG104" s="106">
        <v>14506.800000000001</v>
      </c>
      <c r="BH104" s="106">
        <v>7</v>
      </c>
      <c r="BI104" s="106">
        <v>14506.800000000001</v>
      </c>
      <c r="BJ104" s="106">
        <v>9</v>
      </c>
      <c r="BK104" s="106">
        <v>18651.600000000002</v>
      </c>
      <c r="BL104" s="106">
        <v>8</v>
      </c>
      <c r="BM104" s="106">
        <v>16579.2</v>
      </c>
      <c r="BN104" s="106">
        <v>6</v>
      </c>
      <c r="BO104" s="106">
        <v>12434.400000000001</v>
      </c>
      <c r="BP104" s="106">
        <v>4</v>
      </c>
      <c r="BQ104" s="106">
        <v>8289.6</v>
      </c>
      <c r="BR104" s="106">
        <v>4</v>
      </c>
      <c r="BS104" s="106">
        <v>8289.6</v>
      </c>
      <c r="BT104" s="106">
        <v>3</v>
      </c>
      <c r="BU104" s="106">
        <v>6217.2000000000007</v>
      </c>
      <c r="BV104" s="106">
        <v>3</v>
      </c>
      <c r="BW104" s="106">
        <v>6217.2000000000007</v>
      </c>
      <c r="BX104" s="106">
        <v>10</v>
      </c>
      <c r="BY104" s="106">
        <v>20724</v>
      </c>
      <c r="BZ104" s="106">
        <v>11</v>
      </c>
      <c r="CA104" s="106">
        <v>22796.400000000001</v>
      </c>
      <c r="CB104" s="106">
        <v>7</v>
      </c>
      <c r="CC104" s="106">
        <v>14506.800000000001</v>
      </c>
      <c r="CD104" s="106">
        <v>7</v>
      </c>
      <c r="CE104" s="106">
        <v>14506.800000000001</v>
      </c>
      <c r="CF104" s="106">
        <v>4</v>
      </c>
      <c r="CG104" s="106">
        <v>8289.6</v>
      </c>
      <c r="CH104" s="106">
        <v>4</v>
      </c>
      <c r="CI104" s="106">
        <v>8289.6</v>
      </c>
      <c r="CJ104" s="106">
        <v>5</v>
      </c>
      <c r="CK104" s="106">
        <v>10362</v>
      </c>
      <c r="CL104" s="106">
        <v>6</v>
      </c>
      <c r="CM104" s="106">
        <v>12434.400000000001</v>
      </c>
      <c r="CN104" s="106">
        <v>10</v>
      </c>
      <c r="CO104" s="106">
        <v>20724</v>
      </c>
      <c r="CP104" s="106">
        <v>10</v>
      </c>
      <c r="CQ104" s="106">
        <v>20724</v>
      </c>
      <c r="CR104" s="106">
        <v>10</v>
      </c>
      <c r="CS104" s="106">
        <v>20724</v>
      </c>
      <c r="CT104" s="106">
        <v>6</v>
      </c>
      <c r="CU104" s="106">
        <v>12434.400000000001</v>
      </c>
    </row>
    <row r="105" spans="2:99" x14ac:dyDescent="0.2">
      <c r="C105" s="105" t="s">
        <v>271</v>
      </c>
      <c r="D105" s="106">
        <v>14</v>
      </c>
      <c r="E105" s="106">
        <v>27972</v>
      </c>
      <c r="F105" s="106">
        <v>14</v>
      </c>
      <c r="G105" s="106">
        <v>27972</v>
      </c>
      <c r="H105" s="106">
        <v>9</v>
      </c>
      <c r="I105" s="106">
        <v>17982</v>
      </c>
      <c r="J105" s="106">
        <v>14</v>
      </c>
      <c r="K105" s="106">
        <v>27972</v>
      </c>
      <c r="L105" s="106">
        <v>21</v>
      </c>
      <c r="M105" s="106">
        <v>41958</v>
      </c>
      <c r="N105" s="106">
        <v>27</v>
      </c>
      <c r="O105" s="106">
        <v>53946</v>
      </c>
      <c r="P105" s="106">
        <v>29</v>
      </c>
      <c r="Q105" s="106">
        <v>57942</v>
      </c>
      <c r="R105" s="106">
        <v>24</v>
      </c>
      <c r="S105" s="106">
        <v>47952</v>
      </c>
      <c r="T105" s="106">
        <v>13</v>
      </c>
      <c r="U105" s="106">
        <v>25974</v>
      </c>
      <c r="V105" s="106">
        <v>10</v>
      </c>
      <c r="W105" s="106">
        <v>19980</v>
      </c>
      <c r="X105" s="106">
        <v>12</v>
      </c>
      <c r="Y105" s="106">
        <v>23976</v>
      </c>
      <c r="Z105" s="106">
        <v>11</v>
      </c>
      <c r="AA105" s="106">
        <v>21978</v>
      </c>
      <c r="AB105" s="106">
        <v>7</v>
      </c>
      <c r="AC105" s="106">
        <v>13986</v>
      </c>
      <c r="AD105" s="106">
        <v>7</v>
      </c>
      <c r="AE105" s="106">
        <v>13986</v>
      </c>
      <c r="AF105" s="106">
        <v>7</v>
      </c>
      <c r="AG105" s="106">
        <v>13986</v>
      </c>
      <c r="AH105" s="106">
        <v>7</v>
      </c>
      <c r="AI105" s="106">
        <v>13986</v>
      </c>
      <c r="AJ105" s="106">
        <v>8</v>
      </c>
      <c r="AK105" s="106">
        <v>15984</v>
      </c>
      <c r="AL105" s="106">
        <v>6</v>
      </c>
      <c r="AM105" s="106">
        <v>11988</v>
      </c>
      <c r="AN105" s="106">
        <v>7</v>
      </c>
      <c r="AO105" s="106">
        <v>13986</v>
      </c>
      <c r="AP105" s="106">
        <v>11</v>
      </c>
      <c r="AQ105" s="106">
        <v>21978</v>
      </c>
      <c r="AR105" s="106">
        <v>5</v>
      </c>
      <c r="AS105" s="106">
        <v>9990</v>
      </c>
      <c r="AT105" s="106">
        <v>3</v>
      </c>
      <c r="AU105" s="106">
        <v>5994</v>
      </c>
      <c r="AV105" s="106">
        <v>4</v>
      </c>
      <c r="AW105" s="106">
        <v>7992</v>
      </c>
      <c r="AX105" s="106">
        <v>4</v>
      </c>
      <c r="AY105" s="106">
        <v>7992</v>
      </c>
      <c r="AZ105" s="106">
        <v>8</v>
      </c>
      <c r="BA105" s="106">
        <v>15984</v>
      </c>
      <c r="BB105" s="106">
        <v>7</v>
      </c>
      <c r="BC105" s="106">
        <v>13986</v>
      </c>
      <c r="BD105" s="106">
        <v>7</v>
      </c>
      <c r="BE105" s="106">
        <v>13986</v>
      </c>
      <c r="BF105" s="106">
        <v>7</v>
      </c>
      <c r="BG105" s="106">
        <v>13986</v>
      </c>
      <c r="BH105" s="106">
        <v>6</v>
      </c>
      <c r="BI105" s="106">
        <v>11988</v>
      </c>
      <c r="BJ105" s="106">
        <v>10</v>
      </c>
      <c r="BK105" s="106">
        <v>19980</v>
      </c>
      <c r="BL105" s="106">
        <v>8</v>
      </c>
      <c r="BM105" s="106">
        <v>15984</v>
      </c>
      <c r="BN105" s="106">
        <v>7</v>
      </c>
      <c r="BO105" s="106">
        <v>13986</v>
      </c>
      <c r="BP105" s="106">
        <v>4</v>
      </c>
      <c r="BQ105" s="106">
        <v>7992</v>
      </c>
      <c r="BR105" s="106">
        <v>4</v>
      </c>
      <c r="BS105" s="106">
        <v>7992</v>
      </c>
      <c r="BT105" s="106">
        <v>3</v>
      </c>
      <c r="BU105" s="106">
        <v>5994</v>
      </c>
      <c r="BV105" s="106">
        <v>4</v>
      </c>
      <c r="BW105" s="106">
        <v>7992</v>
      </c>
      <c r="BX105" s="106">
        <v>11</v>
      </c>
      <c r="BY105" s="106">
        <v>21978</v>
      </c>
      <c r="BZ105" s="106">
        <v>11</v>
      </c>
      <c r="CA105" s="106">
        <v>21978</v>
      </c>
      <c r="CB105" s="106">
        <v>6</v>
      </c>
      <c r="CC105" s="106">
        <v>11988</v>
      </c>
      <c r="CD105" s="106">
        <v>8</v>
      </c>
      <c r="CE105" s="106">
        <v>15984</v>
      </c>
      <c r="CF105" s="106">
        <v>5</v>
      </c>
      <c r="CG105" s="106">
        <v>9990</v>
      </c>
      <c r="CH105" s="106">
        <v>4</v>
      </c>
      <c r="CI105" s="106">
        <v>7992</v>
      </c>
      <c r="CJ105" s="106">
        <v>6</v>
      </c>
      <c r="CK105" s="106">
        <v>11988</v>
      </c>
      <c r="CL105" s="106">
        <v>5</v>
      </c>
      <c r="CM105" s="106">
        <v>9990</v>
      </c>
      <c r="CN105" s="106">
        <v>10</v>
      </c>
      <c r="CO105" s="106">
        <v>19980</v>
      </c>
      <c r="CP105" s="106">
        <v>11</v>
      </c>
      <c r="CQ105" s="106">
        <v>21978</v>
      </c>
      <c r="CR105" s="106">
        <v>9</v>
      </c>
      <c r="CS105" s="106">
        <v>17982</v>
      </c>
      <c r="CT105" s="106">
        <v>5</v>
      </c>
      <c r="CU105" s="106">
        <v>9990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47</v>
      </c>
      <c r="E112" s="106">
        <f>SUM(L$49:L$70)+SUM(N$49:N$70)+SUM(P$49:P$70)+SUM(R$49:R$70)</f>
        <v>41</v>
      </c>
      <c r="F112" s="106">
        <f>SUM(T$49:T$70)+SUM(V$49:V$70)+SUM(X$49:X$70)+SUM(Z$49:Z$70)</f>
        <v>574</v>
      </c>
      <c r="G112" s="106">
        <f>SUM(AB$49:AB$70)+SUM(AD$49:AD$70)+SUM(AF$49:AF$70)+SUM(AH$49:AH$70)</f>
        <v>104</v>
      </c>
      <c r="H112" s="106">
        <f>SUM(AJ$49:AJ$70)+SUM(AL$49:AL$70)+SUM(AN$49:AN$70)+SUM(AP$49:AP$70)</f>
        <v>181</v>
      </c>
      <c r="I112" s="106">
        <f>SUM(AR$49:AR$70)+SUM(AT$49:AT$70)+SUM(AV$49:AV$70)+SUM(AX$49:AX$70)</f>
        <v>37</v>
      </c>
      <c r="J112" s="106">
        <f>SUM(AZ$49:AZ$70)+SUM(BB$49:BB$70)+SUM(BD$49:BD$70)+SUM(BF$49:BF$70)</f>
        <v>47</v>
      </c>
      <c r="K112" s="106">
        <f>SUM(BH$49:BH$70)+SUM(BJ$49:BJ$70)+SUM(BL$49:BL$70)+SUM(BN$49:BN$70)</f>
        <v>66</v>
      </c>
      <c r="L112" s="106">
        <f>SUM(BP$49:BP$70)+SUM(BR$49:BR$70)+SUM(BT$49:BT$70)+SUM(BV$49:BV$70)</f>
        <v>102</v>
      </c>
      <c r="M112" s="106">
        <f>SUM(BX$49:BX$70)+SUM(BZ$49:BZ$70)+SUM(CB$49:CB$70)+SUM(CD$49:CD$70)</f>
        <v>39</v>
      </c>
      <c r="N112" s="106">
        <f>SUM(CF$49:CF$70)+SUM(CH$49:CH$70)+SUM(CJ$49:CJ$70)+SUM(CL$49:CL$70)</f>
        <v>589</v>
      </c>
      <c r="O112" s="106">
        <f>SUM(CN$49:CN$70)+SUM(CP$49:CP$70)+SUM(CR$49:CR$70)+SUM(CT$49:CT$70)</f>
        <v>71</v>
      </c>
    </row>
    <row r="113" spans="2:15" x14ac:dyDescent="0.2">
      <c r="C113" s="105" t="s">
        <v>130</v>
      </c>
      <c r="D113" s="106">
        <f>SUM(D$71:D$86)+SUM(F$71:F$86)+SUM(H$71:H$86)+SUM(J$71:J$86)</f>
        <v>1428</v>
      </c>
      <c r="E113" s="106">
        <f>SUM(L$71:L$86)+SUM(N$71:N$86)+SUM(P$71:P$86)+SUM(R$71:R$86)</f>
        <v>1707</v>
      </c>
      <c r="F113" s="106">
        <f>SUM(T$71:T$86)+SUM(V$71:V$86)+SUM(X$71:X$86)+SUM(Z$71:Z$86)</f>
        <v>915</v>
      </c>
      <c r="G113" s="106">
        <f>SUM(AB$71:AB$86)+SUM(AD$71:AD$86)+SUM(AF$71:AF$86)+SUM(AH$71:AH$86)</f>
        <v>742</v>
      </c>
      <c r="H113" s="106">
        <f>SUM(AJ$71:AJ$86)+SUM(AL$71:AL$86)+SUM(AN$71:AN$86)+SUM(AP$71:AP$86)</f>
        <v>1172</v>
      </c>
      <c r="I113" s="106">
        <f>SUM(AR$71:AR$86)+SUM(AT$71:AT$86)+SUM(AV$71:AV$86)+SUM(AX$71:AX$86)</f>
        <v>2041</v>
      </c>
      <c r="J113" s="106">
        <f>SUM(AZ$71:AZ$86)+SUM(BB$71:BB$86)+SUM(BD$71:BD$86)+SUM(BF$71:BF$86)</f>
        <v>202</v>
      </c>
      <c r="K113" s="106">
        <f>SUM(BH$71:BH$86)+SUM(BJ$71:BJ$86)+SUM(BL$71:BL$86)+SUM(BN$71:BN$86)</f>
        <v>170</v>
      </c>
      <c r="L113" s="106">
        <f>SUM(BP$71:BP$86)+SUM(BR$71:BR$86)+SUM(BT$71:BT$86)+SUM(BV$71:BV$86)</f>
        <v>272</v>
      </c>
      <c r="M113" s="106">
        <f>SUM(BX$71:BX$86)+SUM(BZ$71:BZ$86)+SUM(CB$71:CB$86)+SUM(CD$71:CD$86)</f>
        <v>1364</v>
      </c>
      <c r="N113" s="106">
        <f>SUM(CF$71:CF$86)+SUM(CH$71:CH$86)+SUM(CJ$71:CJ$86)+SUM(CL$71:CL$86)</f>
        <v>179</v>
      </c>
      <c r="O113" s="106">
        <f>SUM(CN$71:CN$86)+SUM(CP$71:CP$86)+SUM(CR$71:CR$86)+SUM(CT$71:CT$86)</f>
        <v>358</v>
      </c>
    </row>
    <row r="114" spans="2:15" x14ac:dyDescent="0.2">
      <c r="C114" s="105" t="s">
        <v>131</v>
      </c>
      <c r="D114" s="106">
        <f>SUM(D$87:D$94)+SUM(F$87:F$94)+SUM(H$87:H$94)+SUM(J$87:J$94)</f>
        <v>105</v>
      </c>
      <c r="E114" s="106">
        <f>SUM(L$87:L$94)+SUM(N$87:N$94)+SUM(P$87:P$94)+SUM(R$87:R$94)</f>
        <v>216</v>
      </c>
      <c r="F114" s="106">
        <f>SUM(T$87:T$94)+SUM(V$87:V$94)+SUM(X$87:X$94)+SUM(Z$87:Z$94)</f>
        <v>242</v>
      </c>
      <c r="G114" s="106">
        <f>SUM(AB$87:AB$94)+SUM(AD$87:AD$94)+SUM(AF$87:AF$94)+SUM(AH$87:AH$94)</f>
        <v>309</v>
      </c>
      <c r="H114" s="106">
        <f>SUM(AJ$87:AJ$94)+SUM(AL$87:AL$94)+SUM(AN$87:AN$94)+SUM(AP$87:AP$94)</f>
        <v>289</v>
      </c>
      <c r="I114" s="106">
        <f>SUM(AR$87:AR$94)+SUM(AT$87:AT$94)+SUM(AV$87:AV$94)+SUM(AX$87:AX$94)</f>
        <v>594</v>
      </c>
      <c r="J114" s="106">
        <f>SUM(AZ$87:AZ$94)+SUM(BB$87:BB$94)+SUM(BD$87:BD$94)+SUM(BF$87:BF$94)</f>
        <v>124</v>
      </c>
      <c r="K114" s="106">
        <f>SUM(BH$87:BH$94)+SUM(BJ$87:BJ$94)+SUM(BL$87:BL$94)+SUM(BN$87:BN$94)</f>
        <v>288</v>
      </c>
      <c r="L114" s="106">
        <f>SUM(BP$87:BP$94)+SUM(BR$87:BR$94)+SUM(BT$87:BT$94)+SUM(BV$87:BV$94)</f>
        <v>576</v>
      </c>
      <c r="M114" s="106">
        <f>SUM(BX$87:BX$94)+SUM(BZ$87:BZ$94)+SUM(CB$87:CB$94)+SUM(CD$87:CD$94)</f>
        <v>262</v>
      </c>
      <c r="N114" s="106">
        <f>SUM(CF$87:CF$94)+SUM(CH$87:CH$94)+SUM(CJ$87:CJ$94)+SUM(CL$87:CL$94)</f>
        <v>143</v>
      </c>
      <c r="O114" s="106">
        <f>SUM(CN$87:CN$94)+SUM(CP$87:CP$94)+SUM(CR$87:CR$94)+SUM(CT$87:CT$94)</f>
        <v>111</v>
      </c>
    </row>
    <row r="115" spans="2:15" x14ac:dyDescent="0.2">
      <c r="C115" s="105" t="s">
        <v>132</v>
      </c>
      <c r="D115" s="106">
        <f>SUM(D$95:D$105)+SUM(F$95:F$105)+SUM(H$95:H$105)+SUM(J$95:J$105)</f>
        <v>587</v>
      </c>
      <c r="E115" s="106">
        <f>SUM(L$95:L$105)+SUM(N$95:N$105)+SUM(P$95:P$105)+SUM(R$95:R$105)</f>
        <v>1125</v>
      </c>
      <c r="F115" s="106">
        <f>SUM(T$95:T$105)+SUM(V$95:V$105)+SUM(X$95:X$105)+SUM(Z$95:Z$105)</f>
        <v>524</v>
      </c>
      <c r="G115" s="106">
        <f>SUM(AB$95:AB$105)+SUM(AD$95:AD$105)+SUM(AF$95:AF$105)+SUM(AH$95:AH$105)</f>
        <v>292</v>
      </c>
      <c r="H115" s="106">
        <f>SUM(AJ$95:AJ$105)+SUM(AL$95:AL$105)+SUM(AN$95:AN$105)+SUM(AP$95:AP$105)</f>
        <v>347</v>
      </c>
      <c r="I115" s="106">
        <f>SUM(AR$95:AR$105)+SUM(AT$95:AT$105)+SUM(AV$95:AV$105)+SUM(AX$95:AX$105)</f>
        <v>174</v>
      </c>
      <c r="J115" s="106">
        <f>SUM(AZ$95:AZ$105)+SUM(BB$95:BB$105)+SUM(BD$95:BD$105)+SUM(BF$95:BF$105)</f>
        <v>331</v>
      </c>
      <c r="K115" s="106">
        <f>SUM(BH$95:BH$105)+SUM(BJ$95:BJ$105)+SUM(BL$95:BL$105)+SUM(BN$95:BN$105)</f>
        <v>340</v>
      </c>
      <c r="L115" s="106">
        <f>SUM(BP$95:BP$105)+SUM(BR$95:BR$105)+SUM(BT$95:BT$105)+SUM(BV$95:BV$105)</f>
        <v>161</v>
      </c>
      <c r="M115" s="106">
        <f>SUM(BX$95:BX$105)+SUM(BZ$95:BZ$105)+SUM(CB$95:CB$105)+SUM(CD$95:CD$105)</f>
        <v>394</v>
      </c>
      <c r="N115" s="106">
        <f>SUM(CF$95:CF$105)+SUM(CH$95:CH$105)+SUM(CJ$95:CJ$105)+SUM(CL$95:CL$105)</f>
        <v>222</v>
      </c>
      <c r="O115" s="106">
        <f>SUM(CN$95:CN$105)+SUM(CP$95:CP$105)+SUM(CR$95:CR$105)+SUM(CT$95:CT$105)</f>
        <v>390</v>
      </c>
    </row>
    <row r="116" spans="2:15" x14ac:dyDescent="0.2">
      <c r="C116" s="105" t="s">
        <v>278</v>
      </c>
      <c r="D116" s="106">
        <f t="shared" ref="D116:O116" si="0">SUM(D$109:D$115)</f>
        <v>2167</v>
      </c>
      <c r="E116" s="106">
        <f t="shared" si="0"/>
        <v>3089</v>
      </c>
      <c r="F116" s="106">
        <f t="shared" si="0"/>
        <v>2255</v>
      </c>
      <c r="G116" s="106">
        <f t="shared" si="0"/>
        <v>1447</v>
      </c>
      <c r="H116" s="106">
        <f t="shared" si="0"/>
        <v>1989</v>
      </c>
      <c r="I116" s="106">
        <f t="shared" si="0"/>
        <v>2846</v>
      </c>
      <c r="J116" s="106">
        <f t="shared" si="0"/>
        <v>704</v>
      </c>
      <c r="K116" s="106">
        <f t="shared" si="0"/>
        <v>864</v>
      </c>
      <c r="L116" s="106">
        <f t="shared" si="0"/>
        <v>1111</v>
      </c>
      <c r="M116" s="106">
        <f t="shared" si="0"/>
        <v>2059</v>
      </c>
      <c r="N116" s="106">
        <f t="shared" si="0"/>
        <v>1133</v>
      </c>
      <c r="O116" s="106">
        <f t="shared" si="0"/>
        <v>930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D109*pricing!D6*2000</f>
        <v>0</v>
      </c>
      <c r="E120" s="106">
        <f>E109*pricing!E6*2000</f>
        <v>0</v>
      </c>
      <c r="F120" s="106">
        <f>F109*pricing!F6*2000</f>
        <v>0</v>
      </c>
      <c r="G120" s="106">
        <f>G109*pricing!G6*2000</f>
        <v>0</v>
      </c>
      <c r="H120" s="106">
        <f>H109*pricing!H6*2000</f>
        <v>0</v>
      </c>
      <c r="I120" s="106">
        <f>I109*pricing!I6*2000</f>
        <v>0</v>
      </c>
      <c r="J120" s="106">
        <f>J109*pricing!J6*2000</f>
        <v>0</v>
      </c>
      <c r="K120" s="106">
        <f>K109*pricing!K6*2000</f>
        <v>0</v>
      </c>
      <c r="L120" s="106">
        <f>L109*pricing!L6*2000</f>
        <v>0</v>
      </c>
      <c r="M120" s="106">
        <f>M109*pricing!M6*2000</f>
        <v>0</v>
      </c>
      <c r="N120" s="106">
        <f>N109*pricing!N6*2000</f>
        <v>0</v>
      </c>
      <c r="O120" s="106">
        <f>O109*pricing!O6*2000</f>
        <v>0</v>
      </c>
    </row>
    <row r="121" spans="2:15" x14ac:dyDescent="0.2">
      <c r="C121" s="105" t="s">
        <v>127</v>
      </c>
      <c r="D121" s="106">
        <f>D110*pricing!D7*2000</f>
        <v>0</v>
      </c>
      <c r="E121" s="106">
        <f>E110*pricing!E7*2000</f>
        <v>0</v>
      </c>
      <c r="F121" s="106">
        <f>F110*pricing!F7*2000</f>
        <v>0</v>
      </c>
      <c r="G121" s="106">
        <f>G110*pricing!G7*2000</f>
        <v>0</v>
      </c>
      <c r="H121" s="106">
        <f>H110*pricing!H7*2000</f>
        <v>0</v>
      </c>
      <c r="I121" s="106">
        <f>I110*pricing!I7*2000</f>
        <v>0</v>
      </c>
      <c r="J121" s="106">
        <f>J110*pricing!J7*2000</f>
        <v>0</v>
      </c>
      <c r="K121" s="106">
        <f>K110*pricing!K7*2000</f>
        <v>0</v>
      </c>
      <c r="L121" s="106">
        <f>L110*pricing!L7*2000</f>
        <v>0</v>
      </c>
      <c r="M121" s="106">
        <f>M110*pricing!M7*2000</f>
        <v>0</v>
      </c>
      <c r="N121" s="106">
        <f>N110*pricing!N7*2000</f>
        <v>0</v>
      </c>
      <c r="O121" s="106">
        <f>O110*pricing!O7*2000</f>
        <v>0</v>
      </c>
    </row>
    <row r="122" spans="2:15" x14ac:dyDescent="0.2">
      <c r="C122" s="105" t="s">
        <v>128</v>
      </c>
      <c r="D122" s="106">
        <f>D111*pricing!D8*2000</f>
        <v>0</v>
      </c>
      <c r="E122" s="106">
        <f>E111*pricing!E8*2000</f>
        <v>0</v>
      </c>
      <c r="F122" s="106">
        <f>F111*pricing!F8*2000</f>
        <v>0</v>
      </c>
      <c r="G122" s="106">
        <f>G111*pricing!G8*2000</f>
        <v>0</v>
      </c>
      <c r="H122" s="106">
        <f>H111*pricing!H8*2000</f>
        <v>0</v>
      </c>
      <c r="I122" s="106">
        <f>I111*pricing!I8*2000</f>
        <v>0</v>
      </c>
      <c r="J122" s="106">
        <f>J111*pricing!J8*2000</f>
        <v>0</v>
      </c>
      <c r="K122" s="106">
        <f>K111*pricing!K8*2000</f>
        <v>0</v>
      </c>
      <c r="L122" s="106">
        <f>L111*pricing!L8*2000</f>
        <v>0</v>
      </c>
      <c r="M122" s="106">
        <f>M111*pricing!M8*2000</f>
        <v>0</v>
      </c>
      <c r="N122" s="106">
        <f>N111*pricing!N8*2000</f>
        <v>0</v>
      </c>
      <c r="O122" s="106">
        <f>O111*pricing!O8*2000</f>
        <v>0</v>
      </c>
    </row>
    <row r="123" spans="2:15" x14ac:dyDescent="0.2">
      <c r="C123" s="105" t="s">
        <v>129</v>
      </c>
      <c r="D123" s="106">
        <f>D112*pricing!D9*2000</f>
        <v>314729.05952483823</v>
      </c>
      <c r="E123" s="106">
        <f>E112*pricing!E9*2000</f>
        <v>275659.34327308752</v>
      </c>
      <c r="F123" s="106">
        <f>F112*pricing!F9*2000</f>
        <v>1333022.1271751469</v>
      </c>
      <c r="G123" s="106">
        <f>G112*pricing!G9*2000</f>
        <v>490582.02680189407</v>
      </c>
      <c r="H123" s="106">
        <f>H112*pricing!H9*2000</f>
        <v>704363.58429370495</v>
      </c>
      <c r="I123" s="106">
        <f>I112*pricing!I9*2000</f>
        <v>266025.87149794272</v>
      </c>
      <c r="J123" s="106">
        <f>J112*pricing!J9*2000</f>
        <v>310529.89303078398</v>
      </c>
      <c r="K123" s="106">
        <f>K112*pricing!K9*2000</f>
        <v>399656.70570627734</v>
      </c>
      <c r="L123" s="106">
        <f>L112*pricing!L9*2000</f>
        <v>464648.85842498776</v>
      </c>
      <c r="M123" s="106">
        <f>M112*pricing!M9*2000</f>
        <v>280241.85426832078</v>
      </c>
      <c r="N123" s="106">
        <f>N112*pricing!N9*2000</f>
        <v>1310073.6675197564</v>
      </c>
      <c r="O123" s="106">
        <f>O112*pricing!O9*2000</f>
        <v>370922.31568926276</v>
      </c>
    </row>
    <row r="124" spans="2:15" x14ac:dyDescent="0.2">
      <c r="C124" s="105" t="s">
        <v>130</v>
      </c>
      <c r="D124" s="106">
        <f>D113*pricing!D10*2000</f>
        <v>3831893.3215373941</v>
      </c>
      <c r="E124" s="106">
        <f>E113*pricing!E10*2000</f>
        <v>4558545.6193174664</v>
      </c>
      <c r="F124" s="106">
        <f>F113*pricing!F10*2000</f>
        <v>3209638.5965157761</v>
      </c>
      <c r="G124" s="106">
        <f>G113*pricing!G10*2000</f>
        <v>2868111.7670758679</v>
      </c>
      <c r="H124" s="106">
        <f>H113*pricing!H10*2000</f>
        <v>3301886.3562894827</v>
      </c>
      <c r="I124" s="106">
        <f>I113*pricing!I10*2000</f>
        <v>4971572.2722157342</v>
      </c>
      <c r="J124" s="106">
        <f>J113*pricing!J10*2000</f>
        <v>1328117.273752376</v>
      </c>
      <c r="K124" s="106">
        <f>K113*pricing!K10*2000</f>
        <v>1188678.2494176726</v>
      </c>
      <c r="L124" s="106">
        <f>L113*pricing!L10*2000</f>
        <v>1677677.0979010598</v>
      </c>
      <c r="M124" s="106">
        <f>M113*pricing!M10*2000</f>
        <v>4012652.8306386913</v>
      </c>
      <c r="N124" s="106">
        <f>N113*pricing!N10*2000</f>
        <v>1272789.3512888534</v>
      </c>
      <c r="O124" s="106">
        <f>O113*pricing!O10*2000</f>
        <v>2032839.7025532068</v>
      </c>
    </row>
    <row r="125" spans="2:15" x14ac:dyDescent="0.2">
      <c r="C125" s="105" t="s">
        <v>131</v>
      </c>
      <c r="D125" s="106">
        <f>D114*pricing!D11*2000</f>
        <v>676943.65707962483</v>
      </c>
      <c r="E125" s="106">
        <f>E114*pricing!E11*2000</f>
        <v>1083829.2443216096</v>
      </c>
      <c r="F125" s="106">
        <f>F114*pricing!F11*2000</f>
        <v>1206772.4007404749</v>
      </c>
      <c r="G125" s="106">
        <f>G114*pricing!G11*2000</f>
        <v>1214560.8773328078</v>
      </c>
      <c r="H125" s="106">
        <f>H114*pricing!H11*2000</f>
        <v>1244765.7225914665</v>
      </c>
      <c r="I125" s="106">
        <f>I114*pricing!I11*2000</f>
        <v>1910789.1051017537</v>
      </c>
      <c r="J125" s="106">
        <f>J114*pricing!J11*2000</f>
        <v>823638.60595675791</v>
      </c>
      <c r="K125" s="106">
        <f>K114*pricing!K11*2000</f>
        <v>1298322.3767492394</v>
      </c>
      <c r="L125" s="106">
        <f>L114*pricing!L11*2000</f>
        <v>1963571.8592839846</v>
      </c>
      <c r="M125" s="106">
        <f>M114*pricing!M11*2000</f>
        <v>1259507.6415228816</v>
      </c>
      <c r="N125" s="106">
        <f>N114*pricing!N11*2000</f>
        <v>906650.81413381186</v>
      </c>
      <c r="O125" s="106">
        <f>O114*pricing!O11*2000</f>
        <v>798529.43134141644</v>
      </c>
    </row>
    <row r="126" spans="2:15" x14ac:dyDescent="0.2">
      <c r="C126" s="105" t="s">
        <v>132</v>
      </c>
      <c r="D126" s="106">
        <f>D115*pricing!D12*2000</f>
        <v>2266587.4602758973</v>
      </c>
      <c r="E126" s="106">
        <f>E115*pricing!E12*2000</f>
        <v>3017583.6918534013</v>
      </c>
      <c r="F126" s="106">
        <f>F115*pricing!F12*2000</f>
        <v>1931254.4124118651</v>
      </c>
      <c r="G126" s="106">
        <f>G115*pricing!G12*2000</f>
        <v>1575677.9033006278</v>
      </c>
      <c r="H126" s="106">
        <f>H115*pricing!H12*2000</f>
        <v>1686587.7953593491</v>
      </c>
      <c r="I126" s="106">
        <f>I115*pricing!I12*2000</f>
        <v>1196264.3955159576</v>
      </c>
      <c r="J126" s="106">
        <f>J115*pricing!J12*2000</f>
        <v>1613083.203452128</v>
      </c>
      <c r="K126" s="106">
        <f>K115*pricing!K12*2000</f>
        <v>1615301.8881896758</v>
      </c>
      <c r="L126" s="106">
        <f>L115*pricing!L12*2000</f>
        <v>1077053.8529468742</v>
      </c>
      <c r="M126" s="106">
        <f>M115*pricing!M12*2000</f>
        <v>1815890.5835078026</v>
      </c>
      <c r="N126" s="106">
        <f>N115*pricing!N12*2000</f>
        <v>1322827.5090901332</v>
      </c>
      <c r="O126" s="106">
        <f>O115*pricing!O12*2000</f>
        <v>1849982.674455622</v>
      </c>
    </row>
    <row r="127" spans="2:15" x14ac:dyDescent="0.2">
      <c r="C127" s="105" t="s">
        <v>278</v>
      </c>
      <c r="D127" s="106">
        <f t="shared" ref="D127:O127" si="1">SUM(D$120:D$126)</f>
        <v>7090153.4984177537</v>
      </c>
      <c r="E127" s="106">
        <f t="shared" si="1"/>
        <v>8935617.898765564</v>
      </c>
      <c r="F127" s="106">
        <f t="shared" si="1"/>
        <v>7680687.5368432626</v>
      </c>
      <c r="G127" s="106">
        <f t="shared" si="1"/>
        <v>6148932.5745111974</v>
      </c>
      <c r="H127" s="106">
        <f t="shared" si="1"/>
        <v>6937603.4585340032</v>
      </c>
      <c r="I127" s="106">
        <f t="shared" si="1"/>
        <v>8344651.6443313891</v>
      </c>
      <c r="J127" s="106">
        <f t="shared" si="1"/>
        <v>4075368.976192046</v>
      </c>
      <c r="K127" s="106">
        <f t="shared" si="1"/>
        <v>4501959.2200628649</v>
      </c>
      <c r="L127" s="106">
        <f t="shared" si="1"/>
        <v>5182951.6685569063</v>
      </c>
      <c r="M127" s="106">
        <f t="shared" si="1"/>
        <v>7368292.9099376956</v>
      </c>
      <c r="N127" s="106">
        <f t="shared" si="1"/>
        <v>4812341.3420325546</v>
      </c>
      <c r="O127" s="106">
        <f t="shared" si="1"/>
        <v>5052274.1240395084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51860.399999999994</v>
      </c>
      <c r="E134" s="112">
        <f>SUM(M$49:M$70)+SUM(O$49:O$70)+SUM(Q$49:Q$70)+SUM(S$49:S$70)</f>
        <v>45207.599999999991</v>
      </c>
      <c r="F134" s="112">
        <f>SUM(U$49:U$70)+SUM(W$49:W$70)+SUM(Y$49:Y$70)+SUM(AA$49:AA$70)</f>
        <v>632236.80000000005</v>
      </c>
      <c r="G134" s="112">
        <f>SUM(AC$49:AC$70)+SUM(AE$49:AE$70)+SUM(AG$49:AG$70)+SUM(AI$49:AI$70)</f>
        <v>114784.79999999999</v>
      </c>
      <c r="H134" s="112">
        <f>SUM(AK$49:AK$70)+SUM(AM$49:AM$70)+SUM(AO$49:AO$70)+SUM(AQ$49:AQ$70)</f>
        <v>199366.8</v>
      </c>
      <c r="I134" s="112">
        <f>SUM(AS$49:AS$70)+SUM(AU$49:AU$70)+SUM(AW$49:AW$70)+SUM(AY$49:AY$70)</f>
        <v>40909.199999999997</v>
      </c>
      <c r="J134" s="112">
        <f>SUM(BA$49:BA$70)+SUM(BC$49:BC$70)+SUM(BE$49:BE$70)+SUM(BG$49:BG$70)</f>
        <v>52052.399999999994</v>
      </c>
      <c r="K134" s="112">
        <f>SUM(BI$49:BI$70)+SUM(BK$49:BK$70)+SUM(BM$49:BM$70)+SUM(BO$49:BO$70)</f>
        <v>72890.399999999994</v>
      </c>
      <c r="L134" s="112">
        <f>SUM(BQ$49:BQ$70)+SUM(BS$49:BS$70)+SUM(BU$49:BU$70)+SUM(BW$49:BW$70)</f>
        <v>112099.2</v>
      </c>
      <c r="M134" s="112">
        <f>SUM(BY$49:BY$70)+SUM(CA$49:CA$70)+SUM(CC$49:CC$70)+SUM(CE$49:CE$70)</f>
        <v>43071.6</v>
      </c>
      <c r="N134" s="112">
        <f>SUM(CG$49:CG$70)+SUM(CI$49:CI$70)+SUM(CK$49:CK$70)+SUM(CM$49:CM$70)</f>
        <v>649518</v>
      </c>
      <c r="O134" s="112">
        <f>SUM(CO$49:CO$70)+SUM(CQ$49:CQ$70)+SUM(CS$49:CS$70)+SUM(CU$49:CU$70)</f>
        <v>78366</v>
      </c>
    </row>
    <row r="135" spans="2:15" x14ac:dyDescent="0.2">
      <c r="C135" s="111" t="s">
        <v>130</v>
      </c>
      <c r="D135" s="112">
        <f>SUM(E$71:E$86)+SUM(G$71:G$86)+SUM(I$71:I$86)+SUM(K$71:K$86)</f>
        <v>791380.79999999993</v>
      </c>
      <c r="E135" s="112">
        <f>SUM(M$71:M$86)+SUM(O$71:O$86)+SUM(Q$71:Q$86)+SUM(S$71:S$86)</f>
        <v>944375.99999999977</v>
      </c>
      <c r="F135" s="112">
        <f>SUM(U$71:U$86)+SUM(W$71:W$86)+SUM(Y$71:Y$86)+SUM(AA$71:AA$86)</f>
        <v>510723.6</v>
      </c>
      <c r="G135" s="112">
        <f>SUM(AC$71:AC$86)+SUM(AE$71:AE$86)+SUM(AG$71:AG$86)+SUM(AI$71:AI$86)</f>
        <v>414468</v>
      </c>
      <c r="H135" s="112">
        <f>SUM(AK$71:AK$86)+SUM(AM$71:AM$86)+SUM(AO$71:AO$86)+SUM(AQ$71:AQ$86)</f>
        <v>652266</v>
      </c>
      <c r="I135" s="112">
        <f>SUM(AS$71:AS$86)+SUM(AU$71:AU$86)+SUM(AW$71:AW$86)+SUM(AY$71:AY$86)</f>
        <v>1131744</v>
      </c>
      <c r="J135" s="112">
        <f>SUM(BA$71:BA$86)+SUM(BC$71:BC$86)+SUM(BE$71:BE$86)+SUM(BG$71:BG$86)</f>
        <v>112840.8</v>
      </c>
      <c r="K135" s="112">
        <f>SUM(BI$71:BI$86)+SUM(BK$71:BK$86)+SUM(BM$71:BM$86)+SUM(BO$71:BO$86)</f>
        <v>94301.999999999985</v>
      </c>
      <c r="L135" s="112">
        <f>SUM(BQ$71:BQ$86)+SUM(BS$71:BS$86)+SUM(BU$71:BU$86)+SUM(BW$71:BW$86)</f>
        <v>152214</v>
      </c>
      <c r="M135" s="112">
        <f>SUM(BY$71:BY$86)+SUM(CA$71:CA$86)+SUM(CC$71:CC$86)+SUM(CE$71:CE$86)</f>
        <v>757596</v>
      </c>
      <c r="N135" s="112">
        <f>SUM(CG$71:CG$86)+SUM(CI$71:CI$86)+SUM(CK$71:CK$86)+SUM(CM$71:CM$86)</f>
        <v>100557.6</v>
      </c>
      <c r="O135" s="112">
        <f>SUM(CO$71:CO$86)+SUM(CQ$71:CQ$86)+SUM(CS$71:CS$86)+SUM(CU$71:CU$86)</f>
        <v>200833.19999999998</v>
      </c>
    </row>
    <row r="136" spans="2:15" x14ac:dyDescent="0.2">
      <c r="C136" s="111" t="s">
        <v>131</v>
      </c>
      <c r="D136" s="112">
        <f>SUM(E$87:E$94)+SUM(G$87:G$94)+SUM(I$87:I$94)+SUM(K$87:K$94)</f>
        <v>213963.59999999998</v>
      </c>
      <c r="E136" s="112">
        <f>SUM(M$87:M$94)+SUM(O$87:O$94)+SUM(Q$87:Q$94)+SUM(S$87:S$94)</f>
        <v>439411.1999999999</v>
      </c>
      <c r="F136" s="112">
        <f>SUM(U$87:U$94)+SUM(W$87:W$94)+SUM(Y$87:Y$94)+SUM(AA$87:AA$94)</f>
        <v>491369.99999999994</v>
      </c>
      <c r="G136" s="112">
        <f>SUM(AC$87:AC$94)+SUM(AE$87:AE$94)+SUM(AG$87:AG$94)+SUM(AI$87:AI$94)</f>
        <v>627266.4</v>
      </c>
      <c r="H136" s="112">
        <f>SUM(AK$87:AK$94)+SUM(AM$87:AM$94)+SUM(AO$87:AO$94)+SUM(AQ$87:AQ$94)</f>
        <v>584864.4</v>
      </c>
      <c r="I136" s="112">
        <f>SUM(AS$87:AS$94)+SUM(AU$87:AU$94)+SUM(AW$87:AW$94)+SUM(AY$87:AY$94)</f>
        <v>1205690.3999999999</v>
      </c>
      <c r="J136" s="112">
        <f>SUM(BA$87:BA$94)+SUM(BC$87:BC$94)+SUM(BE$87:BE$94)+SUM(BG$87:BG$94)</f>
        <v>251901.59999999998</v>
      </c>
      <c r="K136" s="112">
        <f>SUM(BI$87:BI$94)+SUM(BK$87:BK$94)+SUM(BM$87:BM$94)+SUM(BO$87:BO$94)</f>
        <v>586383.6</v>
      </c>
      <c r="L136" s="112">
        <f>SUM(BQ$87:BQ$94)+SUM(BS$87:BS$94)+SUM(BU$87:BU$94)+SUM(BW$87:BW$94)</f>
        <v>1168762.8</v>
      </c>
      <c r="M136" s="112">
        <f>SUM(BY$87:BY$94)+SUM(CA$87:CA$94)+SUM(CC$87:CC$94)+SUM(CE$87:CE$94)</f>
        <v>532038</v>
      </c>
      <c r="N136" s="112">
        <f>SUM(CG$87:CG$94)+SUM(CI$87:CI$94)+SUM(CK$87:CK$94)+SUM(CM$87:CM$94)</f>
        <v>290464.79999999993</v>
      </c>
      <c r="O136" s="112">
        <f>SUM(CO$87:CO$94)+SUM(CQ$87:CQ$94)+SUM(CS$87:CS$94)+SUM(CU$87:CU$94)</f>
        <v>225471.59999999998</v>
      </c>
    </row>
    <row r="137" spans="2:15" x14ac:dyDescent="0.2">
      <c r="C137" s="111" t="s">
        <v>132</v>
      </c>
      <c r="D137" s="112">
        <f>SUM(E$95:E$105)+SUM(G$95:G$105)+SUM(I$95:I$105)+SUM(K$95:K$105)</f>
        <v>1099374</v>
      </c>
      <c r="E137" s="112">
        <f>SUM(M$95:M$105)+SUM(O$95:O$105)+SUM(Q$95:Q$105)+SUM(S$95:S$105)</f>
        <v>2059356</v>
      </c>
      <c r="F137" s="112">
        <f>SUM(U$95:U$105)+SUM(W$95:W$105)+SUM(Y$95:Y$105)+SUM(AA$95:AA$105)</f>
        <v>973678.79999999993</v>
      </c>
      <c r="G137" s="112">
        <f>SUM(AC$95:AC$105)+SUM(AE$95:AE$105)+SUM(AG$95:AG$105)+SUM(AI$95:AI$105)</f>
        <v>551456.39999999991</v>
      </c>
      <c r="H137" s="112">
        <f>SUM(AK$95:AK$105)+SUM(AM$95:AM$105)+SUM(AO$95:AO$105)+SUM(AQ$95:AQ$105)</f>
        <v>658570.79999999993</v>
      </c>
      <c r="I137" s="112">
        <f>SUM(AS$95:AS$105)+SUM(AU$95:AU$105)+SUM(AW$95:AW$105)+SUM(AY$95:AY$105)</f>
        <v>339877.2</v>
      </c>
      <c r="J137" s="112">
        <f>SUM(BA$95:BA$105)+SUM(BC$95:BC$105)+SUM(BE$95:BE$105)+SUM(BG$95:BG$105)</f>
        <v>625515.60000000009</v>
      </c>
      <c r="K137" s="112">
        <f>SUM(BI$95:BI$105)+SUM(BK$95:BK$105)+SUM(BM$95:BM$105)+SUM(BO$95:BO$105)</f>
        <v>639322.80000000005</v>
      </c>
      <c r="L137" s="112">
        <f>SUM(BQ$95:BQ$105)+SUM(BS$95:BS$105)+SUM(BU$95:BU$105)+SUM(BW$95:BW$105)</f>
        <v>309544.8</v>
      </c>
      <c r="M137" s="112">
        <f>SUM(BY$95:BY$105)+SUM(CA$95:CA$105)+SUM(CC$95:CC$105)+SUM(CE$95:CE$105)</f>
        <v>738499.2</v>
      </c>
      <c r="N137" s="112">
        <f>SUM(CG$95:CG$105)+SUM(CI$95:CI$105)+SUM(CK$95:CK$105)+SUM(CM$95:CM$105)</f>
        <v>423345.6</v>
      </c>
      <c r="O137" s="112">
        <f>SUM(CO$95:CO$105)+SUM(CQ$95:CQ$105)+SUM(CS$95:CS$105)+SUM(CU$95:CU$105)</f>
        <v>743792.4</v>
      </c>
    </row>
    <row r="138" spans="2:15" x14ac:dyDescent="0.2">
      <c r="C138" s="111" t="s">
        <v>278</v>
      </c>
      <c r="D138" s="106">
        <f t="shared" ref="D138:O138" si="2">SUM(D$131:D$137)</f>
        <v>2156578.7999999998</v>
      </c>
      <c r="E138" s="106">
        <f t="shared" si="2"/>
        <v>3488350.8</v>
      </c>
      <c r="F138" s="106">
        <f t="shared" si="2"/>
        <v>2608009.1999999997</v>
      </c>
      <c r="G138" s="106">
        <f t="shared" si="2"/>
        <v>1707975.6</v>
      </c>
      <c r="H138" s="106">
        <f t="shared" si="2"/>
        <v>2095068</v>
      </c>
      <c r="I138" s="106">
        <f t="shared" si="2"/>
        <v>2718220.8</v>
      </c>
      <c r="J138" s="106">
        <f t="shared" si="2"/>
        <v>1042310.4000000001</v>
      </c>
      <c r="K138" s="106">
        <f t="shared" si="2"/>
        <v>1392898.8</v>
      </c>
      <c r="L138" s="106">
        <f t="shared" si="2"/>
        <v>1742620.8</v>
      </c>
      <c r="M138" s="106">
        <f t="shared" si="2"/>
        <v>2071204.8</v>
      </c>
      <c r="N138" s="106">
        <f t="shared" si="2"/>
        <v>1463886</v>
      </c>
      <c r="O138" s="106">
        <f t="shared" si="2"/>
        <v>1248463.2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282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173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174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175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176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177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178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179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180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181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182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183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184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185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186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187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188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189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190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191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192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193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194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195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196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197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198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199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200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201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202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203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204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205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206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207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208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209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210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211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212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213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214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215</v>
      </c>
      <c r="D49" s="106">
        <v>0.55922865013774103</v>
      </c>
      <c r="E49" s="106">
        <v>550.95206611570245</v>
      </c>
      <c r="F49" s="106">
        <v>0</v>
      </c>
      <c r="G49" s="106">
        <v>0</v>
      </c>
      <c r="H49" s="106">
        <v>1.4626865671641791</v>
      </c>
      <c r="I49" s="106">
        <v>1441.0388059701493</v>
      </c>
      <c r="J49" s="106">
        <v>0.77763496143958877</v>
      </c>
      <c r="K49" s="106">
        <v>766.12596401028281</v>
      </c>
      <c r="L49" s="106">
        <v>0.14902624894157493</v>
      </c>
      <c r="M49" s="106">
        <v>146.8206604572396</v>
      </c>
      <c r="N49" s="106">
        <v>0.17010309278350516</v>
      </c>
      <c r="O49" s="106">
        <v>167.58556701030926</v>
      </c>
      <c r="P49" s="106">
        <v>0.12026239067055393</v>
      </c>
      <c r="Q49" s="106">
        <v>118.48250728862972</v>
      </c>
      <c r="R49" s="106">
        <v>7.7030812324929976E-2</v>
      </c>
      <c r="S49" s="106">
        <v>75.890756302521012</v>
      </c>
      <c r="T49" s="106">
        <v>4.9358974358974357E-2</v>
      </c>
      <c r="U49" s="106">
        <v>48.628461538461536</v>
      </c>
      <c r="V49" s="106">
        <v>0.11663947797716151</v>
      </c>
      <c r="W49" s="106">
        <v>114.91321370309952</v>
      </c>
      <c r="X49" s="106">
        <v>0</v>
      </c>
      <c r="Y49" s="106">
        <v>0</v>
      </c>
      <c r="Z49" s="106">
        <v>0.19570051890289103</v>
      </c>
      <c r="AA49" s="106">
        <v>192.80415122312823</v>
      </c>
      <c r="AB49" s="106">
        <v>0</v>
      </c>
      <c r="AC49" s="106">
        <v>0</v>
      </c>
      <c r="AD49" s="106">
        <v>0.18763326226012794</v>
      </c>
      <c r="AE49" s="106">
        <v>184.85628997867803</v>
      </c>
      <c r="AF49" s="106">
        <v>0.16417910447761194</v>
      </c>
      <c r="AG49" s="106">
        <v>161.74925373134329</v>
      </c>
      <c r="AH49" s="106">
        <v>0.18893129770992367</v>
      </c>
      <c r="AI49" s="106">
        <v>186.13511450381679</v>
      </c>
      <c r="AJ49" s="106">
        <v>0.15996578272027373</v>
      </c>
      <c r="AK49" s="106">
        <v>157.59828913601368</v>
      </c>
      <c r="AL49" s="106">
        <v>0.55052935514918189</v>
      </c>
      <c r="AM49" s="106">
        <v>542.38152069297394</v>
      </c>
      <c r="AN49" s="106">
        <v>0.29084041548630785</v>
      </c>
      <c r="AO49" s="106">
        <v>286.53597733711047</v>
      </c>
      <c r="AP49" s="106">
        <v>0</v>
      </c>
      <c r="AQ49" s="106">
        <v>0</v>
      </c>
      <c r="AR49" s="106">
        <v>0</v>
      </c>
      <c r="AS49" s="106">
        <v>0</v>
      </c>
      <c r="AT49" s="106">
        <v>0.5707879564381807</v>
      </c>
      <c r="AU49" s="106">
        <v>562.34029468289555</v>
      </c>
      <c r="AV49" s="106">
        <v>0</v>
      </c>
      <c r="AW49" s="106">
        <v>0</v>
      </c>
      <c r="AX49" s="106">
        <v>0.107421875</v>
      </c>
      <c r="AY49" s="106">
        <v>105.83203124999999</v>
      </c>
      <c r="AZ49" s="106">
        <v>0.65614035087719291</v>
      </c>
      <c r="BA49" s="106">
        <v>646.42947368421039</v>
      </c>
      <c r="BB49" s="106">
        <v>0.23529411764705882</v>
      </c>
      <c r="BC49" s="106">
        <v>231.81176470588233</v>
      </c>
      <c r="BD49" s="106">
        <v>0.26273885350318471</v>
      </c>
      <c r="BE49" s="106">
        <v>258.85031847133757</v>
      </c>
      <c r="BF49" s="106">
        <v>0.16445182724252494</v>
      </c>
      <c r="BG49" s="106">
        <v>162.01794019933556</v>
      </c>
      <c r="BH49" s="106">
        <v>0.14936954413191078</v>
      </c>
      <c r="BI49" s="106">
        <v>147.1588748787585</v>
      </c>
      <c r="BJ49" s="106">
        <v>0.2411820781696854</v>
      </c>
      <c r="BK49" s="106">
        <v>237.61258341277403</v>
      </c>
      <c r="BL49" s="106">
        <v>0</v>
      </c>
      <c r="BM49" s="106">
        <v>0</v>
      </c>
      <c r="BN49" s="106">
        <v>0.32887490165224237</v>
      </c>
      <c r="BO49" s="106">
        <v>324.00755310778914</v>
      </c>
      <c r="BP49" s="106">
        <v>0.32880434782608697</v>
      </c>
      <c r="BQ49" s="106">
        <v>323.93804347826085</v>
      </c>
      <c r="BR49" s="106">
        <v>0</v>
      </c>
      <c r="BS49" s="106">
        <v>0</v>
      </c>
      <c r="BT49" s="106">
        <v>0.31955307262569832</v>
      </c>
      <c r="BU49" s="106">
        <v>314.82368715083794</v>
      </c>
      <c r="BV49" s="106">
        <v>0</v>
      </c>
      <c r="BW49" s="106">
        <v>0</v>
      </c>
      <c r="BX49" s="106">
        <v>0.24893917963224896</v>
      </c>
      <c r="BY49" s="106">
        <v>245.25487977369167</v>
      </c>
      <c r="BZ49" s="106">
        <v>0.24094355518112889</v>
      </c>
      <c r="CA49" s="106">
        <v>237.37759056444816</v>
      </c>
      <c r="CB49" s="106">
        <v>0</v>
      </c>
      <c r="CC49" s="106">
        <v>0</v>
      </c>
      <c r="CD49" s="106">
        <v>0.29552238805970149</v>
      </c>
      <c r="CE49" s="106">
        <v>291.14865671641786</v>
      </c>
      <c r="CF49" s="106">
        <v>0.65254237288135597</v>
      </c>
      <c r="CG49" s="106">
        <v>642.88474576271187</v>
      </c>
      <c r="CH49" s="106">
        <v>0</v>
      </c>
      <c r="CI49" s="106">
        <v>0</v>
      </c>
      <c r="CJ49" s="106">
        <v>0.30555555555555552</v>
      </c>
      <c r="CK49" s="106">
        <v>301.0333333333333</v>
      </c>
      <c r="CL49" s="106">
        <v>0</v>
      </c>
      <c r="CM49" s="106">
        <v>0</v>
      </c>
      <c r="CN49" s="106">
        <v>0.16152716593245228</v>
      </c>
      <c r="CO49" s="106">
        <v>159.13656387665199</v>
      </c>
      <c r="CP49" s="106">
        <v>0.48952879581151831</v>
      </c>
      <c r="CQ49" s="106">
        <v>482.2837696335078</v>
      </c>
      <c r="CR49" s="106">
        <v>0.17277486910994763</v>
      </c>
      <c r="CS49" s="106">
        <v>170.21780104712039</v>
      </c>
      <c r="CT49" s="106">
        <v>0.22886866059817945</v>
      </c>
      <c r="CU49" s="106">
        <v>225.48140442132637</v>
      </c>
    </row>
    <row r="50" spans="2:99" x14ac:dyDescent="0.2">
      <c r="C50" s="105" t="s">
        <v>216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217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218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219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220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221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222</v>
      </c>
      <c r="D56" s="106">
        <v>0.59779614325068864</v>
      </c>
      <c r="E56" s="106">
        <v>687.94380165289249</v>
      </c>
      <c r="F56" s="106">
        <v>0</v>
      </c>
      <c r="G56" s="106">
        <v>0</v>
      </c>
      <c r="H56" s="106">
        <v>1.3731343283582089</v>
      </c>
      <c r="I56" s="106">
        <v>1580.2029850746267</v>
      </c>
      <c r="J56" s="106">
        <v>0.83419023136246784</v>
      </c>
      <c r="K56" s="106">
        <v>959.98611825192791</v>
      </c>
      <c r="L56" s="106">
        <v>0.13039796782387808</v>
      </c>
      <c r="M56" s="106">
        <v>150.0619813717189</v>
      </c>
      <c r="N56" s="106">
        <v>0.18144329896907216</v>
      </c>
      <c r="O56" s="106">
        <v>208.80494845360823</v>
      </c>
      <c r="P56" s="106">
        <v>0.12026239067055393</v>
      </c>
      <c r="Q56" s="106">
        <v>138.39795918367346</v>
      </c>
      <c r="R56" s="106">
        <v>8.4733893557422973E-2</v>
      </c>
      <c r="S56" s="106">
        <v>97.511764705882356</v>
      </c>
      <c r="T56" s="106">
        <v>4.9358974358974357E-2</v>
      </c>
      <c r="U56" s="106">
        <v>56.802307692307686</v>
      </c>
      <c r="V56" s="106">
        <v>9.8694942903752025E-2</v>
      </c>
      <c r="W56" s="106">
        <v>113.57814029363783</v>
      </c>
      <c r="X56" s="106">
        <v>0</v>
      </c>
      <c r="Y56" s="106">
        <v>0</v>
      </c>
      <c r="Z56" s="106">
        <v>0.17939214232765013</v>
      </c>
      <c r="AA56" s="106">
        <v>206.44447739065976</v>
      </c>
      <c r="AB56" s="106">
        <v>0</v>
      </c>
      <c r="AC56" s="106">
        <v>0</v>
      </c>
      <c r="AD56" s="106">
        <v>0.18763326226012794</v>
      </c>
      <c r="AE56" s="106">
        <v>215.92835820895522</v>
      </c>
      <c r="AF56" s="106">
        <v>0.16417910447761194</v>
      </c>
      <c r="AG56" s="106">
        <v>188.93731343283582</v>
      </c>
      <c r="AH56" s="106">
        <v>0.18893129770992367</v>
      </c>
      <c r="AI56" s="106">
        <v>217.42213740458016</v>
      </c>
      <c r="AJ56" s="106">
        <v>0.17878528656971771</v>
      </c>
      <c r="AK56" s="106">
        <v>205.74610778443113</v>
      </c>
      <c r="AL56" s="106">
        <v>0.57170356111645815</v>
      </c>
      <c r="AM56" s="106">
        <v>657.91645813282003</v>
      </c>
      <c r="AN56" s="106">
        <v>0.30122757318224741</v>
      </c>
      <c r="AO56" s="106">
        <v>346.65269121813031</v>
      </c>
      <c r="AP56" s="106">
        <v>0</v>
      </c>
      <c r="AQ56" s="106">
        <v>0</v>
      </c>
      <c r="AR56" s="106">
        <v>0</v>
      </c>
      <c r="AS56" s="106">
        <v>0</v>
      </c>
      <c r="AT56" s="106">
        <v>0.59192825112107628</v>
      </c>
      <c r="AU56" s="106">
        <v>681.19103139013453</v>
      </c>
      <c r="AV56" s="106">
        <v>0</v>
      </c>
      <c r="AW56" s="106">
        <v>0</v>
      </c>
      <c r="AX56" s="106">
        <v>9.66796875E-2</v>
      </c>
      <c r="AY56" s="106">
        <v>111.258984375</v>
      </c>
      <c r="AZ56" s="106">
        <v>0.61754385964912284</v>
      </c>
      <c r="BA56" s="106">
        <v>710.66947368421052</v>
      </c>
      <c r="BB56" s="106">
        <v>0.27450980392156865</v>
      </c>
      <c r="BC56" s="106">
        <v>315.90588235294121</v>
      </c>
      <c r="BD56" s="106">
        <v>0.26273885350318471</v>
      </c>
      <c r="BE56" s="106">
        <v>302.35987261146494</v>
      </c>
      <c r="BF56" s="106">
        <v>0.16445182724252494</v>
      </c>
      <c r="BG56" s="106">
        <v>189.25116279069769</v>
      </c>
      <c r="BH56" s="106">
        <v>0.17070805043646944</v>
      </c>
      <c r="BI56" s="106">
        <v>196.45082444228902</v>
      </c>
      <c r="BJ56" s="106">
        <v>0.20972354623450906</v>
      </c>
      <c r="BK56" s="106">
        <v>241.34985700667301</v>
      </c>
      <c r="BL56" s="106">
        <v>0</v>
      </c>
      <c r="BM56" s="106">
        <v>0</v>
      </c>
      <c r="BN56" s="106">
        <v>0.34618410700236035</v>
      </c>
      <c r="BO56" s="106">
        <v>398.38867033831627</v>
      </c>
      <c r="BP56" s="106">
        <v>0.29891304347826086</v>
      </c>
      <c r="BQ56" s="106">
        <v>343.98913043478257</v>
      </c>
      <c r="BR56" s="106">
        <v>0</v>
      </c>
      <c r="BS56" s="106">
        <v>0</v>
      </c>
      <c r="BT56" s="106">
        <v>0.27039106145251396</v>
      </c>
      <c r="BU56" s="106">
        <v>311.16603351955303</v>
      </c>
      <c r="BV56" s="106">
        <v>0</v>
      </c>
      <c r="BW56" s="106">
        <v>0</v>
      </c>
      <c r="BX56" s="106">
        <v>0.24893917963224896</v>
      </c>
      <c r="BY56" s="106">
        <v>286.47920792079208</v>
      </c>
      <c r="BZ56" s="106">
        <v>0.24094355518112889</v>
      </c>
      <c r="CA56" s="106">
        <v>277.2778433024431</v>
      </c>
      <c r="CB56" s="106">
        <v>0</v>
      </c>
      <c r="CC56" s="106">
        <v>0</v>
      </c>
      <c r="CD56" s="106">
        <v>0.30373134328358209</v>
      </c>
      <c r="CE56" s="106">
        <v>349.53402985074626</v>
      </c>
      <c r="CF56" s="106">
        <v>0.68361581920903958</v>
      </c>
      <c r="CG56" s="106">
        <v>786.70508474576275</v>
      </c>
      <c r="CH56" s="106">
        <v>0</v>
      </c>
      <c r="CI56" s="106">
        <v>0</v>
      </c>
      <c r="CJ56" s="106">
        <v>0.34629629629629627</v>
      </c>
      <c r="CK56" s="106">
        <v>398.51777777777772</v>
      </c>
      <c r="CL56" s="106">
        <v>0</v>
      </c>
      <c r="CM56" s="106">
        <v>0</v>
      </c>
      <c r="CN56" s="106">
        <v>0.16152716593245228</v>
      </c>
      <c r="CO56" s="106">
        <v>185.88546255506608</v>
      </c>
      <c r="CP56" s="106">
        <v>0.46073298429319376</v>
      </c>
      <c r="CQ56" s="106">
        <v>530.21151832460737</v>
      </c>
      <c r="CR56" s="106">
        <v>0.14397905759162305</v>
      </c>
      <c r="CS56" s="106">
        <v>165.6910994764398</v>
      </c>
      <c r="CT56" s="106">
        <v>0.22886866059817945</v>
      </c>
      <c r="CU56" s="106">
        <v>263.38205461638489</v>
      </c>
    </row>
    <row r="57" spans="2:99" x14ac:dyDescent="0.2">
      <c r="C57" s="105" t="s">
        <v>223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224</v>
      </c>
      <c r="D58" s="106">
        <v>0.55922865013774103</v>
      </c>
      <c r="E58" s="106">
        <v>658.32396694214879</v>
      </c>
      <c r="F58" s="106">
        <v>0</v>
      </c>
      <c r="G58" s="106">
        <v>0</v>
      </c>
      <c r="H58" s="106">
        <v>1.3731343283582089</v>
      </c>
      <c r="I58" s="106">
        <v>1616.4537313432836</v>
      </c>
      <c r="J58" s="106">
        <v>0.72107969151670948</v>
      </c>
      <c r="K58" s="106">
        <v>848.85501285347038</v>
      </c>
      <c r="L58" s="106">
        <v>0.14902624894157493</v>
      </c>
      <c r="M58" s="106">
        <v>175.433700254022</v>
      </c>
      <c r="N58" s="106">
        <v>0.18144329896907216</v>
      </c>
      <c r="O58" s="106">
        <v>213.59505154639174</v>
      </c>
      <c r="P58" s="106">
        <v>0.13629737609329445</v>
      </c>
      <c r="Q58" s="106">
        <v>160.44927113702624</v>
      </c>
      <c r="R58" s="106">
        <v>8.4733893557422973E-2</v>
      </c>
      <c r="S58" s="106">
        <v>99.748739495798333</v>
      </c>
      <c r="T58" s="106">
        <v>4.9358974358974357E-2</v>
      </c>
      <c r="U58" s="106">
        <v>58.105384615384615</v>
      </c>
      <c r="V58" s="106">
        <v>0.10766721044045677</v>
      </c>
      <c r="W58" s="106">
        <v>126.74584013050571</v>
      </c>
      <c r="X58" s="106">
        <v>0</v>
      </c>
      <c r="Y58" s="106">
        <v>0</v>
      </c>
      <c r="Z58" s="106">
        <v>0.19570051890289103</v>
      </c>
      <c r="AA58" s="106">
        <v>230.37865085248333</v>
      </c>
      <c r="AB58" s="106">
        <v>0</v>
      </c>
      <c r="AC58" s="106">
        <v>0</v>
      </c>
      <c r="AD58" s="106">
        <v>0.18763326226012794</v>
      </c>
      <c r="AE58" s="106">
        <v>220.88187633262262</v>
      </c>
      <c r="AF58" s="106">
        <v>0.14593698175787728</v>
      </c>
      <c r="AG58" s="106">
        <v>171.79701492537313</v>
      </c>
      <c r="AH58" s="106">
        <v>0.16793893129770993</v>
      </c>
      <c r="AI58" s="106">
        <v>197.69770992366412</v>
      </c>
      <c r="AJ58" s="106">
        <v>0.15996578272027373</v>
      </c>
      <c r="AK58" s="106">
        <v>188.31171941830624</v>
      </c>
      <c r="AL58" s="106">
        <v>0.55052935514918189</v>
      </c>
      <c r="AM58" s="106">
        <v>648.0831568816169</v>
      </c>
      <c r="AN58" s="106">
        <v>0.32200188857412654</v>
      </c>
      <c r="AO58" s="106">
        <v>379.06062322946178</v>
      </c>
      <c r="AP58" s="106">
        <v>0</v>
      </c>
      <c r="AQ58" s="106">
        <v>0</v>
      </c>
      <c r="AR58" s="106">
        <v>0</v>
      </c>
      <c r="AS58" s="106">
        <v>0</v>
      </c>
      <c r="AT58" s="106">
        <v>0.5707879564381807</v>
      </c>
      <c r="AU58" s="106">
        <v>671.93158231902635</v>
      </c>
      <c r="AV58" s="106">
        <v>0</v>
      </c>
      <c r="AW58" s="106">
        <v>0</v>
      </c>
      <c r="AX58" s="106">
        <v>0.10205078125</v>
      </c>
      <c r="AY58" s="106">
        <v>120.13417968750001</v>
      </c>
      <c r="AZ58" s="106">
        <v>0.61754385964912284</v>
      </c>
      <c r="BA58" s="106">
        <v>726.97263157894747</v>
      </c>
      <c r="BB58" s="106">
        <v>0.27450980392156865</v>
      </c>
      <c r="BC58" s="106">
        <v>323.15294117647062</v>
      </c>
      <c r="BD58" s="106">
        <v>0.24522292993630571</v>
      </c>
      <c r="BE58" s="106">
        <v>288.6764331210191</v>
      </c>
      <c r="BF58" s="106">
        <v>0.16445182724252494</v>
      </c>
      <c r="BG58" s="106">
        <v>193.59269102990038</v>
      </c>
      <c r="BH58" s="106">
        <v>0.17070805043646944</v>
      </c>
      <c r="BI58" s="106">
        <v>200.95751697381183</v>
      </c>
      <c r="BJ58" s="106">
        <v>0.20972354623450906</v>
      </c>
      <c r="BK58" s="106">
        <v>246.88655862726407</v>
      </c>
      <c r="BL58" s="106">
        <v>0</v>
      </c>
      <c r="BM58" s="106">
        <v>0</v>
      </c>
      <c r="BN58" s="106">
        <v>0.34618410700236035</v>
      </c>
      <c r="BO58" s="106">
        <v>407.52793076317863</v>
      </c>
      <c r="BP58" s="106">
        <v>0.31385869565217389</v>
      </c>
      <c r="BQ58" s="106">
        <v>369.47445652173911</v>
      </c>
      <c r="BR58" s="106">
        <v>0</v>
      </c>
      <c r="BS58" s="106">
        <v>0</v>
      </c>
      <c r="BT58" s="106">
        <v>0.27039106145251396</v>
      </c>
      <c r="BU58" s="106">
        <v>318.30435754189944</v>
      </c>
      <c r="BV58" s="106">
        <v>0</v>
      </c>
      <c r="BW58" s="106">
        <v>0</v>
      </c>
      <c r="BX58" s="106">
        <v>0.24893917963224896</v>
      </c>
      <c r="BY58" s="106">
        <v>293.0512022630835</v>
      </c>
      <c r="BZ58" s="106">
        <v>0.23167649536647009</v>
      </c>
      <c r="CA58" s="106">
        <v>272.7295703454086</v>
      </c>
      <c r="CB58" s="106">
        <v>0</v>
      </c>
      <c r="CC58" s="106">
        <v>0</v>
      </c>
      <c r="CD58" s="106">
        <v>0.2626865671641791</v>
      </c>
      <c r="CE58" s="106">
        <v>309.23462686567166</v>
      </c>
      <c r="CF58" s="106">
        <v>0.71468926553672318</v>
      </c>
      <c r="CG58" s="106">
        <v>841.33220338983051</v>
      </c>
      <c r="CH58" s="106">
        <v>0</v>
      </c>
      <c r="CI58" s="106">
        <v>0</v>
      </c>
      <c r="CJ58" s="106">
        <v>0.32592592592592595</v>
      </c>
      <c r="CK58" s="106">
        <v>383.68000000000006</v>
      </c>
      <c r="CL58" s="106">
        <v>0</v>
      </c>
      <c r="CM58" s="106">
        <v>0</v>
      </c>
      <c r="CN58" s="106">
        <v>0.1776798825256975</v>
      </c>
      <c r="CO58" s="106">
        <v>209.16475770925109</v>
      </c>
      <c r="CP58" s="106">
        <v>0.40314136125654448</v>
      </c>
      <c r="CQ58" s="106">
        <v>474.57801047120421</v>
      </c>
      <c r="CR58" s="106">
        <v>0.14397905759162305</v>
      </c>
      <c r="CS58" s="106">
        <v>169.49214659685867</v>
      </c>
      <c r="CT58" s="106">
        <v>0.2574772431729519</v>
      </c>
      <c r="CU58" s="106">
        <v>303.102210663199</v>
      </c>
    </row>
    <row r="59" spans="2:99" x14ac:dyDescent="0.2">
      <c r="C59" s="105" t="s">
        <v>225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226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227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228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229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230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231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232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233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234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235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236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237</v>
      </c>
      <c r="D71" s="106">
        <v>0.42424242424242425</v>
      </c>
      <c r="E71" s="106">
        <v>239.27272727272728</v>
      </c>
      <c r="F71" s="106">
        <v>0</v>
      </c>
      <c r="G71" s="106">
        <v>0</v>
      </c>
      <c r="H71" s="106">
        <v>0.71641791044776115</v>
      </c>
      <c r="I71" s="106">
        <v>404.05970149253727</v>
      </c>
      <c r="J71" s="106">
        <v>0.19794344473007713</v>
      </c>
      <c r="K71" s="106">
        <v>111.6401028277635</v>
      </c>
      <c r="L71" s="106">
        <v>0.28873835732430148</v>
      </c>
      <c r="M71" s="106">
        <v>162.84843353090602</v>
      </c>
      <c r="N71" s="106">
        <v>0.20412371134020618</v>
      </c>
      <c r="O71" s="106">
        <v>115.12577319587629</v>
      </c>
      <c r="P71" s="106">
        <v>0.24052478134110786</v>
      </c>
      <c r="Q71" s="106">
        <v>135.65597667638482</v>
      </c>
      <c r="R71" s="106">
        <v>0.27731092436974791</v>
      </c>
      <c r="S71" s="106">
        <v>156.40336134453781</v>
      </c>
      <c r="T71" s="106">
        <v>0.11282051282051282</v>
      </c>
      <c r="U71" s="106">
        <v>63.630769230769232</v>
      </c>
      <c r="V71" s="106">
        <v>0.14355628058727571</v>
      </c>
      <c r="W71" s="106">
        <v>80.965742251223503</v>
      </c>
      <c r="X71" s="106">
        <v>0</v>
      </c>
      <c r="Y71" s="106">
        <v>0</v>
      </c>
      <c r="Z71" s="106">
        <v>0.2446256486286138</v>
      </c>
      <c r="AA71" s="106">
        <v>137.96886582653818</v>
      </c>
      <c r="AB71" s="106">
        <v>0</v>
      </c>
      <c r="AC71" s="106">
        <v>0</v>
      </c>
      <c r="AD71" s="106">
        <v>0.30490405117270791</v>
      </c>
      <c r="AE71" s="106">
        <v>171.96588486140726</v>
      </c>
      <c r="AF71" s="106">
        <v>0.34660033167495857</v>
      </c>
      <c r="AG71" s="106">
        <v>195.48258706467664</v>
      </c>
      <c r="AH71" s="106">
        <v>0.29389312977099236</v>
      </c>
      <c r="AI71" s="106">
        <v>165.75572519083968</v>
      </c>
      <c r="AJ71" s="106">
        <v>0.12232677502138579</v>
      </c>
      <c r="AK71" s="106">
        <v>68.992301112061583</v>
      </c>
      <c r="AL71" s="106">
        <v>0.23291626564003848</v>
      </c>
      <c r="AM71" s="106">
        <v>131.3647738209817</v>
      </c>
      <c r="AN71" s="106">
        <v>0.10387157695939565</v>
      </c>
      <c r="AO71" s="106">
        <v>58.583569405099148</v>
      </c>
      <c r="AP71" s="106">
        <v>0</v>
      </c>
      <c r="AQ71" s="106">
        <v>0</v>
      </c>
      <c r="AR71" s="106">
        <v>0</v>
      </c>
      <c r="AS71" s="106">
        <v>0</v>
      </c>
      <c r="AT71" s="106">
        <v>1.3952594490711083</v>
      </c>
      <c r="AU71" s="106">
        <v>786.92632927610509</v>
      </c>
      <c r="AV71" s="106">
        <v>0</v>
      </c>
      <c r="AW71" s="106">
        <v>0</v>
      </c>
      <c r="AX71" s="106">
        <v>0.4833984375</v>
      </c>
      <c r="AY71" s="106">
        <v>272.63671875</v>
      </c>
      <c r="AZ71" s="106">
        <v>0.27017543859649124</v>
      </c>
      <c r="BA71" s="106">
        <v>152.37894736842105</v>
      </c>
      <c r="BB71" s="106">
        <v>0.21568627450980393</v>
      </c>
      <c r="BC71" s="106">
        <v>121.64705882352942</v>
      </c>
      <c r="BD71" s="106">
        <v>0.21019108280254775</v>
      </c>
      <c r="BE71" s="106">
        <v>118.54777070063693</v>
      </c>
      <c r="BF71" s="106">
        <v>0.21926910299003322</v>
      </c>
      <c r="BG71" s="106">
        <v>123.66777408637873</v>
      </c>
      <c r="BH71" s="106">
        <v>0.36275460717749758</v>
      </c>
      <c r="BI71" s="106">
        <v>204.59359844810862</v>
      </c>
      <c r="BJ71" s="106">
        <v>0.35653002859866539</v>
      </c>
      <c r="BK71" s="106">
        <v>201.08293612964729</v>
      </c>
      <c r="BL71" s="106">
        <v>0</v>
      </c>
      <c r="BM71" s="106">
        <v>0</v>
      </c>
      <c r="BN71" s="106">
        <v>1.021243115656963</v>
      </c>
      <c r="BO71" s="106">
        <v>575.98111723052716</v>
      </c>
      <c r="BP71" s="106">
        <v>0.11956521739130435</v>
      </c>
      <c r="BQ71" s="106">
        <v>67.434782608695656</v>
      </c>
      <c r="BR71" s="106">
        <v>0</v>
      </c>
      <c r="BS71" s="106">
        <v>0</v>
      </c>
      <c r="BT71" s="106">
        <v>0.19664804469273742</v>
      </c>
      <c r="BU71" s="106">
        <v>110.9094972067039</v>
      </c>
      <c r="BV71" s="106">
        <v>0</v>
      </c>
      <c r="BW71" s="106">
        <v>0</v>
      </c>
      <c r="BX71" s="106">
        <v>7.7793493635077787E-2</v>
      </c>
      <c r="BY71" s="106">
        <v>43.87553041018387</v>
      </c>
      <c r="BZ71" s="106">
        <v>0.11120471777590564</v>
      </c>
      <c r="CA71" s="106">
        <v>62.719460825610781</v>
      </c>
      <c r="CB71" s="106">
        <v>0</v>
      </c>
      <c r="CC71" s="106">
        <v>0</v>
      </c>
      <c r="CD71" s="106">
        <v>0.15597014925373134</v>
      </c>
      <c r="CE71" s="106">
        <v>87.967164179104472</v>
      </c>
      <c r="CF71" s="106">
        <v>0.31073446327683618</v>
      </c>
      <c r="CG71" s="106">
        <v>175.25423728813561</v>
      </c>
      <c r="CH71" s="106">
        <v>0</v>
      </c>
      <c r="CI71" s="106">
        <v>0</v>
      </c>
      <c r="CJ71" s="106">
        <v>0.20370370370370369</v>
      </c>
      <c r="CK71" s="106">
        <v>114.88888888888889</v>
      </c>
      <c r="CL71" s="106">
        <v>0</v>
      </c>
      <c r="CM71" s="106">
        <v>0</v>
      </c>
      <c r="CN71" s="106">
        <v>0.1776798825256975</v>
      </c>
      <c r="CO71" s="106">
        <v>100.21145374449338</v>
      </c>
      <c r="CP71" s="106">
        <v>0.54712041884816753</v>
      </c>
      <c r="CQ71" s="106">
        <v>308.57591623036649</v>
      </c>
      <c r="CR71" s="106">
        <v>0.24476439790575916</v>
      </c>
      <c r="CS71" s="106">
        <v>138.04712041884815</v>
      </c>
      <c r="CT71" s="106">
        <v>0.22886866059817945</v>
      </c>
      <c r="CU71" s="106">
        <v>129.0819245773732</v>
      </c>
    </row>
    <row r="72" spans="2:99" x14ac:dyDescent="0.2">
      <c r="C72" s="105" t="s">
        <v>238</v>
      </c>
      <c r="D72" s="106">
        <v>0.50137741046831952</v>
      </c>
      <c r="E72" s="106">
        <v>37.302479338842964</v>
      </c>
      <c r="F72" s="106">
        <v>0</v>
      </c>
      <c r="G72" s="106">
        <v>0</v>
      </c>
      <c r="H72" s="106">
        <v>0.68656716417910446</v>
      </c>
      <c r="I72" s="106">
        <v>51.080597014925367</v>
      </c>
      <c r="J72" s="106">
        <v>0.2120822622107969</v>
      </c>
      <c r="K72" s="106">
        <v>15.778920308483288</v>
      </c>
      <c r="L72" s="106">
        <v>0.26079593564775616</v>
      </c>
      <c r="M72" s="106">
        <v>19.403217612193057</v>
      </c>
      <c r="N72" s="106">
        <v>0.2608247422680412</v>
      </c>
      <c r="O72" s="106">
        <v>19.405360824742264</v>
      </c>
      <c r="P72" s="106">
        <v>0.27259475218658891</v>
      </c>
      <c r="Q72" s="106">
        <v>20.281049562682213</v>
      </c>
      <c r="R72" s="106">
        <v>0.27731092436974791</v>
      </c>
      <c r="S72" s="106">
        <v>20.631932773109241</v>
      </c>
      <c r="T72" s="106">
        <v>0.11987179487179486</v>
      </c>
      <c r="U72" s="106">
        <v>8.9184615384615373</v>
      </c>
      <c r="V72" s="106">
        <v>0.15252854812398042</v>
      </c>
      <c r="W72" s="106">
        <v>11.348123980424143</v>
      </c>
      <c r="X72" s="106">
        <v>0</v>
      </c>
      <c r="Y72" s="106">
        <v>0</v>
      </c>
      <c r="Z72" s="106">
        <v>0.26093402520385467</v>
      </c>
      <c r="AA72" s="106">
        <v>19.413491475166786</v>
      </c>
      <c r="AB72" s="106">
        <v>0</v>
      </c>
      <c r="AC72" s="106">
        <v>0</v>
      </c>
      <c r="AD72" s="106">
        <v>0.32835820895522388</v>
      </c>
      <c r="AE72" s="106">
        <v>24.429850746268656</v>
      </c>
      <c r="AF72" s="106">
        <v>0.32835820895522388</v>
      </c>
      <c r="AG72" s="106">
        <v>24.429850746268656</v>
      </c>
      <c r="AH72" s="106">
        <v>0.35687022900763354</v>
      </c>
      <c r="AI72" s="106">
        <v>26.551145038167931</v>
      </c>
      <c r="AJ72" s="106">
        <v>0.12232677502138579</v>
      </c>
      <c r="AK72" s="106">
        <v>9.1011120615911025</v>
      </c>
      <c r="AL72" s="106">
        <v>0.25409047160731468</v>
      </c>
      <c r="AM72" s="106">
        <v>18.904331087584211</v>
      </c>
      <c r="AN72" s="106">
        <v>0.10387157695939565</v>
      </c>
      <c r="AO72" s="106">
        <v>7.7280453257790356</v>
      </c>
      <c r="AP72" s="106">
        <v>0</v>
      </c>
      <c r="AQ72" s="106">
        <v>0</v>
      </c>
      <c r="AR72" s="106">
        <v>0</v>
      </c>
      <c r="AS72" s="106">
        <v>0</v>
      </c>
      <c r="AT72" s="106">
        <v>1.6278026905829595</v>
      </c>
      <c r="AU72" s="106">
        <v>121.10852017937216</v>
      </c>
      <c r="AV72" s="106">
        <v>0</v>
      </c>
      <c r="AW72" s="106">
        <v>0</v>
      </c>
      <c r="AX72" s="106">
        <v>0.43505859375</v>
      </c>
      <c r="AY72" s="106">
        <v>32.368359374999997</v>
      </c>
      <c r="AZ72" s="106">
        <v>0.30877192982456142</v>
      </c>
      <c r="BA72" s="106">
        <v>22.972631578947368</v>
      </c>
      <c r="BB72" s="106">
        <v>0.19607843137254902</v>
      </c>
      <c r="BC72" s="106">
        <v>14.588235294117645</v>
      </c>
      <c r="BD72" s="106">
        <v>0.22770700636942673</v>
      </c>
      <c r="BE72" s="106">
        <v>16.941401273885347</v>
      </c>
      <c r="BF72" s="106">
        <v>0.23754152823920266</v>
      </c>
      <c r="BG72" s="106">
        <v>17.673089700996677</v>
      </c>
      <c r="BH72" s="106">
        <v>0.38409311348205627</v>
      </c>
      <c r="BI72" s="106">
        <v>28.576527643064985</v>
      </c>
      <c r="BJ72" s="106">
        <v>0.3984747378455672</v>
      </c>
      <c r="BK72" s="106">
        <v>29.646520495710195</v>
      </c>
      <c r="BL72" s="106">
        <v>0</v>
      </c>
      <c r="BM72" s="106">
        <v>0</v>
      </c>
      <c r="BN72" s="106">
        <v>0.95200629425649097</v>
      </c>
      <c r="BO72" s="106">
        <v>70.829268292682926</v>
      </c>
      <c r="BP72" s="106">
        <v>0.11956521739130435</v>
      </c>
      <c r="BQ72" s="106">
        <v>8.8956521739130423</v>
      </c>
      <c r="BR72" s="106">
        <v>0</v>
      </c>
      <c r="BS72" s="106">
        <v>0</v>
      </c>
      <c r="BT72" s="106">
        <v>0.19664804469273742</v>
      </c>
      <c r="BU72" s="106">
        <v>14.630614525139663</v>
      </c>
      <c r="BV72" s="106">
        <v>0</v>
      </c>
      <c r="BW72" s="106">
        <v>0</v>
      </c>
      <c r="BX72" s="106">
        <v>8.5572842998585572E-2</v>
      </c>
      <c r="BY72" s="106">
        <v>6.3666195190947654</v>
      </c>
      <c r="BZ72" s="106">
        <v>0.12973883740522327</v>
      </c>
      <c r="CA72" s="106">
        <v>9.6525695029486105</v>
      </c>
      <c r="CB72" s="106">
        <v>0</v>
      </c>
      <c r="CC72" s="106">
        <v>0</v>
      </c>
      <c r="CD72" s="106">
        <v>0.16417910447761194</v>
      </c>
      <c r="CE72" s="106">
        <v>12.214925373134328</v>
      </c>
      <c r="CF72" s="106">
        <v>0.27966101694915257</v>
      </c>
      <c r="CG72" s="106">
        <v>20.80677966101695</v>
      </c>
      <c r="CH72" s="106">
        <v>0</v>
      </c>
      <c r="CI72" s="106">
        <v>0</v>
      </c>
      <c r="CJ72" s="106">
        <v>0.20370370370370369</v>
      </c>
      <c r="CK72" s="106">
        <v>15.155555555555553</v>
      </c>
      <c r="CL72" s="106">
        <v>0</v>
      </c>
      <c r="CM72" s="106">
        <v>0</v>
      </c>
      <c r="CN72" s="106">
        <v>0.1776798825256975</v>
      </c>
      <c r="CO72" s="106">
        <v>13.219383259911892</v>
      </c>
      <c r="CP72" s="106">
        <v>0.5759162303664922</v>
      </c>
      <c r="CQ72" s="106">
        <v>42.848167539267017</v>
      </c>
      <c r="CR72" s="106">
        <v>0.24476439790575916</v>
      </c>
      <c r="CS72" s="106">
        <v>18.21047120418848</v>
      </c>
      <c r="CT72" s="106">
        <v>0.22886866059817945</v>
      </c>
      <c r="CU72" s="106">
        <v>17.027828348504549</v>
      </c>
    </row>
    <row r="73" spans="2:99" x14ac:dyDescent="0.2">
      <c r="C73" s="105" t="s">
        <v>239</v>
      </c>
      <c r="D73" s="106">
        <v>0.46280991735537191</v>
      </c>
      <c r="E73" s="106">
        <v>258.80330578512394</v>
      </c>
      <c r="F73" s="106">
        <v>0</v>
      </c>
      <c r="G73" s="106">
        <v>0</v>
      </c>
      <c r="H73" s="106">
        <v>0.71641791044776115</v>
      </c>
      <c r="I73" s="106">
        <v>400.62089552238797</v>
      </c>
      <c r="J73" s="106">
        <v>0.19794344473007713</v>
      </c>
      <c r="K73" s="106">
        <v>110.68997429305912</v>
      </c>
      <c r="L73" s="106">
        <v>0.27011007620660454</v>
      </c>
      <c r="M73" s="106">
        <v>151.04555461473325</v>
      </c>
      <c r="N73" s="106">
        <v>0.2381443298969072</v>
      </c>
      <c r="O73" s="106">
        <v>133.17030927835049</v>
      </c>
      <c r="P73" s="106">
        <v>0.24854227405247814</v>
      </c>
      <c r="Q73" s="106">
        <v>138.98483965014577</v>
      </c>
      <c r="R73" s="106">
        <v>0.27731092436974791</v>
      </c>
      <c r="S73" s="106">
        <v>155.072268907563</v>
      </c>
      <c r="T73" s="106">
        <v>0.11282051282051282</v>
      </c>
      <c r="U73" s="106">
        <v>63.08923076923076</v>
      </c>
      <c r="V73" s="106">
        <v>0.15252854812398042</v>
      </c>
      <c r="W73" s="106">
        <v>85.293964110929849</v>
      </c>
      <c r="X73" s="106">
        <v>0</v>
      </c>
      <c r="Y73" s="106">
        <v>0</v>
      </c>
      <c r="Z73" s="106">
        <v>0.22831727205337285</v>
      </c>
      <c r="AA73" s="106">
        <v>127.67501853224609</v>
      </c>
      <c r="AB73" s="106">
        <v>0</v>
      </c>
      <c r="AC73" s="106">
        <v>0</v>
      </c>
      <c r="AD73" s="106">
        <v>0.32835820895522388</v>
      </c>
      <c r="AE73" s="106">
        <v>183.61791044776118</v>
      </c>
      <c r="AF73" s="106">
        <v>0.3101160862354892</v>
      </c>
      <c r="AG73" s="106">
        <v>173.41691542288555</v>
      </c>
      <c r="AH73" s="106">
        <v>0.3148854961832061</v>
      </c>
      <c r="AI73" s="106">
        <v>176.08396946564883</v>
      </c>
      <c r="AJ73" s="106">
        <v>0.1317365269461078</v>
      </c>
      <c r="AK73" s="106">
        <v>73.667065868263464</v>
      </c>
      <c r="AL73" s="106">
        <v>0.25409047160731468</v>
      </c>
      <c r="AM73" s="106">
        <v>142.08739172281037</v>
      </c>
      <c r="AN73" s="106">
        <v>0.11425873465533522</v>
      </c>
      <c r="AO73" s="106">
        <v>63.893484419263444</v>
      </c>
      <c r="AP73" s="106">
        <v>0</v>
      </c>
      <c r="AQ73" s="106">
        <v>0</v>
      </c>
      <c r="AR73" s="106">
        <v>0</v>
      </c>
      <c r="AS73" s="106">
        <v>0</v>
      </c>
      <c r="AT73" s="106">
        <v>1.3318385650224214</v>
      </c>
      <c r="AU73" s="106">
        <v>744.76412556053799</v>
      </c>
      <c r="AV73" s="106">
        <v>0</v>
      </c>
      <c r="AW73" s="106">
        <v>0</v>
      </c>
      <c r="AX73" s="106">
        <v>0.47265625</v>
      </c>
      <c r="AY73" s="106">
        <v>264.30937499999999</v>
      </c>
      <c r="AZ73" s="106">
        <v>0.30877192982456142</v>
      </c>
      <c r="BA73" s="106">
        <v>172.66526315789471</v>
      </c>
      <c r="BB73" s="106">
        <v>0.19607843137254902</v>
      </c>
      <c r="BC73" s="106">
        <v>109.64705882352939</v>
      </c>
      <c r="BD73" s="106">
        <v>0.22770700636942673</v>
      </c>
      <c r="BE73" s="106">
        <v>127.33375796178341</v>
      </c>
      <c r="BF73" s="106">
        <v>0.2009966777408638</v>
      </c>
      <c r="BG73" s="106">
        <v>112.39734219269103</v>
      </c>
      <c r="BH73" s="106">
        <v>0.38409311348205627</v>
      </c>
      <c r="BI73" s="106">
        <v>214.78486905916583</v>
      </c>
      <c r="BJ73" s="106">
        <v>0.36701620591039086</v>
      </c>
      <c r="BK73" s="106">
        <v>205.23546234509055</v>
      </c>
      <c r="BL73" s="106">
        <v>0</v>
      </c>
      <c r="BM73" s="106">
        <v>0</v>
      </c>
      <c r="BN73" s="106">
        <v>0.96931549960660901</v>
      </c>
      <c r="BO73" s="106">
        <v>542.0412273800157</v>
      </c>
      <c r="BP73" s="106">
        <v>0.13451086956521741</v>
      </c>
      <c r="BQ73" s="106">
        <v>75.21847826086956</v>
      </c>
      <c r="BR73" s="106">
        <v>0</v>
      </c>
      <c r="BS73" s="106">
        <v>0</v>
      </c>
      <c r="BT73" s="106">
        <v>0.19664804469273742</v>
      </c>
      <c r="BU73" s="106">
        <v>109.96558659217875</v>
      </c>
      <c r="BV73" s="106">
        <v>0</v>
      </c>
      <c r="BW73" s="106">
        <v>0</v>
      </c>
      <c r="BX73" s="106">
        <v>8.5572842998585572E-2</v>
      </c>
      <c r="BY73" s="106">
        <v>47.852333804809042</v>
      </c>
      <c r="BZ73" s="106">
        <v>0.11120471777590564</v>
      </c>
      <c r="CA73" s="106">
        <v>62.185678180286423</v>
      </c>
      <c r="CB73" s="106">
        <v>0</v>
      </c>
      <c r="CC73" s="106">
        <v>0</v>
      </c>
      <c r="CD73" s="106">
        <v>0.16417910447761194</v>
      </c>
      <c r="CE73" s="106">
        <v>91.808955223880588</v>
      </c>
      <c r="CF73" s="106">
        <v>0.27966101694915257</v>
      </c>
      <c r="CG73" s="106">
        <v>156.38644067796611</v>
      </c>
      <c r="CH73" s="106">
        <v>0</v>
      </c>
      <c r="CI73" s="106">
        <v>0</v>
      </c>
      <c r="CJ73" s="106">
        <v>0.20370370370370369</v>
      </c>
      <c r="CK73" s="106">
        <v>113.9111111111111</v>
      </c>
      <c r="CL73" s="106">
        <v>0</v>
      </c>
      <c r="CM73" s="106">
        <v>0</v>
      </c>
      <c r="CN73" s="106">
        <v>0.19383259911894274</v>
      </c>
      <c r="CO73" s="106">
        <v>108.39118942731277</v>
      </c>
      <c r="CP73" s="106">
        <v>0.48952879581151831</v>
      </c>
      <c r="CQ73" s="106">
        <v>273.744502617801</v>
      </c>
      <c r="CR73" s="106">
        <v>0.21596858638743455</v>
      </c>
      <c r="CS73" s="106">
        <v>120.76963350785338</v>
      </c>
      <c r="CT73" s="106">
        <v>0.21456436931079326</v>
      </c>
      <c r="CU73" s="106">
        <v>119.98439531859557</v>
      </c>
    </row>
    <row r="74" spans="2:99" x14ac:dyDescent="0.2">
      <c r="C74" s="105" t="s">
        <v>240</v>
      </c>
      <c r="D74" s="106">
        <v>0.46280991735537191</v>
      </c>
      <c r="E74" s="106">
        <v>186.60495867768594</v>
      </c>
      <c r="F74" s="106">
        <v>0</v>
      </c>
      <c r="G74" s="106">
        <v>0</v>
      </c>
      <c r="H74" s="106">
        <v>0.68656716417910446</v>
      </c>
      <c r="I74" s="106">
        <v>276.82388059701492</v>
      </c>
      <c r="J74" s="106">
        <v>0.18380462724935731</v>
      </c>
      <c r="K74" s="106">
        <v>74.11002570694086</v>
      </c>
      <c r="L74" s="106">
        <v>0.29805249788314986</v>
      </c>
      <c r="M74" s="106">
        <v>120.17476714648602</v>
      </c>
      <c r="N74" s="106">
        <v>0.22680412371134021</v>
      </c>
      <c r="O74" s="106">
        <v>91.447422680412373</v>
      </c>
      <c r="P74" s="106">
        <v>0.28862973760932947</v>
      </c>
      <c r="Q74" s="106">
        <v>116.37551020408164</v>
      </c>
      <c r="R74" s="106">
        <v>0.26190476190476186</v>
      </c>
      <c r="S74" s="106">
        <v>105.59999999999998</v>
      </c>
      <c r="T74" s="106">
        <v>0.12692307692307692</v>
      </c>
      <c r="U74" s="106">
        <v>51.175384615384608</v>
      </c>
      <c r="V74" s="106">
        <v>0.13458401305057097</v>
      </c>
      <c r="W74" s="106">
        <v>54.264274061990214</v>
      </c>
      <c r="X74" s="106">
        <v>0</v>
      </c>
      <c r="Y74" s="106">
        <v>0</v>
      </c>
      <c r="Z74" s="106">
        <v>0.26093402520385467</v>
      </c>
      <c r="AA74" s="106">
        <v>105.2085989621942</v>
      </c>
      <c r="AB74" s="106">
        <v>0</v>
      </c>
      <c r="AC74" s="106">
        <v>0</v>
      </c>
      <c r="AD74" s="106">
        <v>0.35181236673773986</v>
      </c>
      <c r="AE74" s="106">
        <v>141.85074626865671</v>
      </c>
      <c r="AF74" s="106">
        <v>0.34660033167495857</v>
      </c>
      <c r="AG74" s="106">
        <v>139.74925373134329</v>
      </c>
      <c r="AH74" s="106">
        <v>0.3148854961832061</v>
      </c>
      <c r="AI74" s="106">
        <v>126.96183206106869</v>
      </c>
      <c r="AJ74" s="106">
        <v>0.1317365269461078</v>
      </c>
      <c r="AK74" s="106">
        <v>53.116167664670662</v>
      </c>
      <c r="AL74" s="106">
        <v>0.23291626564003848</v>
      </c>
      <c r="AM74" s="106">
        <v>93.911838306063515</v>
      </c>
      <c r="AN74" s="106">
        <v>0.11425873465533522</v>
      </c>
      <c r="AO74" s="106">
        <v>46.06912181303116</v>
      </c>
      <c r="AP74" s="106">
        <v>0</v>
      </c>
      <c r="AQ74" s="106">
        <v>0</v>
      </c>
      <c r="AR74" s="106">
        <v>0</v>
      </c>
      <c r="AS74" s="106">
        <v>0</v>
      </c>
      <c r="AT74" s="106">
        <v>1.3318385650224214</v>
      </c>
      <c r="AU74" s="106">
        <v>536.99730941704024</v>
      </c>
      <c r="AV74" s="106">
        <v>0</v>
      </c>
      <c r="AW74" s="106">
        <v>0</v>
      </c>
      <c r="AX74" s="106">
        <v>0.451171875</v>
      </c>
      <c r="AY74" s="106">
        <v>181.91249999999999</v>
      </c>
      <c r="AZ74" s="106">
        <v>0.30877192982456142</v>
      </c>
      <c r="BA74" s="106">
        <v>124.49684210526316</v>
      </c>
      <c r="BB74" s="106">
        <v>0.21568627450980393</v>
      </c>
      <c r="BC74" s="106">
        <v>86.964705882352945</v>
      </c>
      <c r="BD74" s="106">
        <v>0.21019108280254775</v>
      </c>
      <c r="BE74" s="106">
        <v>84.749044585987249</v>
      </c>
      <c r="BF74" s="106">
        <v>0.23754152823920266</v>
      </c>
      <c r="BG74" s="106">
        <v>95.776744186046514</v>
      </c>
      <c r="BH74" s="106">
        <v>0.43743937924345294</v>
      </c>
      <c r="BI74" s="106">
        <v>176.37555771096021</v>
      </c>
      <c r="BJ74" s="106">
        <v>0.40896091515729266</v>
      </c>
      <c r="BK74" s="106">
        <v>164.89304099142041</v>
      </c>
      <c r="BL74" s="106">
        <v>0</v>
      </c>
      <c r="BM74" s="106">
        <v>0</v>
      </c>
      <c r="BN74" s="106">
        <v>0.86546026750590088</v>
      </c>
      <c r="BO74" s="106">
        <v>348.95357985837921</v>
      </c>
      <c r="BP74" s="106">
        <v>0.10461956521739131</v>
      </c>
      <c r="BQ74" s="106">
        <v>42.182608695652178</v>
      </c>
      <c r="BR74" s="106">
        <v>0</v>
      </c>
      <c r="BS74" s="106">
        <v>0</v>
      </c>
      <c r="BT74" s="106">
        <v>0.2212290502793296</v>
      </c>
      <c r="BU74" s="106">
        <v>89.19955307262569</v>
      </c>
      <c r="BV74" s="106">
        <v>0</v>
      </c>
      <c r="BW74" s="106">
        <v>0</v>
      </c>
      <c r="BX74" s="106">
        <v>7.7793493635077787E-2</v>
      </c>
      <c r="BY74" s="106">
        <v>31.366336633663362</v>
      </c>
      <c r="BZ74" s="106">
        <v>0.11120471777590564</v>
      </c>
      <c r="CA74" s="106">
        <v>44.837742207245149</v>
      </c>
      <c r="CB74" s="106">
        <v>0</v>
      </c>
      <c r="CC74" s="106">
        <v>0</v>
      </c>
      <c r="CD74" s="106">
        <v>0.17238805970149251</v>
      </c>
      <c r="CE74" s="106">
        <v>69.506865671641776</v>
      </c>
      <c r="CF74" s="106">
        <v>0.31073446327683618</v>
      </c>
      <c r="CG74" s="106">
        <v>125.28813559322035</v>
      </c>
      <c r="CH74" s="106">
        <v>0</v>
      </c>
      <c r="CI74" s="106">
        <v>0</v>
      </c>
      <c r="CJ74" s="106">
        <v>0.20370370370370369</v>
      </c>
      <c r="CK74" s="106">
        <v>82.133333333333326</v>
      </c>
      <c r="CL74" s="106">
        <v>0</v>
      </c>
      <c r="CM74" s="106">
        <v>0</v>
      </c>
      <c r="CN74" s="106">
        <v>0.16152716593245228</v>
      </c>
      <c r="CO74" s="106">
        <v>65.127753303964752</v>
      </c>
      <c r="CP74" s="106">
        <v>0.54712041884816753</v>
      </c>
      <c r="CQ74" s="106">
        <v>220.59895287958113</v>
      </c>
      <c r="CR74" s="106">
        <v>0.24476439790575916</v>
      </c>
      <c r="CS74" s="106">
        <v>98.689005235602096</v>
      </c>
      <c r="CT74" s="106">
        <v>0.22886866059817945</v>
      </c>
      <c r="CU74" s="106">
        <v>92.279843953185946</v>
      </c>
    </row>
    <row r="75" spans="2:99" x14ac:dyDescent="0.2">
      <c r="C75" s="105" t="s">
        <v>241</v>
      </c>
      <c r="D75" s="106">
        <v>0.44352617079889806</v>
      </c>
      <c r="E75" s="106">
        <v>285.27603305785118</v>
      </c>
      <c r="F75" s="106">
        <v>0</v>
      </c>
      <c r="G75" s="106">
        <v>0</v>
      </c>
      <c r="H75" s="106">
        <v>0.65671641791044777</v>
      </c>
      <c r="I75" s="106">
        <v>422.4</v>
      </c>
      <c r="J75" s="106">
        <v>0.18380462724935731</v>
      </c>
      <c r="K75" s="106">
        <v>118.22313624678661</v>
      </c>
      <c r="L75" s="106">
        <v>0.26079593564775616</v>
      </c>
      <c r="M75" s="106">
        <v>167.74394580863674</v>
      </c>
      <c r="N75" s="106">
        <v>0.2381443298969072</v>
      </c>
      <c r="O75" s="106">
        <v>153.1744329896907</v>
      </c>
      <c r="P75" s="106">
        <v>0.2565597667638484</v>
      </c>
      <c r="Q75" s="106">
        <v>165.01924198250728</v>
      </c>
      <c r="R75" s="106">
        <v>0.26190476190476186</v>
      </c>
      <c r="S75" s="106">
        <v>168.4571428571428</v>
      </c>
      <c r="T75" s="106">
        <v>0.10576923076923078</v>
      </c>
      <c r="U75" s="106">
        <v>68.030769230769238</v>
      </c>
      <c r="V75" s="106">
        <v>0.13458401305057097</v>
      </c>
      <c r="W75" s="106">
        <v>86.564437194127237</v>
      </c>
      <c r="X75" s="106">
        <v>0</v>
      </c>
      <c r="Y75" s="106">
        <v>0</v>
      </c>
      <c r="Z75" s="106">
        <v>0.26093402520385467</v>
      </c>
      <c r="AA75" s="106">
        <v>167.83276501111931</v>
      </c>
      <c r="AB75" s="106">
        <v>0</v>
      </c>
      <c r="AC75" s="106">
        <v>0</v>
      </c>
      <c r="AD75" s="106">
        <v>0.28144989339019189</v>
      </c>
      <c r="AE75" s="106">
        <v>181.02857142857141</v>
      </c>
      <c r="AF75" s="106">
        <v>0.3101160862354892</v>
      </c>
      <c r="AG75" s="106">
        <v>199.46666666666664</v>
      </c>
      <c r="AH75" s="106">
        <v>0.3148854961832061</v>
      </c>
      <c r="AI75" s="106">
        <v>202.53435114503816</v>
      </c>
      <c r="AJ75" s="106">
        <v>0.1317365269461078</v>
      </c>
      <c r="AK75" s="106">
        <v>84.732934131736528</v>
      </c>
      <c r="AL75" s="106">
        <v>0.25409047160731468</v>
      </c>
      <c r="AM75" s="106">
        <v>163.43099133782479</v>
      </c>
      <c r="AN75" s="106">
        <v>0.11425873465533522</v>
      </c>
      <c r="AO75" s="106">
        <v>73.491218130311609</v>
      </c>
      <c r="AP75" s="106">
        <v>0</v>
      </c>
      <c r="AQ75" s="106">
        <v>0</v>
      </c>
      <c r="AR75" s="106">
        <v>0</v>
      </c>
      <c r="AS75" s="106">
        <v>0</v>
      </c>
      <c r="AT75" s="106">
        <v>1.3318385650224214</v>
      </c>
      <c r="AU75" s="106">
        <v>856.63856502242129</v>
      </c>
      <c r="AV75" s="106">
        <v>0</v>
      </c>
      <c r="AW75" s="106">
        <v>0</v>
      </c>
      <c r="AX75" s="106">
        <v>0.4619140625</v>
      </c>
      <c r="AY75" s="106">
        <v>297.10312499999998</v>
      </c>
      <c r="AZ75" s="106">
        <v>0.27017543859649124</v>
      </c>
      <c r="BA75" s="106">
        <v>173.77684210526314</v>
      </c>
      <c r="BB75" s="106">
        <v>0.19607843137254902</v>
      </c>
      <c r="BC75" s="106">
        <v>126.11764705882351</v>
      </c>
      <c r="BD75" s="106">
        <v>0.22770700636942673</v>
      </c>
      <c r="BE75" s="106">
        <v>146.46114649681525</v>
      </c>
      <c r="BF75" s="106">
        <v>0.21926910299003322</v>
      </c>
      <c r="BG75" s="106">
        <v>141.03388704318934</v>
      </c>
      <c r="BH75" s="106">
        <v>0.40543161978661496</v>
      </c>
      <c r="BI75" s="106">
        <v>260.77361784675071</v>
      </c>
      <c r="BJ75" s="106">
        <v>0.36701620591039086</v>
      </c>
      <c r="BK75" s="106">
        <v>236.06482364156338</v>
      </c>
      <c r="BL75" s="106">
        <v>0</v>
      </c>
      <c r="BM75" s="106">
        <v>0</v>
      </c>
      <c r="BN75" s="106">
        <v>1.003933910306845</v>
      </c>
      <c r="BO75" s="106">
        <v>645.73029110936261</v>
      </c>
      <c r="BP75" s="106">
        <v>0.11956521739130435</v>
      </c>
      <c r="BQ75" s="106">
        <v>76.904347826086948</v>
      </c>
      <c r="BR75" s="106">
        <v>0</v>
      </c>
      <c r="BS75" s="106">
        <v>0</v>
      </c>
      <c r="BT75" s="106">
        <v>0.2212290502793296</v>
      </c>
      <c r="BU75" s="106">
        <v>142.29452513966478</v>
      </c>
      <c r="BV75" s="106">
        <v>0</v>
      </c>
      <c r="BW75" s="106">
        <v>0</v>
      </c>
      <c r="BX75" s="106">
        <v>8.5572842998585572E-2</v>
      </c>
      <c r="BY75" s="106">
        <v>55.040452616690231</v>
      </c>
      <c r="BZ75" s="106">
        <v>0.12047177759056445</v>
      </c>
      <c r="CA75" s="106">
        <v>77.487447346251045</v>
      </c>
      <c r="CB75" s="106">
        <v>0</v>
      </c>
      <c r="CC75" s="106">
        <v>0</v>
      </c>
      <c r="CD75" s="106">
        <v>0.15597014925373134</v>
      </c>
      <c r="CE75" s="106">
        <v>100.32</v>
      </c>
      <c r="CF75" s="106">
        <v>0.27966101694915257</v>
      </c>
      <c r="CG75" s="106">
        <v>179.87796610169491</v>
      </c>
      <c r="CH75" s="106">
        <v>0</v>
      </c>
      <c r="CI75" s="106">
        <v>0</v>
      </c>
      <c r="CJ75" s="106">
        <v>0.20370370370370369</v>
      </c>
      <c r="CK75" s="106">
        <v>131.02222222222221</v>
      </c>
      <c r="CL75" s="106">
        <v>0</v>
      </c>
      <c r="CM75" s="106">
        <v>0</v>
      </c>
      <c r="CN75" s="106">
        <v>0.19383259911894274</v>
      </c>
      <c r="CO75" s="106">
        <v>124.67312775330396</v>
      </c>
      <c r="CP75" s="106">
        <v>0.54712041884816753</v>
      </c>
      <c r="CQ75" s="106">
        <v>351.9078534031413</v>
      </c>
      <c r="CR75" s="106">
        <v>0.23036649214659688</v>
      </c>
      <c r="CS75" s="106">
        <v>148.1717277486911</v>
      </c>
      <c r="CT75" s="106">
        <v>0.22886866059817945</v>
      </c>
      <c r="CU75" s="106">
        <v>147.20832249674902</v>
      </c>
    </row>
    <row r="76" spans="2:99" x14ac:dyDescent="0.2">
      <c r="C76" s="105" t="s">
        <v>242</v>
      </c>
      <c r="D76" s="106">
        <v>0.48209366391184572</v>
      </c>
      <c r="E76" s="106">
        <v>375.45454545454544</v>
      </c>
      <c r="F76" s="106">
        <v>0</v>
      </c>
      <c r="G76" s="106">
        <v>0</v>
      </c>
      <c r="H76" s="106">
        <v>0.65671641791044777</v>
      </c>
      <c r="I76" s="106">
        <v>511.4507462686567</v>
      </c>
      <c r="J76" s="106">
        <v>0.18380462724935731</v>
      </c>
      <c r="K76" s="106">
        <v>143.14704370179948</v>
      </c>
      <c r="L76" s="106">
        <v>0.27942421676545298</v>
      </c>
      <c r="M76" s="106">
        <v>217.61558001693476</v>
      </c>
      <c r="N76" s="106">
        <v>0.22680412371134021</v>
      </c>
      <c r="O76" s="106">
        <v>176.63505154639174</v>
      </c>
      <c r="P76" s="106">
        <v>0.2565597667638484</v>
      </c>
      <c r="Q76" s="106">
        <v>199.80874635568512</v>
      </c>
      <c r="R76" s="106">
        <v>0.29271708683473391</v>
      </c>
      <c r="S76" s="106">
        <v>227.96806722689075</v>
      </c>
      <c r="T76" s="106">
        <v>0.11987179487179486</v>
      </c>
      <c r="U76" s="106">
        <v>93.356153846153831</v>
      </c>
      <c r="V76" s="106">
        <v>0.13458401305057097</v>
      </c>
      <c r="W76" s="106">
        <v>104.81402936378467</v>
      </c>
      <c r="X76" s="106">
        <v>0</v>
      </c>
      <c r="Y76" s="106">
        <v>0</v>
      </c>
      <c r="Z76" s="106">
        <v>0.27724240177909565</v>
      </c>
      <c r="AA76" s="106">
        <v>215.91638250555968</v>
      </c>
      <c r="AB76" s="106">
        <v>0</v>
      </c>
      <c r="AC76" s="106">
        <v>0</v>
      </c>
      <c r="AD76" s="106">
        <v>0.28144989339019189</v>
      </c>
      <c r="AE76" s="106">
        <v>219.19317697228144</v>
      </c>
      <c r="AF76" s="106">
        <v>0.3101160862354892</v>
      </c>
      <c r="AG76" s="106">
        <v>241.51840796019897</v>
      </c>
      <c r="AH76" s="106">
        <v>0.3148854961832061</v>
      </c>
      <c r="AI76" s="106">
        <v>245.23282442748089</v>
      </c>
      <c r="AJ76" s="106">
        <v>0.12232677502138579</v>
      </c>
      <c r="AK76" s="106">
        <v>95.268092386655255</v>
      </c>
      <c r="AL76" s="106">
        <v>0.23291626564003848</v>
      </c>
      <c r="AM76" s="106">
        <v>181.39518768046196</v>
      </c>
      <c r="AN76" s="106">
        <v>0.11425873465533522</v>
      </c>
      <c r="AO76" s="106">
        <v>88.984702549575061</v>
      </c>
      <c r="AP76" s="106">
        <v>0</v>
      </c>
      <c r="AQ76" s="106">
        <v>0</v>
      </c>
      <c r="AR76" s="106">
        <v>0</v>
      </c>
      <c r="AS76" s="106">
        <v>0</v>
      </c>
      <c r="AT76" s="106">
        <v>1.3529788597053169</v>
      </c>
      <c r="AU76" s="106">
        <v>1053.6999359385009</v>
      </c>
      <c r="AV76" s="106">
        <v>0</v>
      </c>
      <c r="AW76" s="106">
        <v>0</v>
      </c>
      <c r="AX76" s="106">
        <v>0.451171875</v>
      </c>
      <c r="AY76" s="106">
        <v>351.37265624999998</v>
      </c>
      <c r="AZ76" s="106">
        <v>0.27017543859649124</v>
      </c>
      <c r="BA76" s="106">
        <v>210.41263157894736</v>
      </c>
      <c r="BB76" s="106">
        <v>0.19607843137254902</v>
      </c>
      <c r="BC76" s="106">
        <v>152.70588235294116</v>
      </c>
      <c r="BD76" s="106">
        <v>0.21019108280254775</v>
      </c>
      <c r="BE76" s="106">
        <v>163.69681528662417</v>
      </c>
      <c r="BF76" s="106">
        <v>0.2009966777408638</v>
      </c>
      <c r="BG76" s="106">
        <v>156.53621262458472</v>
      </c>
      <c r="BH76" s="106">
        <v>0.39476236663433556</v>
      </c>
      <c r="BI76" s="106">
        <v>307.44093113482052</v>
      </c>
      <c r="BJ76" s="106">
        <v>0.37750238322211632</v>
      </c>
      <c r="BK76" s="106">
        <v>293.9988560533842</v>
      </c>
      <c r="BL76" s="106">
        <v>0</v>
      </c>
      <c r="BM76" s="106">
        <v>0</v>
      </c>
      <c r="BN76" s="106">
        <v>0.8308418568056648</v>
      </c>
      <c r="BO76" s="106">
        <v>647.05963808025172</v>
      </c>
      <c r="BP76" s="106">
        <v>0.11956521739130435</v>
      </c>
      <c r="BQ76" s="106">
        <v>93.117391304347819</v>
      </c>
      <c r="BR76" s="106">
        <v>0</v>
      </c>
      <c r="BS76" s="106">
        <v>0</v>
      </c>
      <c r="BT76" s="106">
        <v>0.19664804469273742</v>
      </c>
      <c r="BU76" s="106">
        <v>153.1494972067039</v>
      </c>
      <c r="BV76" s="106">
        <v>0</v>
      </c>
      <c r="BW76" s="106">
        <v>0</v>
      </c>
      <c r="BX76" s="106">
        <v>9.3352192362093356E-2</v>
      </c>
      <c r="BY76" s="106">
        <v>72.702687411598305</v>
      </c>
      <c r="BZ76" s="106">
        <v>0.11120471777590564</v>
      </c>
      <c r="CA76" s="106">
        <v>86.606234203875303</v>
      </c>
      <c r="CB76" s="106">
        <v>0</v>
      </c>
      <c r="CC76" s="106">
        <v>0</v>
      </c>
      <c r="CD76" s="106">
        <v>0.17238805970149251</v>
      </c>
      <c r="CE76" s="106">
        <v>134.25582089552236</v>
      </c>
      <c r="CF76" s="106">
        <v>0.31073446327683618</v>
      </c>
      <c r="CG76" s="106">
        <v>242</v>
      </c>
      <c r="CH76" s="106">
        <v>0</v>
      </c>
      <c r="CI76" s="106">
        <v>0</v>
      </c>
      <c r="CJ76" s="106">
        <v>0.18333333333333332</v>
      </c>
      <c r="CK76" s="106">
        <v>142.77999999999997</v>
      </c>
      <c r="CL76" s="106">
        <v>0</v>
      </c>
      <c r="CM76" s="106">
        <v>0</v>
      </c>
      <c r="CN76" s="106">
        <v>0.1776798825256975</v>
      </c>
      <c r="CO76" s="106">
        <v>138.37709251101319</v>
      </c>
      <c r="CP76" s="106">
        <v>0.51832460732984298</v>
      </c>
      <c r="CQ76" s="106">
        <v>403.67120418848168</v>
      </c>
      <c r="CR76" s="106">
        <v>0.21596858638743455</v>
      </c>
      <c r="CS76" s="106">
        <v>168.19633507853402</v>
      </c>
      <c r="CT76" s="106">
        <v>0.21456436931079326</v>
      </c>
      <c r="CU76" s="106">
        <v>167.10273081924578</v>
      </c>
    </row>
    <row r="77" spans="2:99" x14ac:dyDescent="0.2">
      <c r="C77" s="105" t="s">
        <v>243</v>
      </c>
      <c r="D77" s="106">
        <v>0.46280991735537191</v>
      </c>
      <c r="E77" s="106">
        <v>128.84628099173554</v>
      </c>
      <c r="F77" s="106">
        <v>0</v>
      </c>
      <c r="G77" s="106">
        <v>0</v>
      </c>
      <c r="H77" s="106">
        <v>0.74626865671641796</v>
      </c>
      <c r="I77" s="106">
        <v>207.76119402985074</v>
      </c>
      <c r="J77" s="106">
        <v>0.2120822622107969</v>
      </c>
      <c r="K77" s="106">
        <v>59.043701799485852</v>
      </c>
      <c r="L77" s="106">
        <v>0.27011007620660454</v>
      </c>
      <c r="M77" s="106">
        <v>75.198645215918702</v>
      </c>
      <c r="N77" s="106">
        <v>0.2381443298969072</v>
      </c>
      <c r="O77" s="106">
        <v>66.299381443298955</v>
      </c>
      <c r="P77" s="106">
        <v>0.24052478134110786</v>
      </c>
      <c r="Q77" s="106">
        <v>66.962099125364418</v>
      </c>
      <c r="R77" s="106">
        <v>0.30042016806722688</v>
      </c>
      <c r="S77" s="106">
        <v>83.636974789915953</v>
      </c>
      <c r="T77" s="106">
        <v>0.11987179487179486</v>
      </c>
      <c r="U77" s="106">
        <v>33.372307692307686</v>
      </c>
      <c r="V77" s="106">
        <v>0.12561174551386625</v>
      </c>
      <c r="W77" s="106">
        <v>34.970309951060365</v>
      </c>
      <c r="X77" s="106">
        <v>0</v>
      </c>
      <c r="Y77" s="106">
        <v>0</v>
      </c>
      <c r="Z77" s="106">
        <v>0.26093402520385467</v>
      </c>
      <c r="AA77" s="106">
        <v>72.644032616753137</v>
      </c>
      <c r="AB77" s="106">
        <v>0</v>
      </c>
      <c r="AC77" s="106">
        <v>0</v>
      </c>
      <c r="AD77" s="106">
        <v>0.32835820895522388</v>
      </c>
      <c r="AE77" s="106">
        <v>91.414925373134324</v>
      </c>
      <c r="AF77" s="106">
        <v>0.32835820895522388</v>
      </c>
      <c r="AG77" s="106">
        <v>91.414925373134324</v>
      </c>
      <c r="AH77" s="106">
        <v>0.29389312977099236</v>
      </c>
      <c r="AI77" s="106">
        <v>81.819847328244265</v>
      </c>
      <c r="AJ77" s="106">
        <v>0.1317365269461078</v>
      </c>
      <c r="AK77" s="106">
        <v>36.67544910179641</v>
      </c>
      <c r="AL77" s="106">
        <v>0.23291626564003848</v>
      </c>
      <c r="AM77" s="106">
        <v>64.843888354186703</v>
      </c>
      <c r="AN77" s="106">
        <v>0.11425873465533522</v>
      </c>
      <c r="AO77" s="106">
        <v>31.809631728045321</v>
      </c>
      <c r="AP77" s="106">
        <v>0</v>
      </c>
      <c r="AQ77" s="106">
        <v>0</v>
      </c>
      <c r="AR77" s="106">
        <v>0</v>
      </c>
      <c r="AS77" s="106">
        <v>0</v>
      </c>
      <c r="AT77" s="106">
        <v>1.3741191543882127</v>
      </c>
      <c r="AU77" s="106">
        <v>382.55477258167838</v>
      </c>
      <c r="AV77" s="106">
        <v>0</v>
      </c>
      <c r="AW77" s="106">
        <v>0</v>
      </c>
      <c r="AX77" s="106">
        <v>0.5048828125</v>
      </c>
      <c r="AY77" s="106">
        <v>140.55937499999999</v>
      </c>
      <c r="AZ77" s="106">
        <v>0.27017543859649124</v>
      </c>
      <c r="BA77" s="106">
        <v>75.216842105263154</v>
      </c>
      <c r="BB77" s="106">
        <v>0.21568627450980393</v>
      </c>
      <c r="BC77" s="106">
        <v>60.047058823529412</v>
      </c>
      <c r="BD77" s="106">
        <v>0.21019108280254775</v>
      </c>
      <c r="BE77" s="106">
        <v>58.51719745222929</v>
      </c>
      <c r="BF77" s="106">
        <v>0.2009966777408638</v>
      </c>
      <c r="BG77" s="106">
        <v>55.95747508305648</v>
      </c>
      <c r="BH77" s="106">
        <v>0.39476236663433556</v>
      </c>
      <c r="BI77" s="106">
        <v>109.901842870999</v>
      </c>
      <c r="BJ77" s="106">
        <v>0.37750238322211632</v>
      </c>
      <c r="BK77" s="106">
        <v>105.09666348903717</v>
      </c>
      <c r="BL77" s="106">
        <v>0</v>
      </c>
      <c r="BM77" s="106">
        <v>0</v>
      </c>
      <c r="BN77" s="106">
        <v>0.917387883556255</v>
      </c>
      <c r="BO77" s="106">
        <v>255.40078678206137</v>
      </c>
      <c r="BP77" s="106">
        <v>0.11956521739130435</v>
      </c>
      <c r="BQ77" s="106">
        <v>33.286956521739128</v>
      </c>
      <c r="BR77" s="106">
        <v>0</v>
      </c>
      <c r="BS77" s="106">
        <v>0</v>
      </c>
      <c r="BT77" s="106">
        <v>0.2212290502793296</v>
      </c>
      <c r="BU77" s="106">
        <v>61.590167597765358</v>
      </c>
      <c r="BV77" s="106">
        <v>0</v>
      </c>
      <c r="BW77" s="106">
        <v>0</v>
      </c>
      <c r="BX77" s="106">
        <v>9.3352192362093356E-2</v>
      </c>
      <c r="BY77" s="106">
        <v>25.989250353606788</v>
      </c>
      <c r="BZ77" s="106">
        <v>0.12973883740522327</v>
      </c>
      <c r="CA77" s="106">
        <v>36.119292333614155</v>
      </c>
      <c r="CB77" s="106">
        <v>0</v>
      </c>
      <c r="CC77" s="106">
        <v>0</v>
      </c>
      <c r="CD77" s="106">
        <v>0.17238805970149251</v>
      </c>
      <c r="CE77" s="106">
        <v>47.992835820895515</v>
      </c>
      <c r="CF77" s="106">
        <v>0.34180790960451979</v>
      </c>
      <c r="CG77" s="106">
        <v>95.159322033898306</v>
      </c>
      <c r="CH77" s="106">
        <v>0</v>
      </c>
      <c r="CI77" s="106">
        <v>0</v>
      </c>
      <c r="CJ77" s="106">
        <v>0.18333333333333332</v>
      </c>
      <c r="CK77" s="106">
        <v>51.039999999999992</v>
      </c>
      <c r="CL77" s="106">
        <v>0</v>
      </c>
      <c r="CM77" s="106">
        <v>0</v>
      </c>
      <c r="CN77" s="106">
        <v>0.19383259911894274</v>
      </c>
      <c r="CO77" s="106">
        <v>53.962995594713654</v>
      </c>
      <c r="CP77" s="106">
        <v>0.51832460732984298</v>
      </c>
      <c r="CQ77" s="106">
        <v>144.30157068062826</v>
      </c>
      <c r="CR77" s="106">
        <v>0.23036649214659688</v>
      </c>
      <c r="CS77" s="106">
        <v>64.134031413612561</v>
      </c>
      <c r="CT77" s="106">
        <v>0.21456436931079326</v>
      </c>
      <c r="CU77" s="106">
        <v>59.734720416124837</v>
      </c>
    </row>
    <row r="78" spans="2:99" x14ac:dyDescent="0.2">
      <c r="C78" s="105" t="s">
        <v>244</v>
      </c>
      <c r="D78" s="106">
        <v>0.42424242424242425</v>
      </c>
      <c r="E78" s="106">
        <v>234.18181818181819</v>
      </c>
      <c r="F78" s="106">
        <v>0</v>
      </c>
      <c r="G78" s="106">
        <v>0</v>
      </c>
      <c r="H78" s="106">
        <v>0.71641791044776115</v>
      </c>
      <c r="I78" s="106">
        <v>395.46268656716416</v>
      </c>
      <c r="J78" s="106">
        <v>0.19794344473007713</v>
      </c>
      <c r="K78" s="106">
        <v>109.26478149100258</v>
      </c>
      <c r="L78" s="106">
        <v>0.28873835732430148</v>
      </c>
      <c r="M78" s="106">
        <v>159.38357324301441</v>
      </c>
      <c r="N78" s="106">
        <v>0.20412371134020618</v>
      </c>
      <c r="O78" s="106">
        <v>112.67628865979381</v>
      </c>
      <c r="P78" s="106">
        <v>0.28061224489795922</v>
      </c>
      <c r="Q78" s="106">
        <v>154.89795918367349</v>
      </c>
      <c r="R78" s="106">
        <v>0.28501400560224094</v>
      </c>
      <c r="S78" s="106">
        <v>157.32773109243701</v>
      </c>
      <c r="T78" s="106">
        <v>0.11987179487179486</v>
      </c>
      <c r="U78" s="106">
        <v>66.169230769230765</v>
      </c>
      <c r="V78" s="106">
        <v>0.15252854812398042</v>
      </c>
      <c r="W78" s="106">
        <v>84.195758564437199</v>
      </c>
      <c r="X78" s="106">
        <v>0</v>
      </c>
      <c r="Y78" s="106">
        <v>0</v>
      </c>
      <c r="Z78" s="106">
        <v>0.22831727205337285</v>
      </c>
      <c r="AA78" s="106">
        <v>126.03113417346181</v>
      </c>
      <c r="AB78" s="106">
        <v>0</v>
      </c>
      <c r="AC78" s="106">
        <v>0</v>
      </c>
      <c r="AD78" s="106">
        <v>0.32835820895522388</v>
      </c>
      <c r="AE78" s="106">
        <v>181.25373134328359</v>
      </c>
      <c r="AF78" s="106">
        <v>0.3101160862354892</v>
      </c>
      <c r="AG78" s="106">
        <v>171.18407960199005</v>
      </c>
      <c r="AH78" s="106">
        <v>0.3148854961832061</v>
      </c>
      <c r="AI78" s="106">
        <v>173.81679389312976</v>
      </c>
      <c r="AJ78" s="106">
        <v>0.12232677502138579</v>
      </c>
      <c r="AK78" s="106">
        <v>67.524379811804963</v>
      </c>
      <c r="AL78" s="106">
        <v>0.25409047160731468</v>
      </c>
      <c r="AM78" s="106">
        <v>140.25794032723769</v>
      </c>
      <c r="AN78" s="106">
        <v>0.10387157695939565</v>
      </c>
      <c r="AO78" s="106">
        <v>57.3371104815864</v>
      </c>
      <c r="AP78" s="106">
        <v>0</v>
      </c>
      <c r="AQ78" s="106">
        <v>0</v>
      </c>
      <c r="AR78" s="106">
        <v>0</v>
      </c>
      <c r="AS78" s="106">
        <v>0</v>
      </c>
      <c r="AT78" s="106">
        <v>1.3318385650224214</v>
      </c>
      <c r="AU78" s="106">
        <v>735.17488789237655</v>
      </c>
      <c r="AV78" s="106">
        <v>0</v>
      </c>
      <c r="AW78" s="106">
        <v>0</v>
      </c>
      <c r="AX78" s="106">
        <v>0.43505859375</v>
      </c>
      <c r="AY78" s="106">
        <v>240.15234375</v>
      </c>
      <c r="AZ78" s="106">
        <v>0.30877192982456142</v>
      </c>
      <c r="BA78" s="106">
        <v>170.44210526315791</v>
      </c>
      <c r="BB78" s="106">
        <v>0.19607843137254902</v>
      </c>
      <c r="BC78" s="106">
        <v>108.23529411764706</v>
      </c>
      <c r="BD78" s="106">
        <v>0.19267515923566877</v>
      </c>
      <c r="BE78" s="106">
        <v>106.35668789808916</v>
      </c>
      <c r="BF78" s="106">
        <v>0.21926910299003322</v>
      </c>
      <c r="BG78" s="106">
        <v>121.03654485049833</v>
      </c>
      <c r="BH78" s="106">
        <v>0.41610087293889425</v>
      </c>
      <c r="BI78" s="106">
        <v>229.68768186226961</v>
      </c>
      <c r="BJ78" s="106">
        <v>0.34604385128693993</v>
      </c>
      <c r="BK78" s="106">
        <v>191.01620591039085</v>
      </c>
      <c r="BL78" s="106">
        <v>0</v>
      </c>
      <c r="BM78" s="106">
        <v>0</v>
      </c>
      <c r="BN78" s="106">
        <v>1.021243115656963</v>
      </c>
      <c r="BO78" s="106">
        <v>563.72619984264361</v>
      </c>
      <c r="BP78" s="106">
        <v>0.11956521739130435</v>
      </c>
      <c r="BQ78" s="106">
        <v>66</v>
      </c>
      <c r="BR78" s="106">
        <v>0</v>
      </c>
      <c r="BS78" s="106">
        <v>0</v>
      </c>
      <c r="BT78" s="106">
        <v>0.2212290502793296</v>
      </c>
      <c r="BU78" s="106">
        <v>122.11843575418993</v>
      </c>
      <c r="BV78" s="106">
        <v>0</v>
      </c>
      <c r="BW78" s="106">
        <v>0</v>
      </c>
      <c r="BX78" s="106">
        <v>8.5572842998585572E-2</v>
      </c>
      <c r="BY78" s="106">
        <v>47.236209335219236</v>
      </c>
      <c r="BZ78" s="106">
        <v>0.12047177759056445</v>
      </c>
      <c r="CA78" s="106">
        <v>66.500421229991574</v>
      </c>
      <c r="CB78" s="106">
        <v>0</v>
      </c>
      <c r="CC78" s="106">
        <v>0</v>
      </c>
      <c r="CD78" s="106">
        <v>0.17238805970149251</v>
      </c>
      <c r="CE78" s="106">
        <v>95.15820895522387</v>
      </c>
      <c r="CF78" s="106">
        <v>0.31073446327683618</v>
      </c>
      <c r="CG78" s="106">
        <v>171.52542372881356</v>
      </c>
      <c r="CH78" s="106">
        <v>0</v>
      </c>
      <c r="CI78" s="106">
        <v>0</v>
      </c>
      <c r="CJ78" s="106">
        <v>0.20370370370370369</v>
      </c>
      <c r="CK78" s="106">
        <v>112.44444444444444</v>
      </c>
      <c r="CL78" s="106">
        <v>0</v>
      </c>
      <c r="CM78" s="106">
        <v>0</v>
      </c>
      <c r="CN78" s="106">
        <v>0.1776798825256975</v>
      </c>
      <c r="CO78" s="106">
        <v>98.079295154185019</v>
      </c>
      <c r="CP78" s="106">
        <v>0.5759162303664922</v>
      </c>
      <c r="CQ78" s="106">
        <v>317.9057591623037</v>
      </c>
      <c r="CR78" s="106">
        <v>0.21596858638743455</v>
      </c>
      <c r="CS78" s="106">
        <v>119.21465968586386</v>
      </c>
      <c r="CT78" s="106">
        <v>0.20026007802340701</v>
      </c>
      <c r="CU78" s="106">
        <v>110.54356306892066</v>
      </c>
    </row>
    <row r="79" spans="2:99" x14ac:dyDescent="0.2">
      <c r="C79" s="105" t="s">
        <v>245</v>
      </c>
      <c r="D79" s="106">
        <v>0.46280991735537191</v>
      </c>
      <c r="E79" s="106">
        <v>350.43966942148757</v>
      </c>
      <c r="F79" s="106">
        <v>0</v>
      </c>
      <c r="G79" s="106">
        <v>0</v>
      </c>
      <c r="H79" s="106">
        <v>0.65671641791044777</v>
      </c>
      <c r="I79" s="106">
        <v>497.26567164179102</v>
      </c>
      <c r="J79" s="106">
        <v>0.18380462724935731</v>
      </c>
      <c r="K79" s="106">
        <v>139.17686375321335</v>
      </c>
      <c r="L79" s="106">
        <v>0.27011007620660454</v>
      </c>
      <c r="M79" s="106">
        <v>204.52734970364094</v>
      </c>
      <c r="N79" s="106">
        <v>0.24948453608247423</v>
      </c>
      <c r="O79" s="106">
        <v>188.90969072164947</v>
      </c>
      <c r="P79" s="106">
        <v>0.24854227405247814</v>
      </c>
      <c r="Q79" s="106">
        <v>188.19620991253643</v>
      </c>
      <c r="R79" s="106">
        <v>0.27731092436974791</v>
      </c>
      <c r="S79" s="106">
        <v>209.9798319327731</v>
      </c>
      <c r="T79" s="106">
        <v>0.11282051282051282</v>
      </c>
      <c r="U79" s="106">
        <v>85.427692307692297</v>
      </c>
      <c r="V79" s="106">
        <v>0.12561174551386625</v>
      </c>
      <c r="W79" s="106">
        <v>95.113213703099518</v>
      </c>
      <c r="X79" s="106">
        <v>0</v>
      </c>
      <c r="Y79" s="106">
        <v>0</v>
      </c>
      <c r="Z79" s="106">
        <v>0.2446256486286138</v>
      </c>
      <c r="AA79" s="106">
        <v>185.23054114158634</v>
      </c>
      <c r="AB79" s="106">
        <v>0</v>
      </c>
      <c r="AC79" s="106">
        <v>0</v>
      </c>
      <c r="AD79" s="106">
        <v>0.28144989339019189</v>
      </c>
      <c r="AE79" s="106">
        <v>213.11385927505327</v>
      </c>
      <c r="AF79" s="106">
        <v>0.32835820895522388</v>
      </c>
      <c r="AG79" s="106">
        <v>248.63283582089551</v>
      </c>
      <c r="AH79" s="106">
        <v>0.3148854961832061</v>
      </c>
      <c r="AI79" s="106">
        <v>238.43129770992363</v>
      </c>
      <c r="AJ79" s="106">
        <v>0.11291702309666382</v>
      </c>
      <c r="AK79" s="106">
        <v>85.50076988879384</v>
      </c>
      <c r="AL79" s="106">
        <v>0.23291626564003848</v>
      </c>
      <c r="AM79" s="106">
        <v>176.36419634263711</v>
      </c>
      <c r="AN79" s="106">
        <v>0.10387157695939565</v>
      </c>
      <c r="AO79" s="106">
        <v>78.651558073654385</v>
      </c>
      <c r="AP79" s="106">
        <v>0</v>
      </c>
      <c r="AQ79" s="106">
        <v>0</v>
      </c>
      <c r="AR79" s="106">
        <v>0</v>
      </c>
      <c r="AS79" s="106">
        <v>0</v>
      </c>
      <c r="AT79" s="106">
        <v>1.3741191543882127</v>
      </c>
      <c r="AU79" s="106">
        <v>1040.4830237027545</v>
      </c>
      <c r="AV79" s="106">
        <v>0</v>
      </c>
      <c r="AW79" s="106">
        <v>0</v>
      </c>
      <c r="AX79" s="106">
        <v>0.43505859375</v>
      </c>
      <c r="AY79" s="106">
        <v>329.42636718749998</v>
      </c>
      <c r="AZ79" s="106">
        <v>0.27017543859649124</v>
      </c>
      <c r="BA79" s="106">
        <v>204.57684210526315</v>
      </c>
      <c r="BB79" s="106">
        <v>0.21568627450980393</v>
      </c>
      <c r="BC79" s="106">
        <v>163.31764705882352</v>
      </c>
      <c r="BD79" s="106">
        <v>0.21019108280254775</v>
      </c>
      <c r="BE79" s="106">
        <v>159.15668789808913</v>
      </c>
      <c r="BF79" s="106">
        <v>0.21926910299003322</v>
      </c>
      <c r="BG79" s="106">
        <v>166.03056478405313</v>
      </c>
      <c r="BH79" s="106">
        <v>0.42677012609117365</v>
      </c>
      <c r="BI79" s="106">
        <v>323.15033947623664</v>
      </c>
      <c r="BJ79" s="106">
        <v>0.36701620591039086</v>
      </c>
      <c r="BK79" s="106">
        <v>277.90467111534792</v>
      </c>
      <c r="BL79" s="106">
        <v>0</v>
      </c>
      <c r="BM79" s="106">
        <v>0</v>
      </c>
      <c r="BN79" s="106">
        <v>0.95200629425649097</v>
      </c>
      <c r="BO79" s="106">
        <v>720.85916601101485</v>
      </c>
      <c r="BP79" s="106">
        <v>0.11956521739130435</v>
      </c>
      <c r="BQ79" s="106">
        <v>90.53478260869565</v>
      </c>
      <c r="BR79" s="106">
        <v>0</v>
      </c>
      <c r="BS79" s="106">
        <v>0</v>
      </c>
      <c r="BT79" s="106">
        <v>0.2212290502793296</v>
      </c>
      <c r="BU79" s="106">
        <v>167.51463687150834</v>
      </c>
      <c r="BV79" s="106">
        <v>0</v>
      </c>
      <c r="BW79" s="106">
        <v>0</v>
      </c>
      <c r="BX79" s="106">
        <v>8.5572842998585572E-2</v>
      </c>
      <c r="BY79" s="106">
        <v>64.795756718528992</v>
      </c>
      <c r="BZ79" s="106">
        <v>0.11120471777590564</v>
      </c>
      <c r="CA79" s="106">
        <v>84.204212299915739</v>
      </c>
      <c r="CB79" s="106">
        <v>0</v>
      </c>
      <c r="CC79" s="106">
        <v>0</v>
      </c>
      <c r="CD79" s="106">
        <v>0.17238805970149251</v>
      </c>
      <c r="CE79" s="106">
        <v>130.53223880597011</v>
      </c>
      <c r="CF79" s="106">
        <v>0.31073446327683618</v>
      </c>
      <c r="CG79" s="106">
        <v>235.28813559322035</v>
      </c>
      <c r="CH79" s="106">
        <v>0</v>
      </c>
      <c r="CI79" s="106">
        <v>0</v>
      </c>
      <c r="CJ79" s="106">
        <v>0.20370370370370369</v>
      </c>
      <c r="CK79" s="106">
        <v>154.24444444444441</v>
      </c>
      <c r="CL79" s="106">
        <v>0</v>
      </c>
      <c r="CM79" s="106">
        <v>0</v>
      </c>
      <c r="CN79" s="106">
        <v>0.1776798825256975</v>
      </c>
      <c r="CO79" s="106">
        <v>134.53920704845814</v>
      </c>
      <c r="CP79" s="106">
        <v>0.51832460732984298</v>
      </c>
      <c r="CQ79" s="106">
        <v>392.47539267015708</v>
      </c>
      <c r="CR79" s="106">
        <v>0.21596858638743455</v>
      </c>
      <c r="CS79" s="106">
        <v>163.53141361256542</v>
      </c>
      <c r="CT79" s="106">
        <v>0.21456436931079326</v>
      </c>
      <c r="CU79" s="106">
        <v>162.46814044213264</v>
      </c>
    </row>
    <row r="80" spans="2:99" x14ac:dyDescent="0.2">
      <c r="C80" s="105" t="s">
        <v>246</v>
      </c>
      <c r="D80" s="106">
        <v>0.46280991735537191</v>
      </c>
      <c r="E80" s="106">
        <v>372.65454545454543</v>
      </c>
      <c r="F80" s="106">
        <v>0</v>
      </c>
      <c r="G80" s="106">
        <v>0</v>
      </c>
      <c r="H80" s="106">
        <v>0.68656716417910446</v>
      </c>
      <c r="I80" s="106">
        <v>552.82388059701486</v>
      </c>
      <c r="J80" s="106">
        <v>0.18380462724935731</v>
      </c>
      <c r="K80" s="106">
        <v>147.99948586118251</v>
      </c>
      <c r="L80" s="106">
        <v>0.28873835732430148</v>
      </c>
      <c r="M80" s="106">
        <v>232.49212531752752</v>
      </c>
      <c r="N80" s="106">
        <v>0.2381443298969072</v>
      </c>
      <c r="O80" s="106">
        <v>191.75381443298966</v>
      </c>
      <c r="P80" s="106">
        <v>0.26457725947521865</v>
      </c>
      <c r="Q80" s="106">
        <v>213.03760932944604</v>
      </c>
      <c r="R80" s="106">
        <v>0.26190476190476186</v>
      </c>
      <c r="S80" s="106">
        <v>210.88571428571424</v>
      </c>
      <c r="T80" s="106">
        <v>0.11282051282051282</v>
      </c>
      <c r="U80" s="106">
        <v>90.843076923076922</v>
      </c>
      <c r="V80" s="106">
        <v>0.14355628058727571</v>
      </c>
      <c r="W80" s="106">
        <v>115.59151712887439</v>
      </c>
      <c r="X80" s="106">
        <v>0</v>
      </c>
      <c r="Y80" s="106">
        <v>0</v>
      </c>
      <c r="Z80" s="106">
        <v>0.2446256486286138</v>
      </c>
      <c r="AA80" s="106">
        <v>196.9725722757598</v>
      </c>
      <c r="AB80" s="106">
        <v>0</v>
      </c>
      <c r="AC80" s="106">
        <v>0</v>
      </c>
      <c r="AD80" s="106">
        <v>0.30490405117270791</v>
      </c>
      <c r="AE80" s="106">
        <v>245.50874200426438</v>
      </c>
      <c r="AF80" s="106">
        <v>0.29187396351575456</v>
      </c>
      <c r="AG80" s="106">
        <v>235.01691542288555</v>
      </c>
      <c r="AH80" s="106">
        <v>0.29389312977099236</v>
      </c>
      <c r="AI80" s="106">
        <v>236.64274809160304</v>
      </c>
      <c r="AJ80" s="106">
        <v>0.12232677502138579</v>
      </c>
      <c r="AK80" s="106">
        <v>98.497519247219827</v>
      </c>
      <c r="AL80" s="106">
        <v>0.25409047160731468</v>
      </c>
      <c r="AM80" s="106">
        <v>204.59364773820977</v>
      </c>
      <c r="AN80" s="106">
        <v>0.10387157695939565</v>
      </c>
      <c r="AO80" s="106">
        <v>83.637393767705376</v>
      </c>
      <c r="AP80" s="106">
        <v>0</v>
      </c>
      <c r="AQ80" s="106">
        <v>0</v>
      </c>
      <c r="AR80" s="106">
        <v>0</v>
      </c>
      <c r="AS80" s="106">
        <v>0</v>
      </c>
      <c r="AT80" s="106">
        <v>1.2684176809737349</v>
      </c>
      <c r="AU80" s="106">
        <v>1021.3299167200512</v>
      </c>
      <c r="AV80" s="106">
        <v>0</v>
      </c>
      <c r="AW80" s="106">
        <v>0</v>
      </c>
      <c r="AX80" s="106">
        <v>0.451171875</v>
      </c>
      <c r="AY80" s="106">
        <v>363.28359374999997</v>
      </c>
      <c r="AZ80" s="106">
        <v>0.30877192982456142</v>
      </c>
      <c r="BA80" s="106">
        <v>248.62315789473683</v>
      </c>
      <c r="BB80" s="106">
        <v>0.23529411764705882</v>
      </c>
      <c r="BC80" s="106">
        <v>189.45882352941175</v>
      </c>
      <c r="BD80" s="106">
        <v>0.19267515923566877</v>
      </c>
      <c r="BE80" s="106">
        <v>155.14203821656048</v>
      </c>
      <c r="BF80" s="106">
        <v>0.21926910299003322</v>
      </c>
      <c r="BG80" s="106">
        <v>176.55548172757474</v>
      </c>
      <c r="BH80" s="106">
        <v>0.37342386032977692</v>
      </c>
      <c r="BI80" s="106">
        <v>300.68089233753636</v>
      </c>
      <c r="BJ80" s="106">
        <v>0.33555767397521447</v>
      </c>
      <c r="BK80" s="106">
        <v>270.19103908484266</v>
      </c>
      <c r="BL80" s="106">
        <v>0</v>
      </c>
      <c r="BM80" s="106">
        <v>0</v>
      </c>
      <c r="BN80" s="106">
        <v>1.003933910306845</v>
      </c>
      <c r="BO80" s="106">
        <v>808.36758457907149</v>
      </c>
      <c r="BP80" s="106">
        <v>0.10461956521739131</v>
      </c>
      <c r="BQ80" s="106">
        <v>84.239673913043475</v>
      </c>
      <c r="BR80" s="106">
        <v>0</v>
      </c>
      <c r="BS80" s="106">
        <v>0</v>
      </c>
      <c r="BT80" s="106">
        <v>0.2212290502793296</v>
      </c>
      <c r="BU80" s="106">
        <v>178.13363128491616</v>
      </c>
      <c r="BV80" s="106">
        <v>0</v>
      </c>
      <c r="BW80" s="106">
        <v>0</v>
      </c>
      <c r="BX80" s="106">
        <v>9.3352192362093356E-2</v>
      </c>
      <c r="BY80" s="106">
        <v>75.167185289957558</v>
      </c>
      <c r="BZ80" s="106">
        <v>0.12047177759056445</v>
      </c>
      <c r="CA80" s="106">
        <v>97.003875315922485</v>
      </c>
      <c r="CB80" s="106">
        <v>0</v>
      </c>
      <c r="CC80" s="106">
        <v>0</v>
      </c>
      <c r="CD80" s="106">
        <v>0.17238805970149251</v>
      </c>
      <c r="CE80" s="106">
        <v>138.80686567164176</v>
      </c>
      <c r="CF80" s="106">
        <v>0.27966101694915257</v>
      </c>
      <c r="CG80" s="106">
        <v>225.18305084745762</v>
      </c>
      <c r="CH80" s="106">
        <v>0</v>
      </c>
      <c r="CI80" s="106">
        <v>0</v>
      </c>
      <c r="CJ80" s="106">
        <v>0.18333333333333332</v>
      </c>
      <c r="CK80" s="106">
        <v>147.61999999999998</v>
      </c>
      <c r="CL80" s="106">
        <v>0</v>
      </c>
      <c r="CM80" s="106">
        <v>0</v>
      </c>
      <c r="CN80" s="106">
        <v>0.19383259911894274</v>
      </c>
      <c r="CO80" s="106">
        <v>156.07400881057268</v>
      </c>
      <c r="CP80" s="106">
        <v>0.48952879581151831</v>
      </c>
      <c r="CQ80" s="106">
        <v>394.16858638743452</v>
      </c>
      <c r="CR80" s="106">
        <v>0.23036649214659688</v>
      </c>
      <c r="CS80" s="106">
        <v>185.49109947643979</v>
      </c>
      <c r="CT80" s="106">
        <v>0.20026007802340701</v>
      </c>
      <c r="CU80" s="106">
        <v>161.24941482444731</v>
      </c>
    </row>
    <row r="81" spans="2:99" x14ac:dyDescent="0.2">
      <c r="C81" s="105" t="s">
        <v>247</v>
      </c>
      <c r="D81" s="106">
        <v>0.46280991735537191</v>
      </c>
      <c r="E81" s="106">
        <v>348.77355371900831</v>
      </c>
      <c r="F81" s="106">
        <v>0</v>
      </c>
      <c r="G81" s="106">
        <v>0</v>
      </c>
      <c r="H81" s="106">
        <v>0.71641791044776115</v>
      </c>
      <c r="I81" s="106">
        <v>539.89253731343285</v>
      </c>
      <c r="J81" s="106">
        <v>0.19794344473007713</v>
      </c>
      <c r="K81" s="106">
        <v>149.17017994858614</v>
      </c>
      <c r="L81" s="106">
        <v>0.25148179508890767</v>
      </c>
      <c r="M81" s="106">
        <v>189.51668077900084</v>
      </c>
      <c r="N81" s="106">
        <v>0.22680412371134021</v>
      </c>
      <c r="O81" s="106">
        <v>170.919587628866</v>
      </c>
      <c r="P81" s="106">
        <v>0.27259475218658891</v>
      </c>
      <c r="Q81" s="106">
        <v>205.4274052478134</v>
      </c>
      <c r="R81" s="106">
        <v>0.26190476190476186</v>
      </c>
      <c r="S81" s="106">
        <v>197.37142857142854</v>
      </c>
      <c r="T81" s="106">
        <v>0.11987179487179486</v>
      </c>
      <c r="U81" s="106">
        <v>90.335384615384612</v>
      </c>
      <c r="V81" s="106">
        <v>0.13458401305057097</v>
      </c>
      <c r="W81" s="106">
        <v>101.42251223491029</v>
      </c>
      <c r="X81" s="106">
        <v>0</v>
      </c>
      <c r="Y81" s="106">
        <v>0</v>
      </c>
      <c r="Z81" s="106">
        <v>0.2446256486286138</v>
      </c>
      <c r="AA81" s="106">
        <v>184.34988880652335</v>
      </c>
      <c r="AB81" s="106">
        <v>0</v>
      </c>
      <c r="AC81" s="106">
        <v>0</v>
      </c>
      <c r="AD81" s="106">
        <v>0.28144989339019189</v>
      </c>
      <c r="AE81" s="106">
        <v>212.10063965884862</v>
      </c>
      <c r="AF81" s="106">
        <v>0.3101160862354892</v>
      </c>
      <c r="AG81" s="106">
        <v>233.70348258706466</v>
      </c>
      <c r="AH81" s="106">
        <v>0.29389312977099236</v>
      </c>
      <c r="AI81" s="106">
        <v>221.47786259541985</v>
      </c>
      <c r="AJ81" s="106">
        <v>0.12232677502138579</v>
      </c>
      <c r="AK81" s="106">
        <v>92.185457656116341</v>
      </c>
      <c r="AL81" s="106">
        <v>0.21174205967276227</v>
      </c>
      <c r="AM81" s="106">
        <v>159.56881616939364</v>
      </c>
      <c r="AN81" s="106">
        <v>0.11425873465533522</v>
      </c>
      <c r="AO81" s="106">
        <v>86.105382436260626</v>
      </c>
      <c r="AP81" s="106">
        <v>0</v>
      </c>
      <c r="AQ81" s="106">
        <v>0</v>
      </c>
      <c r="AR81" s="106">
        <v>0</v>
      </c>
      <c r="AS81" s="106">
        <v>0</v>
      </c>
      <c r="AT81" s="106">
        <v>1.4163997437540039</v>
      </c>
      <c r="AU81" s="106">
        <v>1067.3988468930174</v>
      </c>
      <c r="AV81" s="106">
        <v>0</v>
      </c>
      <c r="AW81" s="106">
        <v>0</v>
      </c>
      <c r="AX81" s="106">
        <v>0.39208984375</v>
      </c>
      <c r="AY81" s="106">
        <v>295.47890625000002</v>
      </c>
      <c r="AZ81" s="106">
        <v>0.30877192982456142</v>
      </c>
      <c r="BA81" s="106">
        <v>232.6905263157895</v>
      </c>
      <c r="BB81" s="106">
        <v>0.19607843137254902</v>
      </c>
      <c r="BC81" s="106">
        <v>147.76470588235296</v>
      </c>
      <c r="BD81" s="106">
        <v>0.22770700636942673</v>
      </c>
      <c r="BE81" s="106">
        <v>171.6</v>
      </c>
      <c r="BF81" s="106">
        <v>0.2009966777408638</v>
      </c>
      <c r="BG81" s="106">
        <v>151.47109634551495</v>
      </c>
      <c r="BH81" s="106">
        <v>0.37342386032977692</v>
      </c>
      <c r="BI81" s="106">
        <v>281.41222114451989</v>
      </c>
      <c r="BJ81" s="106">
        <v>0.38798856053384179</v>
      </c>
      <c r="BK81" s="106">
        <v>292.38817921830315</v>
      </c>
      <c r="BL81" s="106">
        <v>0</v>
      </c>
      <c r="BM81" s="106">
        <v>0</v>
      </c>
      <c r="BN81" s="106">
        <v>0.8308418568056648</v>
      </c>
      <c r="BO81" s="106">
        <v>626.12242328874902</v>
      </c>
      <c r="BP81" s="106">
        <v>0.11956521739130435</v>
      </c>
      <c r="BQ81" s="106">
        <v>90.104347826086965</v>
      </c>
      <c r="BR81" s="106">
        <v>0</v>
      </c>
      <c r="BS81" s="106">
        <v>0</v>
      </c>
      <c r="BT81" s="106">
        <v>0.2212290502793296</v>
      </c>
      <c r="BU81" s="106">
        <v>166.71821229050278</v>
      </c>
      <c r="BV81" s="106">
        <v>0</v>
      </c>
      <c r="BW81" s="106">
        <v>0</v>
      </c>
      <c r="BX81" s="106">
        <v>9.3352192362093356E-2</v>
      </c>
      <c r="BY81" s="106">
        <v>70.350212164073554</v>
      </c>
      <c r="BZ81" s="106">
        <v>0.11120471777590564</v>
      </c>
      <c r="CA81" s="106">
        <v>83.803875315922497</v>
      </c>
      <c r="CB81" s="106">
        <v>0</v>
      </c>
      <c r="CC81" s="106">
        <v>0</v>
      </c>
      <c r="CD81" s="106">
        <v>0.18059701492537314</v>
      </c>
      <c r="CE81" s="106">
        <v>136.09791044776119</v>
      </c>
      <c r="CF81" s="106">
        <v>0.27966101694915257</v>
      </c>
      <c r="CG81" s="106">
        <v>210.75254237288138</v>
      </c>
      <c r="CH81" s="106">
        <v>0</v>
      </c>
      <c r="CI81" s="106">
        <v>0</v>
      </c>
      <c r="CJ81" s="106">
        <v>0.18333333333333332</v>
      </c>
      <c r="CK81" s="106">
        <v>138.16</v>
      </c>
      <c r="CL81" s="106">
        <v>0</v>
      </c>
      <c r="CM81" s="106">
        <v>0</v>
      </c>
      <c r="CN81" s="106">
        <v>0.16152716593245228</v>
      </c>
      <c r="CO81" s="106">
        <v>121.72687224669605</v>
      </c>
      <c r="CP81" s="106">
        <v>0.51832460732984298</v>
      </c>
      <c r="CQ81" s="106">
        <v>390.60942408376968</v>
      </c>
      <c r="CR81" s="106">
        <v>0.25916230366492149</v>
      </c>
      <c r="CS81" s="106">
        <v>195.30471204188484</v>
      </c>
      <c r="CT81" s="106">
        <v>0.20026007802340701</v>
      </c>
      <c r="CU81" s="106">
        <v>150.91599479843953</v>
      </c>
    </row>
    <row r="82" spans="2:99" x14ac:dyDescent="0.2">
      <c r="C82" s="105" t="s">
        <v>248</v>
      </c>
      <c r="D82" s="106">
        <v>0.44352617079889806</v>
      </c>
      <c r="E82" s="106">
        <v>225.66611570247929</v>
      </c>
      <c r="F82" s="106">
        <v>0</v>
      </c>
      <c r="G82" s="106">
        <v>0</v>
      </c>
      <c r="H82" s="106">
        <v>0.68656716417910446</v>
      </c>
      <c r="I82" s="106">
        <v>349.32537313432829</v>
      </c>
      <c r="J82" s="106">
        <v>0.18380462724935731</v>
      </c>
      <c r="K82" s="106">
        <v>93.519794344472984</v>
      </c>
      <c r="L82" s="106">
        <v>0.27011007620660454</v>
      </c>
      <c r="M82" s="106">
        <v>137.43200677392036</v>
      </c>
      <c r="N82" s="106">
        <v>0.21546391752577321</v>
      </c>
      <c r="O82" s="106">
        <v>109.62804123711338</v>
      </c>
      <c r="P82" s="106">
        <v>0.27259475218658891</v>
      </c>
      <c r="Q82" s="106">
        <v>138.6962099125364</v>
      </c>
      <c r="R82" s="106">
        <v>0.25420168067226889</v>
      </c>
      <c r="S82" s="106">
        <v>129.33781512605037</v>
      </c>
      <c r="T82" s="106">
        <v>0.12692307692307692</v>
      </c>
      <c r="U82" s="106">
        <v>64.578461538461525</v>
      </c>
      <c r="V82" s="106">
        <v>0.15252854812398042</v>
      </c>
      <c r="W82" s="106">
        <v>77.606525285481226</v>
      </c>
      <c r="X82" s="106">
        <v>0</v>
      </c>
      <c r="Y82" s="106">
        <v>0</v>
      </c>
      <c r="Z82" s="106">
        <v>0.26093402520385467</v>
      </c>
      <c r="AA82" s="106">
        <v>132.76323202372123</v>
      </c>
      <c r="AB82" s="106">
        <v>0</v>
      </c>
      <c r="AC82" s="106">
        <v>0</v>
      </c>
      <c r="AD82" s="106">
        <v>0.32835820895522388</v>
      </c>
      <c r="AE82" s="106">
        <v>167.06865671641788</v>
      </c>
      <c r="AF82" s="106">
        <v>0.3101160862354892</v>
      </c>
      <c r="AG82" s="106">
        <v>157.78706467661686</v>
      </c>
      <c r="AH82" s="106">
        <v>0.33587786259541985</v>
      </c>
      <c r="AI82" s="106">
        <v>170.8946564885496</v>
      </c>
      <c r="AJ82" s="106">
        <v>0.1317365269461078</v>
      </c>
      <c r="AK82" s="106">
        <v>67.027544910179628</v>
      </c>
      <c r="AL82" s="106">
        <v>0.23291626564003848</v>
      </c>
      <c r="AM82" s="106">
        <v>118.50779595765155</v>
      </c>
      <c r="AN82" s="106">
        <v>0.10387157695939565</v>
      </c>
      <c r="AO82" s="106">
        <v>52.849858356940494</v>
      </c>
      <c r="AP82" s="106">
        <v>0</v>
      </c>
      <c r="AQ82" s="106">
        <v>0</v>
      </c>
      <c r="AR82" s="106">
        <v>0</v>
      </c>
      <c r="AS82" s="106">
        <v>0</v>
      </c>
      <c r="AT82" s="106">
        <v>1.5009609224855862</v>
      </c>
      <c r="AU82" s="106">
        <v>763.6889173606661</v>
      </c>
      <c r="AV82" s="106">
        <v>0</v>
      </c>
      <c r="AW82" s="106">
        <v>0</v>
      </c>
      <c r="AX82" s="106">
        <v>0.40283203125</v>
      </c>
      <c r="AY82" s="106">
        <v>204.96093749999997</v>
      </c>
      <c r="AZ82" s="106">
        <v>0.30877192982456142</v>
      </c>
      <c r="BA82" s="106">
        <v>157.10315789473682</v>
      </c>
      <c r="BB82" s="106">
        <v>0.19607843137254902</v>
      </c>
      <c r="BC82" s="106">
        <v>99.764705882352914</v>
      </c>
      <c r="BD82" s="106">
        <v>0.21019108280254775</v>
      </c>
      <c r="BE82" s="106">
        <v>106.94522292993628</v>
      </c>
      <c r="BF82" s="106">
        <v>0.2009966777408638</v>
      </c>
      <c r="BG82" s="106">
        <v>102.26710963455147</v>
      </c>
      <c r="BH82" s="106">
        <v>0.40543161978661496</v>
      </c>
      <c r="BI82" s="106">
        <v>206.28360814742965</v>
      </c>
      <c r="BJ82" s="106">
        <v>0.34604385128693993</v>
      </c>
      <c r="BK82" s="106">
        <v>176.067111534795</v>
      </c>
      <c r="BL82" s="106">
        <v>0</v>
      </c>
      <c r="BM82" s="106">
        <v>0</v>
      </c>
      <c r="BN82" s="106">
        <v>0.917387883556255</v>
      </c>
      <c r="BO82" s="106">
        <v>466.76695515342243</v>
      </c>
      <c r="BP82" s="106">
        <v>0.11956521739130435</v>
      </c>
      <c r="BQ82" s="106">
        <v>60.83478260869564</v>
      </c>
      <c r="BR82" s="106">
        <v>0</v>
      </c>
      <c r="BS82" s="106">
        <v>0</v>
      </c>
      <c r="BT82" s="106">
        <v>0.19664804469273742</v>
      </c>
      <c r="BU82" s="106">
        <v>100.05452513966478</v>
      </c>
      <c r="BV82" s="106">
        <v>0</v>
      </c>
      <c r="BW82" s="106">
        <v>0</v>
      </c>
      <c r="BX82" s="106">
        <v>9.3352192362093356E-2</v>
      </c>
      <c r="BY82" s="106">
        <v>47.497595473833087</v>
      </c>
      <c r="BZ82" s="106">
        <v>0.11120471777590564</v>
      </c>
      <c r="CA82" s="106">
        <v>56.580960404380775</v>
      </c>
      <c r="CB82" s="106">
        <v>0</v>
      </c>
      <c r="CC82" s="106">
        <v>0</v>
      </c>
      <c r="CD82" s="106">
        <v>0.18059701492537314</v>
      </c>
      <c r="CE82" s="106">
        <v>91.887761194029835</v>
      </c>
      <c r="CF82" s="106">
        <v>0.27966101694915257</v>
      </c>
      <c r="CG82" s="106">
        <v>142.29152542372881</v>
      </c>
      <c r="CH82" s="106">
        <v>0</v>
      </c>
      <c r="CI82" s="106">
        <v>0</v>
      </c>
      <c r="CJ82" s="106">
        <v>0.18333333333333332</v>
      </c>
      <c r="CK82" s="106">
        <v>93.279999999999973</v>
      </c>
      <c r="CL82" s="106">
        <v>0</v>
      </c>
      <c r="CM82" s="106">
        <v>0</v>
      </c>
      <c r="CN82" s="106">
        <v>0.16152716593245228</v>
      </c>
      <c r="CO82" s="106">
        <v>82.18502202643171</v>
      </c>
      <c r="CP82" s="106">
        <v>0.48952879581151831</v>
      </c>
      <c r="CQ82" s="106">
        <v>249.07225130890046</v>
      </c>
      <c r="CR82" s="106">
        <v>0.23036649214659688</v>
      </c>
      <c r="CS82" s="106">
        <v>117.21047120418847</v>
      </c>
      <c r="CT82" s="106">
        <v>0.20026007802340701</v>
      </c>
      <c r="CU82" s="106">
        <v>101.89232769830946</v>
      </c>
    </row>
    <row r="83" spans="2:99" x14ac:dyDescent="0.2">
      <c r="C83" s="105" t="s">
        <v>249</v>
      </c>
      <c r="D83" s="106">
        <v>0.4049586776859504</v>
      </c>
      <c r="E83" s="106">
        <v>348.42644628099174</v>
      </c>
      <c r="F83" s="106">
        <v>0</v>
      </c>
      <c r="G83" s="106">
        <v>0</v>
      </c>
      <c r="H83" s="106">
        <v>0.71641791044776115</v>
      </c>
      <c r="I83" s="106">
        <v>616.40597014925368</v>
      </c>
      <c r="J83" s="106">
        <v>0.19794344473007713</v>
      </c>
      <c r="K83" s="106">
        <v>170.31053984575837</v>
      </c>
      <c r="L83" s="106">
        <v>0.28873835732430148</v>
      </c>
      <c r="M83" s="106">
        <v>248.43048264182897</v>
      </c>
      <c r="N83" s="106">
        <v>0.21546391752577321</v>
      </c>
      <c r="O83" s="106">
        <v>185.38515463917525</v>
      </c>
      <c r="P83" s="106">
        <v>0.26457725947521865</v>
      </c>
      <c r="Q83" s="106">
        <v>227.64227405247811</v>
      </c>
      <c r="R83" s="106">
        <v>0.26190476190476186</v>
      </c>
      <c r="S83" s="106">
        <v>225.3428571428571</v>
      </c>
      <c r="T83" s="106">
        <v>0.10576923076923078</v>
      </c>
      <c r="U83" s="106">
        <v>91.003846153846169</v>
      </c>
      <c r="V83" s="106">
        <v>0.13458401305057097</v>
      </c>
      <c r="W83" s="106">
        <v>115.79608482871126</v>
      </c>
      <c r="X83" s="106">
        <v>0</v>
      </c>
      <c r="Y83" s="106">
        <v>0</v>
      </c>
      <c r="Z83" s="106">
        <v>0.26093402520385467</v>
      </c>
      <c r="AA83" s="106">
        <v>224.50763528539656</v>
      </c>
      <c r="AB83" s="106">
        <v>0</v>
      </c>
      <c r="AC83" s="106">
        <v>0</v>
      </c>
      <c r="AD83" s="106">
        <v>0.30490405117270791</v>
      </c>
      <c r="AE83" s="106">
        <v>262.33944562899791</v>
      </c>
      <c r="AF83" s="106">
        <v>0.32835820895522388</v>
      </c>
      <c r="AG83" s="106">
        <v>282.51940298507463</v>
      </c>
      <c r="AH83" s="106">
        <v>0.3148854961832061</v>
      </c>
      <c r="AI83" s="106">
        <v>270.9274809160305</v>
      </c>
      <c r="AJ83" s="106">
        <v>0.12232677502138579</v>
      </c>
      <c r="AK83" s="106">
        <v>105.24995722840033</v>
      </c>
      <c r="AL83" s="106">
        <v>0.21174205967276227</v>
      </c>
      <c r="AM83" s="106">
        <v>182.18286814244465</v>
      </c>
      <c r="AN83" s="106">
        <v>0.11425873465533522</v>
      </c>
      <c r="AO83" s="106">
        <v>98.308215297450417</v>
      </c>
      <c r="AP83" s="106">
        <v>0</v>
      </c>
      <c r="AQ83" s="106">
        <v>0</v>
      </c>
      <c r="AR83" s="106">
        <v>0</v>
      </c>
      <c r="AS83" s="106">
        <v>0</v>
      </c>
      <c r="AT83" s="106">
        <v>1.3741191543882127</v>
      </c>
      <c r="AU83" s="106">
        <v>1182.2921204356182</v>
      </c>
      <c r="AV83" s="106">
        <v>0</v>
      </c>
      <c r="AW83" s="106">
        <v>0</v>
      </c>
      <c r="AX83" s="106">
        <v>0.39208984375</v>
      </c>
      <c r="AY83" s="106">
        <v>337.35410156249998</v>
      </c>
      <c r="AZ83" s="106">
        <v>0.27017543859649124</v>
      </c>
      <c r="BA83" s="106">
        <v>232.45894736842106</v>
      </c>
      <c r="BB83" s="106">
        <v>0.21568627450980393</v>
      </c>
      <c r="BC83" s="106">
        <v>185.57647058823531</v>
      </c>
      <c r="BD83" s="106">
        <v>0.21019108280254775</v>
      </c>
      <c r="BE83" s="106">
        <v>180.84840764331207</v>
      </c>
      <c r="BF83" s="106">
        <v>0.2009966777408638</v>
      </c>
      <c r="BG83" s="106">
        <v>172.93754152823922</v>
      </c>
      <c r="BH83" s="106">
        <v>0.40543161978661496</v>
      </c>
      <c r="BI83" s="106">
        <v>348.83336566440352</v>
      </c>
      <c r="BJ83" s="106">
        <v>0.34604385128693993</v>
      </c>
      <c r="BK83" s="106">
        <v>297.73612964728312</v>
      </c>
      <c r="BL83" s="106">
        <v>0</v>
      </c>
      <c r="BM83" s="106">
        <v>0</v>
      </c>
      <c r="BN83" s="106">
        <v>0.86546026750590088</v>
      </c>
      <c r="BO83" s="106">
        <v>744.64201416207709</v>
      </c>
      <c r="BP83" s="106">
        <v>0.11956521739130435</v>
      </c>
      <c r="BQ83" s="106">
        <v>102.87391304347827</v>
      </c>
      <c r="BR83" s="106">
        <v>0</v>
      </c>
      <c r="BS83" s="106">
        <v>0</v>
      </c>
      <c r="BT83" s="106">
        <v>0.2212290502793296</v>
      </c>
      <c r="BU83" s="106">
        <v>190.34547486033517</v>
      </c>
      <c r="BV83" s="106">
        <v>0</v>
      </c>
      <c r="BW83" s="106">
        <v>0</v>
      </c>
      <c r="BX83" s="106">
        <v>9.3352192362093356E-2</v>
      </c>
      <c r="BY83" s="106">
        <v>80.320226308345127</v>
      </c>
      <c r="BZ83" s="106">
        <v>0.11120471777590564</v>
      </c>
      <c r="CA83" s="106">
        <v>95.68053917438921</v>
      </c>
      <c r="CB83" s="106">
        <v>0</v>
      </c>
      <c r="CC83" s="106">
        <v>0</v>
      </c>
      <c r="CD83" s="106">
        <v>0.16417910447761194</v>
      </c>
      <c r="CE83" s="106">
        <v>141.25970149253732</v>
      </c>
      <c r="CF83" s="106">
        <v>0.27966101694915257</v>
      </c>
      <c r="CG83" s="106">
        <v>240.62033898305086</v>
      </c>
      <c r="CH83" s="106">
        <v>0</v>
      </c>
      <c r="CI83" s="106">
        <v>0</v>
      </c>
      <c r="CJ83" s="106">
        <v>0.18333333333333332</v>
      </c>
      <c r="CK83" s="106">
        <v>157.73999999999998</v>
      </c>
      <c r="CL83" s="106">
        <v>0</v>
      </c>
      <c r="CM83" s="106">
        <v>0</v>
      </c>
      <c r="CN83" s="106">
        <v>0.19383259911894274</v>
      </c>
      <c r="CO83" s="106">
        <v>166.77356828193834</v>
      </c>
      <c r="CP83" s="106">
        <v>0.51832460732984298</v>
      </c>
      <c r="CQ83" s="106">
        <v>445.96649214659686</v>
      </c>
      <c r="CR83" s="106">
        <v>0.24476439790575916</v>
      </c>
      <c r="CS83" s="106">
        <v>210.59528795811516</v>
      </c>
      <c r="CT83" s="106">
        <v>0.18595578673602081</v>
      </c>
      <c r="CU83" s="106">
        <v>159.99635890767229</v>
      </c>
    </row>
    <row r="84" spans="2:99" x14ac:dyDescent="0.2">
      <c r="C84" s="105" t="s">
        <v>250</v>
      </c>
      <c r="D84" s="106">
        <v>0.42424242424242425</v>
      </c>
      <c r="E84" s="106">
        <v>331.41818181818178</v>
      </c>
      <c r="F84" s="106">
        <v>0</v>
      </c>
      <c r="G84" s="106">
        <v>0</v>
      </c>
      <c r="H84" s="106">
        <v>0.71641791044776115</v>
      </c>
      <c r="I84" s="106">
        <v>559.66567164179094</v>
      </c>
      <c r="J84" s="106">
        <v>0.18380462724935731</v>
      </c>
      <c r="K84" s="106">
        <v>143.58817480719793</v>
      </c>
      <c r="L84" s="106">
        <v>0.26079593564775616</v>
      </c>
      <c r="M84" s="106">
        <v>203.73378492802709</v>
      </c>
      <c r="N84" s="106">
        <v>0.21546391752577321</v>
      </c>
      <c r="O84" s="106">
        <v>168.32041237113401</v>
      </c>
      <c r="P84" s="106">
        <v>0.2325072886297376</v>
      </c>
      <c r="Q84" s="106">
        <v>181.634693877551</v>
      </c>
      <c r="R84" s="106">
        <v>0.25420168067226889</v>
      </c>
      <c r="S84" s="106">
        <v>198.58235294117645</v>
      </c>
      <c r="T84" s="106">
        <v>0.11987179487179486</v>
      </c>
      <c r="U84" s="106">
        <v>93.643846153846141</v>
      </c>
      <c r="V84" s="106">
        <v>0.13458401305057097</v>
      </c>
      <c r="W84" s="106">
        <v>105.13703099510603</v>
      </c>
      <c r="X84" s="106">
        <v>0</v>
      </c>
      <c r="Y84" s="106">
        <v>0</v>
      </c>
      <c r="Z84" s="106">
        <v>0.2446256486286138</v>
      </c>
      <c r="AA84" s="106">
        <v>191.10155670867309</v>
      </c>
      <c r="AB84" s="106">
        <v>0</v>
      </c>
      <c r="AC84" s="106">
        <v>0</v>
      </c>
      <c r="AD84" s="106">
        <v>0.30490405117270791</v>
      </c>
      <c r="AE84" s="106">
        <v>238.19104477611941</v>
      </c>
      <c r="AF84" s="106">
        <v>0.34660033167495857</v>
      </c>
      <c r="AG84" s="106">
        <v>270.76417910447759</v>
      </c>
      <c r="AH84" s="106">
        <v>0.33587786259541985</v>
      </c>
      <c r="AI84" s="106">
        <v>262.38778625954194</v>
      </c>
      <c r="AJ84" s="106">
        <v>0.12232677502138579</v>
      </c>
      <c r="AK84" s="106">
        <v>95.561676646706573</v>
      </c>
      <c r="AL84" s="106">
        <v>0.25409047160731468</v>
      </c>
      <c r="AM84" s="106">
        <v>198.4954764196342</v>
      </c>
      <c r="AN84" s="106">
        <v>0.10387157695939565</v>
      </c>
      <c r="AO84" s="106">
        <v>81.144475920679881</v>
      </c>
      <c r="AP84" s="106">
        <v>0</v>
      </c>
      <c r="AQ84" s="106">
        <v>0</v>
      </c>
      <c r="AR84" s="106">
        <v>0</v>
      </c>
      <c r="AS84" s="106">
        <v>0</v>
      </c>
      <c r="AT84" s="106">
        <v>1.4798206278026904</v>
      </c>
      <c r="AU84" s="106">
        <v>1156.0358744394616</v>
      </c>
      <c r="AV84" s="106">
        <v>0</v>
      </c>
      <c r="AW84" s="106">
        <v>0</v>
      </c>
      <c r="AX84" s="106">
        <v>0.3974609375</v>
      </c>
      <c r="AY84" s="106">
        <v>310.49648437499997</v>
      </c>
      <c r="AZ84" s="106">
        <v>0.30877192982456142</v>
      </c>
      <c r="BA84" s="106">
        <v>241.21263157894737</v>
      </c>
      <c r="BB84" s="106">
        <v>0.21568627450980393</v>
      </c>
      <c r="BC84" s="106">
        <v>168.49411764705883</v>
      </c>
      <c r="BD84" s="106">
        <v>0.22770700636942673</v>
      </c>
      <c r="BE84" s="106">
        <v>177.88471337579614</v>
      </c>
      <c r="BF84" s="106">
        <v>0.2009966777408638</v>
      </c>
      <c r="BG84" s="106">
        <v>157.01860465116278</v>
      </c>
      <c r="BH84" s="106">
        <v>0.40543161978661496</v>
      </c>
      <c r="BI84" s="106">
        <v>316.7231813773036</v>
      </c>
      <c r="BJ84" s="106">
        <v>0.33555767397521447</v>
      </c>
      <c r="BK84" s="106">
        <v>262.13765490943752</v>
      </c>
      <c r="BL84" s="106">
        <v>0</v>
      </c>
      <c r="BM84" s="106">
        <v>0</v>
      </c>
      <c r="BN84" s="106">
        <v>0.917387883556255</v>
      </c>
      <c r="BO84" s="106">
        <v>716.66341463414631</v>
      </c>
      <c r="BP84" s="106">
        <v>0.10461956521739131</v>
      </c>
      <c r="BQ84" s="106">
        <v>81.728804347826085</v>
      </c>
      <c r="BR84" s="106">
        <v>0</v>
      </c>
      <c r="BS84" s="106">
        <v>0</v>
      </c>
      <c r="BT84" s="106">
        <v>0.19664804469273742</v>
      </c>
      <c r="BU84" s="106">
        <v>153.62145251396646</v>
      </c>
      <c r="BV84" s="106">
        <v>0</v>
      </c>
      <c r="BW84" s="106">
        <v>0</v>
      </c>
      <c r="BX84" s="106">
        <v>7.7793493635077787E-2</v>
      </c>
      <c r="BY84" s="106">
        <v>60.772277227722761</v>
      </c>
      <c r="BZ84" s="106">
        <v>0.11120471777590564</v>
      </c>
      <c r="CA84" s="106">
        <v>86.873125526537478</v>
      </c>
      <c r="CB84" s="106">
        <v>0</v>
      </c>
      <c r="CC84" s="106">
        <v>0</v>
      </c>
      <c r="CD84" s="106">
        <v>0.18059701492537314</v>
      </c>
      <c r="CE84" s="106">
        <v>141.08238805970149</v>
      </c>
      <c r="CF84" s="106">
        <v>0.31073446327683618</v>
      </c>
      <c r="CG84" s="106">
        <v>242.74576271186442</v>
      </c>
      <c r="CH84" s="106">
        <v>0</v>
      </c>
      <c r="CI84" s="106">
        <v>0</v>
      </c>
      <c r="CJ84" s="106">
        <v>0.18333333333333332</v>
      </c>
      <c r="CK84" s="106">
        <v>143.21999999999997</v>
      </c>
      <c r="CL84" s="106">
        <v>0</v>
      </c>
      <c r="CM84" s="106">
        <v>0</v>
      </c>
      <c r="CN84" s="106">
        <v>0.19383259911894274</v>
      </c>
      <c r="CO84" s="106">
        <v>151.42202643171805</v>
      </c>
      <c r="CP84" s="106">
        <v>0.48952879581151831</v>
      </c>
      <c r="CQ84" s="106">
        <v>382.41989528795807</v>
      </c>
      <c r="CR84" s="106">
        <v>0.24476439790575916</v>
      </c>
      <c r="CS84" s="106">
        <v>191.20994764397904</v>
      </c>
      <c r="CT84" s="106">
        <v>0.21456436931079326</v>
      </c>
      <c r="CU84" s="106">
        <v>167.61768530559166</v>
      </c>
    </row>
    <row r="85" spans="2:99" x14ac:dyDescent="0.2">
      <c r="C85" s="105" t="s">
        <v>251</v>
      </c>
      <c r="D85" s="106">
        <v>0.48209366391184572</v>
      </c>
      <c r="E85" s="106">
        <v>72.314049586776861</v>
      </c>
      <c r="F85" s="106">
        <v>0</v>
      </c>
      <c r="G85" s="106">
        <v>0</v>
      </c>
      <c r="H85" s="106">
        <v>0.68656716417910446</v>
      </c>
      <c r="I85" s="106">
        <v>102.98507462686567</v>
      </c>
      <c r="J85" s="106">
        <v>0.18380462724935731</v>
      </c>
      <c r="K85" s="106">
        <v>27.570694087403595</v>
      </c>
      <c r="L85" s="106">
        <v>0.3073666384419983</v>
      </c>
      <c r="M85" s="106">
        <v>46.104995766299744</v>
      </c>
      <c r="N85" s="106">
        <v>0.24948453608247423</v>
      </c>
      <c r="O85" s="106">
        <v>37.422680412371136</v>
      </c>
      <c r="P85" s="106">
        <v>0.28061224489795922</v>
      </c>
      <c r="Q85" s="106">
        <v>42.091836734693885</v>
      </c>
      <c r="R85" s="106">
        <v>0.26960784313725489</v>
      </c>
      <c r="S85" s="106">
        <v>40.441176470588232</v>
      </c>
      <c r="T85" s="106">
        <v>0.11987179487179486</v>
      </c>
      <c r="U85" s="106">
        <v>17.98076923076923</v>
      </c>
      <c r="V85" s="106">
        <v>0.14355628058727571</v>
      </c>
      <c r="W85" s="106">
        <v>21.533442088091356</v>
      </c>
      <c r="X85" s="106">
        <v>0</v>
      </c>
      <c r="Y85" s="106">
        <v>0</v>
      </c>
      <c r="Z85" s="106">
        <v>0.2446256486286138</v>
      </c>
      <c r="AA85" s="106">
        <v>36.69384729429207</v>
      </c>
      <c r="AB85" s="106">
        <v>0</v>
      </c>
      <c r="AC85" s="106">
        <v>0</v>
      </c>
      <c r="AD85" s="106">
        <v>0.32835820895522388</v>
      </c>
      <c r="AE85" s="106">
        <v>49.253731343283583</v>
      </c>
      <c r="AF85" s="106">
        <v>0.34660033167495857</v>
      </c>
      <c r="AG85" s="106">
        <v>51.990049751243788</v>
      </c>
      <c r="AH85" s="106">
        <v>0.33587786259541985</v>
      </c>
      <c r="AI85" s="106">
        <v>50.381679389312978</v>
      </c>
      <c r="AJ85" s="106">
        <v>0.1317365269461078</v>
      </c>
      <c r="AK85" s="106">
        <v>19.76047904191617</v>
      </c>
      <c r="AL85" s="106">
        <v>0.25409047160731468</v>
      </c>
      <c r="AM85" s="106">
        <v>38.113570741097206</v>
      </c>
      <c r="AN85" s="106">
        <v>0.11425873465533522</v>
      </c>
      <c r="AO85" s="106">
        <v>17.138810198300284</v>
      </c>
      <c r="AP85" s="106">
        <v>0</v>
      </c>
      <c r="AQ85" s="106">
        <v>0</v>
      </c>
      <c r="AR85" s="106">
        <v>0</v>
      </c>
      <c r="AS85" s="106">
        <v>0</v>
      </c>
      <c r="AT85" s="106">
        <v>1.6278026905829595</v>
      </c>
      <c r="AU85" s="106">
        <v>244.17040358744393</v>
      </c>
      <c r="AV85" s="106">
        <v>0</v>
      </c>
      <c r="AW85" s="106">
        <v>0</v>
      </c>
      <c r="AX85" s="106">
        <v>0.4296875</v>
      </c>
      <c r="AY85" s="106">
        <v>64.453125</v>
      </c>
      <c r="AZ85" s="106">
        <v>0.3473684210526316</v>
      </c>
      <c r="BA85" s="106">
        <v>52.10526315789474</v>
      </c>
      <c r="BB85" s="106">
        <v>0.23529411764705882</v>
      </c>
      <c r="BC85" s="106">
        <v>35.294117647058826</v>
      </c>
      <c r="BD85" s="106">
        <v>0.22770700636942673</v>
      </c>
      <c r="BE85" s="106">
        <v>34.15605095541401</v>
      </c>
      <c r="BF85" s="106">
        <v>0.2009966777408638</v>
      </c>
      <c r="BG85" s="106">
        <v>30.14950166112957</v>
      </c>
      <c r="BH85" s="106">
        <v>0.42677012609117365</v>
      </c>
      <c r="BI85" s="106">
        <v>64.015518913676047</v>
      </c>
      <c r="BJ85" s="106">
        <v>0.41944709246901812</v>
      </c>
      <c r="BK85" s="106">
        <v>62.91706387035272</v>
      </c>
      <c r="BL85" s="106">
        <v>0</v>
      </c>
      <c r="BM85" s="106">
        <v>0</v>
      </c>
      <c r="BN85" s="106">
        <v>1.0731707317073171</v>
      </c>
      <c r="BO85" s="106">
        <v>160.97560975609758</v>
      </c>
      <c r="BP85" s="106">
        <v>0.11956521739130435</v>
      </c>
      <c r="BQ85" s="106">
        <v>17.934782608695652</v>
      </c>
      <c r="BR85" s="106">
        <v>0</v>
      </c>
      <c r="BS85" s="106">
        <v>0</v>
      </c>
      <c r="BT85" s="106">
        <v>0.2212290502793296</v>
      </c>
      <c r="BU85" s="106">
        <v>33.184357541899438</v>
      </c>
      <c r="BV85" s="106">
        <v>0</v>
      </c>
      <c r="BW85" s="106">
        <v>0</v>
      </c>
      <c r="BX85" s="106">
        <v>8.5572842998585572E-2</v>
      </c>
      <c r="BY85" s="106">
        <v>12.835926449787836</v>
      </c>
      <c r="BZ85" s="106">
        <v>0.11120471777590564</v>
      </c>
      <c r="CA85" s="106">
        <v>16.680707666385846</v>
      </c>
      <c r="CB85" s="106">
        <v>0</v>
      </c>
      <c r="CC85" s="106">
        <v>0</v>
      </c>
      <c r="CD85" s="106">
        <v>0.18880597014925374</v>
      </c>
      <c r="CE85" s="106">
        <v>28.32089552238806</v>
      </c>
      <c r="CF85" s="106">
        <v>0.31073446327683618</v>
      </c>
      <c r="CG85" s="106">
        <v>46.610169491525426</v>
      </c>
      <c r="CH85" s="106">
        <v>0</v>
      </c>
      <c r="CI85" s="106">
        <v>0</v>
      </c>
      <c r="CJ85" s="106">
        <v>0.22407407407407409</v>
      </c>
      <c r="CK85" s="106">
        <v>33.611111111111114</v>
      </c>
      <c r="CL85" s="106">
        <v>0</v>
      </c>
      <c r="CM85" s="106">
        <v>0</v>
      </c>
      <c r="CN85" s="106">
        <v>0.1776798825256975</v>
      </c>
      <c r="CO85" s="106">
        <v>26.651982378854626</v>
      </c>
      <c r="CP85" s="106">
        <v>0.54712041884816753</v>
      </c>
      <c r="CQ85" s="106">
        <v>82.068062827225134</v>
      </c>
      <c r="CR85" s="106">
        <v>0.24476439790575916</v>
      </c>
      <c r="CS85" s="106">
        <v>36.714659685863872</v>
      </c>
      <c r="CT85" s="106">
        <v>0.22886866059817945</v>
      </c>
      <c r="CU85" s="106">
        <v>34.330299089726921</v>
      </c>
    </row>
    <row r="86" spans="2:99" x14ac:dyDescent="0.2">
      <c r="C86" s="105" t="s">
        <v>252</v>
      </c>
      <c r="D86" s="106">
        <v>0.44352617079889806</v>
      </c>
      <c r="E86" s="106">
        <v>239.50413223140495</v>
      </c>
      <c r="F86" s="106">
        <v>0</v>
      </c>
      <c r="G86" s="106">
        <v>0</v>
      </c>
      <c r="H86" s="106">
        <v>0.65671641791044777</v>
      </c>
      <c r="I86" s="106">
        <v>354.62686567164178</v>
      </c>
      <c r="J86" s="106">
        <v>0.18380462724935731</v>
      </c>
      <c r="K86" s="106">
        <v>99.254498714652954</v>
      </c>
      <c r="L86" s="106">
        <v>0.28873835732430148</v>
      </c>
      <c r="M86" s="106">
        <v>155.9187129551228</v>
      </c>
      <c r="N86" s="106">
        <v>0.22680412371134021</v>
      </c>
      <c r="O86" s="106">
        <v>122.47422680412372</v>
      </c>
      <c r="P86" s="106">
        <v>0.24854227405247814</v>
      </c>
      <c r="Q86" s="106">
        <v>134.2128279883382</v>
      </c>
      <c r="R86" s="106">
        <v>0.28501400560224094</v>
      </c>
      <c r="S86" s="106">
        <v>153.9075630252101</v>
      </c>
      <c r="T86" s="106">
        <v>0.11987179487179486</v>
      </c>
      <c r="U86" s="106">
        <v>64.730769230769226</v>
      </c>
      <c r="V86" s="106">
        <v>0.12561174551386625</v>
      </c>
      <c r="W86" s="106">
        <v>67.83034257748777</v>
      </c>
      <c r="X86" s="106">
        <v>0</v>
      </c>
      <c r="Y86" s="106">
        <v>0</v>
      </c>
      <c r="Z86" s="106">
        <v>0.2446256486286138</v>
      </c>
      <c r="AA86" s="106">
        <v>132.09785025945146</v>
      </c>
      <c r="AB86" s="106">
        <v>0</v>
      </c>
      <c r="AC86" s="106">
        <v>0</v>
      </c>
      <c r="AD86" s="106">
        <v>0.28144989339019189</v>
      </c>
      <c r="AE86" s="106">
        <v>151.98294243070362</v>
      </c>
      <c r="AF86" s="106">
        <v>0.3101160862354892</v>
      </c>
      <c r="AG86" s="106">
        <v>167.46268656716416</v>
      </c>
      <c r="AH86" s="106">
        <v>0.29389312977099236</v>
      </c>
      <c r="AI86" s="106">
        <v>158.70229007633588</v>
      </c>
      <c r="AJ86" s="106">
        <v>0.1317365269461078</v>
      </c>
      <c r="AK86" s="106">
        <v>71.137724550898213</v>
      </c>
      <c r="AL86" s="106">
        <v>0.21174205967276227</v>
      </c>
      <c r="AM86" s="106">
        <v>114.34071222329163</v>
      </c>
      <c r="AN86" s="106">
        <v>0.11425873465533522</v>
      </c>
      <c r="AO86" s="106">
        <v>61.699716713881017</v>
      </c>
      <c r="AP86" s="106">
        <v>0</v>
      </c>
      <c r="AQ86" s="106">
        <v>0</v>
      </c>
      <c r="AR86" s="106">
        <v>0</v>
      </c>
      <c r="AS86" s="106">
        <v>0</v>
      </c>
      <c r="AT86" s="106">
        <v>1.310698270339526</v>
      </c>
      <c r="AU86" s="106">
        <v>707.77706598334407</v>
      </c>
      <c r="AV86" s="106">
        <v>0</v>
      </c>
      <c r="AW86" s="106">
        <v>0</v>
      </c>
      <c r="AX86" s="106">
        <v>0.46728515625</v>
      </c>
      <c r="AY86" s="106">
        <v>252.333984375</v>
      </c>
      <c r="AZ86" s="106">
        <v>0.27017543859649124</v>
      </c>
      <c r="BA86" s="106">
        <v>145.89473684210526</v>
      </c>
      <c r="BB86" s="106">
        <v>0.21568627450980393</v>
      </c>
      <c r="BC86" s="106">
        <v>116.47058823529413</v>
      </c>
      <c r="BD86" s="106">
        <v>0.22770700636942673</v>
      </c>
      <c r="BE86" s="106">
        <v>122.96178343949043</v>
      </c>
      <c r="BF86" s="106">
        <v>0.21926910299003322</v>
      </c>
      <c r="BG86" s="106">
        <v>118.40531561461793</v>
      </c>
      <c r="BH86" s="106">
        <v>0.39476236663433556</v>
      </c>
      <c r="BI86" s="106">
        <v>213.17167798254121</v>
      </c>
      <c r="BJ86" s="106">
        <v>0.37750238322211632</v>
      </c>
      <c r="BK86" s="106">
        <v>203.85128693994281</v>
      </c>
      <c r="BL86" s="106">
        <v>0</v>
      </c>
      <c r="BM86" s="106">
        <v>0</v>
      </c>
      <c r="BN86" s="106">
        <v>0.95200629425649097</v>
      </c>
      <c r="BO86" s="106">
        <v>514.08339889850515</v>
      </c>
      <c r="BP86" s="106">
        <v>0.11956521739130435</v>
      </c>
      <c r="BQ86" s="106">
        <v>64.565217391304344</v>
      </c>
      <c r="BR86" s="106">
        <v>0</v>
      </c>
      <c r="BS86" s="106">
        <v>0</v>
      </c>
      <c r="BT86" s="106">
        <v>0.19664804469273742</v>
      </c>
      <c r="BU86" s="106">
        <v>106.1899441340782</v>
      </c>
      <c r="BV86" s="106">
        <v>0</v>
      </c>
      <c r="BW86" s="106">
        <v>0</v>
      </c>
      <c r="BX86" s="106">
        <v>0.10113154172560113</v>
      </c>
      <c r="BY86" s="106">
        <v>54.611032531824605</v>
      </c>
      <c r="BZ86" s="106">
        <v>0.12047177759056445</v>
      </c>
      <c r="CA86" s="106">
        <v>65.054759898904805</v>
      </c>
      <c r="CB86" s="106">
        <v>0</v>
      </c>
      <c r="CC86" s="106">
        <v>0</v>
      </c>
      <c r="CD86" s="106">
        <v>0.16417910447761194</v>
      </c>
      <c r="CE86" s="106">
        <v>88.656716417910445</v>
      </c>
      <c r="CF86" s="106">
        <v>0.31073446327683618</v>
      </c>
      <c r="CG86" s="106">
        <v>167.79661016949154</v>
      </c>
      <c r="CH86" s="106">
        <v>0</v>
      </c>
      <c r="CI86" s="106">
        <v>0</v>
      </c>
      <c r="CJ86" s="106">
        <v>0.18333333333333332</v>
      </c>
      <c r="CK86" s="106">
        <v>99</v>
      </c>
      <c r="CL86" s="106">
        <v>0</v>
      </c>
      <c r="CM86" s="106">
        <v>0</v>
      </c>
      <c r="CN86" s="106">
        <v>0.16152716593245228</v>
      </c>
      <c r="CO86" s="106">
        <v>87.224669603524234</v>
      </c>
      <c r="CP86" s="106">
        <v>0.5759162303664922</v>
      </c>
      <c r="CQ86" s="106">
        <v>310.99476439790578</v>
      </c>
      <c r="CR86" s="106">
        <v>0.24476439790575916</v>
      </c>
      <c r="CS86" s="106">
        <v>132.17277486910996</v>
      </c>
      <c r="CT86" s="106">
        <v>0.21456436931079326</v>
      </c>
      <c r="CU86" s="106">
        <v>115.86475942782836</v>
      </c>
    </row>
    <row r="87" spans="2:99" x14ac:dyDescent="0.2">
      <c r="B87" s="105" t="s">
        <v>131</v>
      </c>
      <c r="C87" s="105" t="s">
        <v>253</v>
      </c>
      <c r="D87" s="106">
        <v>0.23140495867768596</v>
      </c>
      <c r="E87" s="106">
        <v>452.35041322314049</v>
      </c>
      <c r="F87" s="106">
        <v>0</v>
      </c>
      <c r="G87" s="106">
        <v>0</v>
      </c>
      <c r="H87" s="106">
        <v>0.29850746268656714</v>
      </c>
      <c r="I87" s="106">
        <v>583.52238805970137</v>
      </c>
      <c r="J87" s="106">
        <v>0.15552699228791772</v>
      </c>
      <c r="K87" s="106">
        <v>304.02416452442156</v>
      </c>
      <c r="L87" s="106">
        <v>0.40050804403048262</v>
      </c>
      <c r="M87" s="106">
        <v>782.91312447078747</v>
      </c>
      <c r="N87" s="106">
        <v>0.5216494845360824</v>
      </c>
      <c r="O87" s="106">
        <v>1019.7204123711339</v>
      </c>
      <c r="P87" s="106">
        <v>0.28862973760932947</v>
      </c>
      <c r="Q87" s="106">
        <v>564.21341107871729</v>
      </c>
      <c r="R87" s="106">
        <v>0.26960784313725489</v>
      </c>
      <c r="S87" s="106">
        <v>527.02941176470586</v>
      </c>
      <c r="T87" s="106">
        <v>0.44423076923076926</v>
      </c>
      <c r="U87" s="106">
        <v>868.38230769230779</v>
      </c>
      <c r="V87" s="106">
        <v>0.37683523654159867</v>
      </c>
      <c r="W87" s="106">
        <v>736.63752039151711</v>
      </c>
      <c r="X87" s="106">
        <v>0</v>
      </c>
      <c r="Y87" s="106">
        <v>0</v>
      </c>
      <c r="Z87" s="106">
        <v>1.23943661971831</v>
      </c>
      <c r="AA87" s="106">
        <v>2422.8507042253523</v>
      </c>
      <c r="AB87" s="106">
        <v>0</v>
      </c>
      <c r="AC87" s="106">
        <v>0</v>
      </c>
      <c r="AD87" s="106">
        <v>0.3987206823027718</v>
      </c>
      <c r="AE87" s="106">
        <v>779.41918976545833</v>
      </c>
      <c r="AF87" s="106">
        <v>0.43781094527363185</v>
      </c>
      <c r="AG87" s="106">
        <v>855.83283582089553</v>
      </c>
      <c r="AH87" s="106">
        <v>0.41984732824427484</v>
      </c>
      <c r="AI87" s="106">
        <v>820.71755725190849</v>
      </c>
      <c r="AJ87" s="106">
        <v>0.74337040205303673</v>
      </c>
      <c r="AK87" s="106">
        <v>1453.1404619332761</v>
      </c>
      <c r="AL87" s="106">
        <v>0.95283926852743028</v>
      </c>
      <c r="AM87" s="106">
        <v>1862.6102021174206</v>
      </c>
      <c r="AN87" s="106">
        <v>0.74787535410764883</v>
      </c>
      <c r="AO87" s="106">
        <v>1461.9467422096318</v>
      </c>
      <c r="AP87" s="106">
        <v>0</v>
      </c>
      <c r="AQ87" s="106">
        <v>0</v>
      </c>
      <c r="AR87" s="106">
        <v>0</v>
      </c>
      <c r="AS87" s="106">
        <v>0</v>
      </c>
      <c r="AT87" s="106">
        <v>0.29596412556053814</v>
      </c>
      <c r="AU87" s="106">
        <v>578.55067264573995</v>
      </c>
      <c r="AV87" s="106">
        <v>0</v>
      </c>
      <c r="AW87" s="106">
        <v>0</v>
      </c>
      <c r="AX87" s="106">
        <v>9.66796875E-2</v>
      </c>
      <c r="AY87" s="106">
        <v>188.98945312499998</v>
      </c>
      <c r="AZ87" s="106">
        <v>1.1578947368421053</v>
      </c>
      <c r="BA87" s="106">
        <v>2263.4526315789476</v>
      </c>
      <c r="BB87" s="106">
        <v>0.45098039215686275</v>
      </c>
      <c r="BC87" s="106">
        <v>881.57647058823534</v>
      </c>
      <c r="BD87" s="106">
        <v>0.54299363057324845</v>
      </c>
      <c r="BE87" s="106">
        <v>1061.4439490445861</v>
      </c>
      <c r="BF87" s="106">
        <v>0.43853820598006643</v>
      </c>
      <c r="BG87" s="106">
        <v>857.25448504983387</v>
      </c>
      <c r="BH87" s="106">
        <v>0.19204655674102813</v>
      </c>
      <c r="BI87" s="106">
        <v>375.4126091173618</v>
      </c>
      <c r="BJ87" s="106">
        <v>0.29361296472831266</v>
      </c>
      <c r="BK87" s="106">
        <v>573.95462345090561</v>
      </c>
      <c r="BL87" s="106">
        <v>0</v>
      </c>
      <c r="BM87" s="106">
        <v>0</v>
      </c>
      <c r="BN87" s="106">
        <v>0.24232887490165225</v>
      </c>
      <c r="BO87" s="106">
        <v>473.70448465774979</v>
      </c>
      <c r="BP87" s="106">
        <v>0.49320652173913043</v>
      </c>
      <c r="BQ87" s="106">
        <v>964.12010869565211</v>
      </c>
      <c r="BR87" s="106">
        <v>0</v>
      </c>
      <c r="BS87" s="106">
        <v>0</v>
      </c>
      <c r="BT87" s="106">
        <v>0.71284916201117321</v>
      </c>
      <c r="BU87" s="106">
        <v>1393.4775418994413</v>
      </c>
      <c r="BV87" s="106">
        <v>0</v>
      </c>
      <c r="BW87" s="106">
        <v>0</v>
      </c>
      <c r="BX87" s="106">
        <v>0.10113154172560113</v>
      </c>
      <c r="BY87" s="106">
        <v>197.69193776520507</v>
      </c>
      <c r="BZ87" s="106">
        <v>0.19460825610783486</v>
      </c>
      <c r="CA87" s="106">
        <v>380.42021903959557</v>
      </c>
      <c r="CB87" s="106">
        <v>0</v>
      </c>
      <c r="CC87" s="106">
        <v>0</v>
      </c>
      <c r="CD87" s="106">
        <v>0.12313432835820895</v>
      </c>
      <c r="CE87" s="106">
        <v>240.70298507462684</v>
      </c>
      <c r="CF87" s="106">
        <v>1.4293785310734464</v>
      </c>
      <c r="CG87" s="106">
        <v>2794.149152542373</v>
      </c>
      <c r="CH87" s="106">
        <v>0</v>
      </c>
      <c r="CI87" s="106">
        <v>0</v>
      </c>
      <c r="CJ87" s="106">
        <v>0.61111111111111105</v>
      </c>
      <c r="CK87" s="106">
        <v>1194.5999999999999</v>
      </c>
      <c r="CL87" s="106">
        <v>0</v>
      </c>
      <c r="CM87" s="106">
        <v>0</v>
      </c>
      <c r="CN87" s="106">
        <v>0.1776798825256975</v>
      </c>
      <c r="CO87" s="106">
        <v>347.32863436123347</v>
      </c>
      <c r="CP87" s="106">
        <v>0.34554973821989526</v>
      </c>
      <c r="CQ87" s="106">
        <v>675.48062827225124</v>
      </c>
      <c r="CR87" s="106">
        <v>0.10078534031413612</v>
      </c>
      <c r="CS87" s="106">
        <v>197.01518324607329</v>
      </c>
      <c r="CT87" s="106">
        <v>0.17165149544863459</v>
      </c>
      <c r="CU87" s="106">
        <v>335.54434330299091</v>
      </c>
    </row>
    <row r="88" spans="2:99" x14ac:dyDescent="0.2">
      <c r="C88" s="105" t="s">
        <v>254</v>
      </c>
      <c r="D88" s="106">
        <v>0.23140495867768596</v>
      </c>
      <c r="E88" s="106">
        <v>437.91074380165287</v>
      </c>
      <c r="F88" s="106">
        <v>0</v>
      </c>
      <c r="G88" s="106">
        <v>0</v>
      </c>
      <c r="H88" s="106">
        <v>0.26865671641791045</v>
      </c>
      <c r="I88" s="106">
        <v>508.40597014925368</v>
      </c>
      <c r="J88" s="106">
        <v>0.14138817480719795</v>
      </c>
      <c r="K88" s="106">
        <v>267.56298200514141</v>
      </c>
      <c r="L88" s="106">
        <v>0.41913632514817956</v>
      </c>
      <c r="M88" s="106">
        <v>793.17358171041496</v>
      </c>
      <c r="N88" s="106">
        <v>0.45360824742268041</v>
      </c>
      <c r="O88" s="106">
        <v>858.40824742268035</v>
      </c>
      <c r="P88" s="106">
        <v>0.35276967930029157</v>
      </c>
      <c r="Q88" s="106">
        <v>667.58134110787171</v>
      </c>
      <c r="R88" s="106">
        <v>0.26960784313725489</v>
      </c>
      <c r="S88" s="106">
        <v>510.2058823529411</v>
      </c>
      <c r="T88" s="106">
        <v>0.40192307692307694</v>
      </c>
      <c r="U88" s="106">
        <v>760.59923076923076</v>
      </c>
      <c r="V88" s="106">
        <v>0.34094616639477976</v>
      </c>
      <c r="W88" s="106">
        <v>645.20652528548112</v>
      </c>
      <c r="X88" s="106">
        <v>0</v>
      </c>
      <c r="Y88" s="106">
        <v>0</v>
      </c>
      <c r="Z88" s="106">
        <v>1.1415863602668643</v>
      </c>
      <c r="AA88" s="106">
        <v>2160.3380281690138</v>
      </c>
      <c r="AB88" s="106">
        <v>0</v>
      </c>
      <c r="AC88" s="106">
        <v>0</v>
      </c>
      <c r="AD88" s="106">
        <v>0.44562899786780386</v>
      </c>
      <c r="AE88" s="106">
        <v>843.30831556503199</v>
      </c>
      <c r="AF88" s="106">
        <v>0.40132669983416253</v>
      </c>
      <c r="AG88" s="106">
        <v>759.47064676616912</v>
      </c>
      <c r="AH88" s="106">
        <v>0.39885496183206104</v>
      </c>
      <c r="AI88" s="106">
        <v>754.79312977099221</v>
      </c>
      <c r="AJ88" s="106">
        <v>0.63045337895637299</v>
      </c>
      <c r="AK88" s="106">
        <v>1193.0699743370401</v>
      </c>
      <c r="AL88" s="106">
        <v>0.95283926852743028</v>
      </c>
      <c r="AM88" s="106">
        <v>1803.153031761309</v>
      </c>
      <c r="AN88" s="106">
        <v>0.65439093484419264</v>
      </c>
      <c r="AO88" s="106">
        <v>1238.3694050991501</v>
      </c>
      <c r="AP88" s="106">
        <v>0</v>
      </c>
      <c r="AQ88" s="106">
        <v>0</v>
      </c>
      <c r="AR88" s="106">
        <v>0</v>
      </c>
      <c r="AS88" s="106">
        <v>0</v>
      </c>
      <c r="AT88" s="106">
        <v>0.35938500960922487</v>
      </c>
      <c r="AU88" s="106">
        <v>680.10019218449713</v>
      </c>
      <c r="AV88" s="106">
        <v>0</v>
      </c>
      <c r="AW88" s="106">
        <v>0</v>
      </c>
      <c r="AX88" s="106">
        <v>9.130859375E-2</v>
      </c>
      <c r="AY88" s="106">
        <v>172.79238281249999</v>
      </c>
      <c r="AZ88" s="106">
        <v>1.1578947368421053</v>
      </c>
      <c r="BA88" s="106">
        <v>2191.1999999999998</v>
      </c>
      <c r="BB88" s="106">
        <v>0.43137254901960786</v>
      </c>
      <c r="BC88" s="106">
        <v>816.32941176470581</v>
      </c>
      <c r="BD88" s="106">
        <v>0.47292993630573243</v>
      </c>
      <c r="BE88" s="106">
        <v>894.97261146496794</v>
      </c>
      <c r="BF88" s="106">
        <v>0.43853820598006643</v>
      </c>
      <c r="BG88" s="106">
        <v>829.88970099667767</v>
      </c>
      <c r="BH88" s="106">
        <v>0.19204655674102813</v>
      </c>
      <c r="BI88" s="106">
        <v>363.42890397672164</v>
      </c>
      <c r="BJ88" s="106">
        <v>0.30409914204003813</v>
      </c>
      <c r="BK88" s="106">
        <v>575.47721639656811</v>
      </c>
      <c r="BL88" s="106">
        <v>0</v>
      </c>
      <c r="BM88" s="106">
        <v>0</v>
      </c>
      <c r="BN88" s="106">
        <v>0.24232887490165225</v>
      </c>
      <c r="BO88" s="106">
        <v>458.58316286388668</v>
      </c>
      <c r="BP88" s="106">
        <v>0.52309782608695654</v>
      </c>
      <c r="BQ88" s="106">
        <v>989.9103260869565</v>
      </c>
      <c r="BR88" s="106">
        <v>0</v>
      </c>
      <c r="BS88" s="106">
        <v>0</v>
      </c>
      <c r="BT88" s="106">
        <v>0.81117318435754193</v>
      </c>
      <c r="BU88" s="106">
        <v>1535.0641340782122</v>
      </c>
      <c r="BV88" s="106">
        <v>0</v>
      </c>
      <c r="BW88" s="106">
        <v>0</v>
      </c>
      <c r="BX88" s="106">
        <v>0.10113154172560113</v>
      </c>
      <c r="BY88" s="106">
        <v>191.38132956152756</v>
      </c>
      <c r="BZ88" s="106">
        <v>0.20387531592249367</v>
      </c>
      <c r="CA88" s="106">
        <v>385.81364785172701</v>
      </c>
      <c r="CB88" s="106">
        <v>0</v>
      </c>
      <c r="CC88" s="106">
        <v>0</v>
      </c>
      <c r="CD88" s="106">
        <v>0.12313432835820895</v>
      </c>
      <c r="CE88" s="106">
        <v>233.01940298507461</v>
      </c>
      <c r="CF88" s="106">
        <v>1.2429378531073447</v>
      </c>
      <c r="CG88" s="106">
        <v>2352.1355932203392</v>
      </c>
      <c r="CH88" s="106">
        <v>0</v>
      </c>
      <c r="CI88" s="106">
        <v>0</v>
      </c>
      <c r="CJ88" s="106">
        <v>0.6518518518518519</v>
      </c>
      <c r="CK88" s="106">
        <v>1233.5644444444445</v>
      </c>
      <c r="CL88" s="106">
        <v>0</v>
      </c>
      <c r="CM88" s="106">
        <v>0</v>
      </c>
      <c r="CN88" s="106">
        <v>0.1776798825256975</v>
      </c>
      <c r="CO88" s="106">
        <v>336.24140969162994</v>
      </c>
      <c r="CP88" s="106">
        <v>0.37434554973821993</v>
      </c>
      <c r="CQ88" s="106">
        <v>708.4115183246073</v>
      </c>
      <c r="CR88" s="106">
        <v>0.11518324607329844</v>
      </c>
      <c r="CS88" s="106">
        <v>217.97277486910994</v>
      </c>
      <c r="CT88" s="106">
        <v>0.17165149544863459</v>
      </c>
      <c r="CU88" s="106">
        <v>324.83328998699608</v>
      </c>
    </row>
    <row r="89" spans="2:99" x14ac:dyDescent="0.2">
      <c r="C89" s="105" t="s">
        <v>255</v>
      </c>
      <c r="D89" s="106">
        <v>0.23140495867768596</v>
      </c>
      <c r="E89" s="106">
        <v>554.81652892561988</v>
      </c>
      <c r="F89" s="106">
        <v>0</v>
      </c>
      <c r="G89" s="106">
        <v>0</v>
      </c>
      <c r="H89" s="106">
        <v>0.29850746268656714</v>
      </c>
      <c r="I89" s="106">
        <v>715.70149253731336</v>
      </c>
      <c r="J89" s="106">
        <v>0.15552699228791772</v>
      </c>
      <c r="K89" s="106">
        <v>372.89151670951151</v>
      </c>
      <c r="L89" s="106">
        <v>0.41913632514817956</v>
      </c>
      <c r="M89" s="106">
        <v>1004.9212531752753</v>
      </c>
      <c r="N89" s="106">
        <v>0.46494845360824744</v>
      </c>
      <c r="O89" s="106">
        <v>1114.760412371134</v>
      </c>
      <c r="P89" s="106">
        <v>0.30466472303206998</v>
      </c>
      <c r="Q89" s="106">
        <v>730.46413994169097</v>
      </c>
      <c r="R89" s="106">
        <v>0.28501400560224094</v>
      </c>
      <c r="S89" s="106">
        <v>683.34957983193283</v>
      </c>
      <c r="T89" s="106">
        <v>0.40192307692307694</v>
      </c>
      <c r="U89" s="106">
        <v>963.65076923076924</v>
      </c>
      <c r="V89" s="106">
        <v>0.36786296900489396</v>
      </c>
      <c r="W89" s="106">
        <v>881.98825448613377</v>
      </c>
      <c r="X89" s="106">
        <v>0</v>
      </c>
      <c r="Y89" s="106">
        <v>0</v>
      </c>
      <c r="Z89" s="106">
        <v>1.1089696071163826</v>
      </c>
      <c r="AA89" s="106">
        <v>2658.865530022239</v>
      </c>
      <c r="AB89" s="106">
        <v>0</v>
      </c>
      <c r="AC89" s="106">
        <v>0</v>
      </c>
      <c r="AD89" s="106">
        <v>0.42217484008528788</v>
      </c>
      <c r="AE89" s="106">
        <v>1012.2063965884862</v>
      </c>
      <c r="AF89" s="106">
        <v>0.43781094527363185</v>
      </c>
      <c r="AG89" s="106">
        <v>1049.6955223880598</v>
      </c>
      <c r="AH89" s="106">
        <v>0.37786259541984735</v>
      </c>
      <c r="AI89" s="106">
        <v>905.963358778626</v>
      </c>
      <c r="AJ89" s="106">
        <v>0.69632164242942685</v>
      </c>
      <c r="AK89" s="106">
        <v>1669.5007698887937</v>
      </c>
      <c r="AL89" s="106">
        <v>0.91049085659287776</v>
      </c>
      <c r="AM89" s="106">
        <v>2182.9928777670834</v>
      </c>
      <c r="AN89" s="106">
        <v>0.71671388101983002</v>
      </c>
      <c r="AO89" s="106">
        <v>1718.3932011331444</v>
      </c>
      <c r="AP89" s="106">
        <v>0</v>
      </c>
      <c r="AQ89" s="106">
        <v>0</v>
      </c>
      <c r="AR89" s="106">
        <v>0</v>
      </c>
      <c r="AS89" s="106">
        <v>0</v>
      </c>
      <c r="AT89" s="106">
        <v>0.35938500960922487</v>
      </c>
      <c r="AU89" s="106">
        <v>861.66149903907751</v>
      </c>
      <c r="AV89" s="106">
        <v>0</v>
      </c>
      <c r="AW89" s="106">
        <v>0</v>
      </c>
      <c r="AX89" s="106">
        <v>9.66796875E-2</v>
      </c>
      <c r="AY89" s="106">
        <v>231.79921874999999</v>
      </c>
      <c r="AZ89" s="106">
        <v>0.9263157894736842</v>
      </c>
      <c r="BA89" s="106">
        <v>2220.9347368421049</v>
      </c>
      <c r="BB89" s="106">
        <v>0.37254901960784315</v>
      </c>
      <c r="BC89" s="106">
        <v>893.22352941176473</v>
      </c>
      <c r="BD89" s="106">
        <v>0.50796178343949039</v>
      </c>
      <c r="BE89" s="106">
        <v>1217.889171974522</v>
      </c>
      <c r="BF89" s="106">
        <v>0.47508305647840532</v>
      </c>
      <c r="BG89" s="106">
        <v>1139.0591362126245</v>
      </c>
      <c r="BH89" s="106">
        <v>0.20271580989330748</v>
      </c>
      <c r="BI89" s="106">
        <v>486.03142580019397</v>
      </c>
      <c r="BJ89" s="106">
        <v>0.31458531935176359</v>
      </c>
      <c r="BK89" s="106">
        <v>754.24976167778834</v>
      </c>
      <c r="BL89" s="106">
        <v>0</v>
      </c>
      <c r="BM89" s="106">
        <v>0</v>
      </c>
      <c r="BN89" s="106">
        <v>0.25963808025177026</v>
      </c>
      <c r="BO89" s="106">
        <v>622.50826121164437</v>
      </c>
      <c r="BP89" s="106">
        <v>0.43342391304347827</v>
      </c>
      <c r="BQ89" s="106">
        <v>1039.1771739130434</v>
      </c>
      <c r="BR89" s="106">
        <v>0</v>
      </c>
      <c r="BS89" s="106">
        <v>0</v>
      </c>
      <c r="BT89" s="106">
        <v>0.73743016759776536</v>
      </c>
      <c r="BU89" s="106">
        <v>1768.0625698324022</v>
      </c>
      <c r="BV89" s="106">
        <v>0</v>
      </c>
      <c r="BW89" s="106">
        <v>0</v>
      </c>
      <c r="BX89" s="106">
        <v>0.10113154172560113</v>
      </c>
      <c r="BY89" s="106">
        <v>242.47298444130126</v>
      </c>
      <c r="BZ89" s="106">
        <v>0.21314237573715247</v>
      </c>
      <c r="CA89" s="106">
        <v>511.03016006739676</v>
      </c>
      <c r="CB89" s="106">
        <v>0</v>
      </c>
      <c r="CC89" s="106">
        <v>0</v>
      </c>
      <c r="CD89" s="106">
        <v>9.8507462686567168E-2</v>
      </c>
      <c r="CE89" s="106">
        <v>236.18149253731343</v>
      </c>
      <c r="CF89" s="106">
        <v>1.2429378531073447</v>
      </c>
      <c r="CG89" s="106">
        <v>2980.0677966101698</v>
      </c>
      <c r="CH89" s="106">
        <v>0</v>
      </c>
      <c r="CI89" s="106">
        <v>0</v>
      </c>
      <c r="CJ89" s="106">
        <v>0.57037037037037031</v>
      </c>
      <c r="CK89" s="106">
        <v>1367.5199999999998</v>
      </c>
      <c r="CL89" s="106">
        <v>0</v>
      </c>
      <c r="CM89" s="106">
        <v>0</v>
      </c>
      <c r="CN89" s="106">
        <v>0.16152716593245228</v>
      </c>
      <c r="CO89" s="106">
        <v>387.27753303964755</v>
      </c>
      <c r="CP89" s="106">
        <v>0.34554973821989526</v>
      </c>
      <c r="CQ89" s="106">
        <v>828.4900523560209</v>
      </c>
      <c r="CR89" s="106">
        <v>0.10078534031413612</v>
      </c>
      <c r="CS89" s="106">
        <v>241.64293193717276</v>
      </c>
      <c r="CT89" s="106">
        <v>0.15734720416124837</v>
      </c>
      <c r="CU89" s="106">
        <v>377.25565669700904</v>
      </c>
    </row>
    <row r="90" spans="2:99" x14ac:dyDescent="0.2">
      <c r="C90" s="105" t="s">
        <v>256</v>
      </c>
      <c r="D90" s="106">
        <v>0.21212121212121213</v>
      </c>
      <c r="E90" s="106">
        <v>466.07272727272726</v>
      </c>
      <c r="F90" s="106">
        <v>0</v>
      </c>
      <c r="G90" s="106">
        <v>0</v>
      </c>
      <c r="H90" s="106">
        <v>0.29850746268656714</v>
      </c>
      <c r="I90" s="106">
        <v>655.88059701492523</v>
      </c>
      <c r="J90" s="106">
        <v>0.16966580976863754</v>
      </c>
      <c r="K90" s="106">
        <v>372.78971722365037</v>
      </c>
      <c r="L90" s="106">
        <v>0.42845046570702794</v>
      </c>
      <c r="M90" s="106">
        <v>941.39136325148172</v>
      </c>
      <c r="N90" s="106">
        <v>0.43092783505154642</v>
      </c>
      <c r="O90" s="106">
        <v>946.83463917525773</v>
      </c>
      <c r="P90" s="106">
        <v>0.32871720116618075</v>
      </c>
      <c r="Q90" s="106">
        <v>722.25743440233225</v>
      </c>
      <c r="R90" s="106">
        <v>0.26190476190476186</v>
      </c>
      <c r="S90" s="106">
        <v>575.45714285714268</v>
      </c>
      <c r="T90" s="106">
        <v>0.39487179487179486</v>
      </c>
      <c r="U90" s="106">
        <v>867.61230769230758</v>
      </c>
      <c r="V90" s="106">
        <v>0.37683523654159867</v>
      </c>
      <c r="W90" s="106">
        <v>827.98238172920048</v>
      </c>
      <c r="X90" s="106">
        <v>0</v>
      </c>
      <c r="Y90" s="106">
        <v>0</v>
      </c>
      <c r="Z90" s="106">
        <v>1.1415863602668643</v>
      </c>
      <c r="AA90" s="106">
        <v>2508.2935507783541</v>
      </c>
      <c r="AB90" s="106">
        <v>0</v>
      </c>
      <c r="AC90" s="106">
        <v>0</v>
      </c>
      <c r="AD90" s="106">
        <v>0.37526652452025588</v>
      </c>
      <c r="AE90" s="106">
        <v>824.53560767590614</v>
      </c>
      <c r="AF90" s="106">
        <v>0.41956882255389716</v>
      </c>
      <c r="AG90" s="106">
        <v>921.8766169154228</v>
      </c>
      <c r="AH90" s="106">
        <v>0.39885496183206104</v>
      </c>
      <c r="AI90" s="106">
        <v>876.36412213740448</v>
      </c>
      <c r="AJ90" s="106">
        <v>0.66809238665526094</v>
      </c>
      <c r="AK90" s="106">
        <v>1467.9325919589392</v>
      </c>
      <c r="AL90" s="106">
        <v>0.97401347449470643</v>
      </c>
      <c r="AM90" s="106">
        <v>2140.1024061597686</v>
      </c>
      <c r="AN90" s="106">
        <v>0.63361661945231351</v>
      </c>
      <c r="AO90" s="106">
        <v>1392.182436260623</v>
      </c>
      <c r="AP90" s="106">
        <v>0</v>
      </c>
      <c r="AQ90" s="106">
        <v>0</v>
      </c>
      <c r="AR90" s="106">
        <v>0</v>
      </c>
      <c r="AS90" s="106">
        <v>0</v>
      </c>
      <c r="AT90" s="106">
        <v>0.33824471492632924</v>
      </c>
      <c r="AU90" s="106">
        <v>743.19128763613048</v>
      </c>
      <c r="AV90" s="106">
        <v>0</v>
      </c>
      <c r="AW90" s="106">
        <v>0</v>
      </c>
      <c r="AX90" s="106">
        <v>8.59375E-2</v>
      </c>
      <c r="AY90" s="106">
        <v>188.82187499999998</v>
      </c>
      <c r="AZ90" s="106">
        <v>1.0421052631578949</v>
      </c>
      <c r="BA90" s="106">
        <v>2289.7136842105265</v>
      </c>
      <c r="BB90" s="106">
        <v>0.39215686274509803</v>
      </c>
      <c r="BC90" s="106">
        <v>861.64705882352928</v>
      </c>
      <c r="BD90" s="106">
        <v>0.50796178343949039</v>
      </c>
      <c r="BE90" s="106">
        <v>1116.0936305732482</v>
      </c>
      <c r="BF90" s="106">
        <v>0.43853820598006643</v>
      </c>
      <c r="BG90" s="106">
        <v>963.55614617940194</v>
      </c>
      <c r="BH90" s="106">
        <v>0.21338506304558683</v>
      </c>
      <c r="BI90" s="106">
        <v>468.84966052376336</v>
      </c>
      <c r="BJ90" s="106">
        <v>0.29361296472831266</v>
      </c>
      <c r="BK90" s="106">
        <v>645.12640610104859</v>
      </c>
      <c r="BL90" s="106">
        <v>0</v>
      </c>
      <c r="BM90" s="106">
        <v>0</v>
      </c>
      <c r="BN90" s="106">
        <v>0.2769472856018883</v>
      </c>
      <c r="BO90" s="106">
        <v>608.50857592446891</v>
      </c>
      <c r="BP90" s="106">
        <v>0.50815217391304346</v>
      </c>
      <c r="BQ90" s="106">
        <v>1116.511956521739</v>
      </c>
      <c r="BR90" s="106">
        <v>0</v>
      </c>
      <c r="BS90" s="106">
        <v>0</v>
      </c>
      <c r="BT90" s="106">
        <v>0.73743016759776536</v>
      </c>
      <c r="BU90" s="106">
        <v>1620.2815642458099</v>
      </c>
      <c r="BV90" s="106">
        <v>0</v>
      </c>
      <c r="BW90" s="106">
        <v>0</v>
      </c>
      <c r="BX90" s="106">
        <v>9.3352192362093356E-2</v>
      </c>
      <c r="BY90" s="106">
        <v>205.11343705799152</v>
      </c>
      <c r="BZ90" s="106">
        <v>0.20387531592249367</v>
      </c>
      <c r="CA90" s="106">
        <v>447.95484414490306</v>
      </c>
      <c r="CB90" s="106">
        <v>0</v>
      </c>
      <c r="CC90" s="106">
        <v>0</v>
      </c>
      <c r="CD90" s="106">
        <v>0.11492537313432837</v>
      </c>
      <c r="CE90" s="106">
        <v>252.51402985074625</v>
      </c>
      <c r="CF90" s="106">
        <v>1.3672316384180792</v>
      </c>
      <c r="CG90" s="106">
        <v>3004.0813559322032</v>
      </c>
      <c r="CH90" s="106">
        <v>0</v>
      </c>
      <c r="CI90" s="106">
        <v>0</v>
      </c>
      <c r="CJ90" s="106">
        <v>0.6518518518518519</v>
      </c>
      <c r="CK90" s="106">
        <v>1432.2488888888888</v>
      </c>
      <c r="CL90" s="106">
        <v>0</v>
      </c>
      <c r="CM90" s="106">
        <v>0</v>
      </c>
      <c r="CN90" s="106">
        <v>0.1776798825256975</v>
      </c>
      <c r="CO90" s="106">
        <v>390.39823788546249</v>
      </c>
      <c r="CP90" s="106">
        <v>0.31675392670157065</v>
      </c>
      <c r="CQ90" s="106">
        <v>695.97172774869102</v>
      </c>
      <c r="CR90" s="106">
        <v>0.10078534031413612</v>
      </c>
      <c r="CS90" s="106">
        <v>221.44554973821985</v>
      </c>
      <c r="CT90" s="106">
        <v>0.15734720416124837</v>
      </c>
      <c r="CU90" s="106">
        <v>345.72327698309488</v>
      </c>
    </row>
    <row r="91" spans="2:99" x14ac:dyDescent="0.2">
      <c r="C91" s="105" t="s">
        <v>257</v>
      </c>
      <c r="D91" s="106">
        <v>0.25068870523415976</v>
      </c>
      <c r="E91" s="106">
        <v>575.78181818181804</v>
      </c>
      <c r="F91" s="106">
        <v>0</v>
      </c>
      <c r="G91" s="106">
        <v>0</v>
      </c>
      <c r="H91" s="106">
        <v>0.26865671641791045</v>
      </c>
      <c r="I91" s="106">
        <v>617.05074626865667</v>
      </c>
      <c r="J91" s="106">
        <v>0.15552699228791772</v>
      </c>
      <c r="K91" s="106">
        <v>357.21439588688935</v>
      </c>
      <c r="L91" s="106">
        <v>0.37256562235393731</v>
      </c>
      <c r="M91" s="106">
        <v>855.70872142252313</v>
      </c>
      <c r="N91" s="106">
        <v>0.40824742268041236</v>
      </c>
      <c r="O91" s="106">
        <v>937.66268041237106</v>
      </c>
      <c r="P91" s="106">
        <v>0.32871720116618075</v>
      </c>
      <c r="Q91" s="106">
        <v>754.9976676384839</v>
      </c>
      <c r="R91" s="106">
        <v>0.25420168067226889</v>
      </c>
      <c r="S91" s="106">
        <v>583.8504201680671</v>
      </c>
      <c r="T91" s="106">
        <v>0.40192307692307694</v>
      </c>
      <c r="U91" s="106">
        <v>923.13692307692304</v>
      </c>
      <c r="V91" s="106">
        <v>0.35889070146818919</v>
      </c>
      <c r="W91" s="106">
        <v>824.30016313213684</v>
      </c>
      <c r="X91" s="106">
        <v>0</v>
      </c>
      <c r="Y91" s="106">
        <v>0</v>
      </c>
      <c r="Z91" s="106">
        <v>1.0763528539659006</v>
      </c>
      <c r="AA91" s="106">
        <v>2472.1672349888804</v>
      </c>
      <c r="AB91" s="106">
        <v>0</v>
      </c>
      <c r="AC91" s="106">
        <v>0</v>
      </c>
      <c r="AD91" s="106">
        <v>0.44562899786780386</v>
      </c>
      <c r="AE91" s="106">
        <v>1023.5206823027718</v>
      </c>
      <c r="AF91" s="106">
        <v>0.40132669983416253</v>
      </c>
      <c r="AG91" s="106">
        <v>921.76716417910438</v>
      </c>
      <c r="AH91" s="106">
        <v>0.41984732824427484</v>
      </c>
      <c r="AI91" s="106">
        <v>964.30534351145036</v>
      </c>
      <c r="AJ91" s="106">
        <v>0.64927288280581696</v>
      </c>
      <c r="AK91" s="106">
        <v>1491.2499572284003</v>
      </c>
      <c r="AL91" s="106">
        <v>0.91049085659287776</v>
      </c>
      <c r="AM91" s="106">
        <v>2091.2153994225214</v>
      </c>
      <c r="AN91" s="106">
        <v>0.6647780925401322</v>
      </c>
      <c r="AO91" s="106">
        <v>1526.8623229461755</v>
      </c>
      <c r="AP91" s="106">
        <v>0</v>
      </c>
      <c r="AQ91" s="106">
        <v>0</v>
      </c>
      <c r="AR91" s="106">
        <v>0</v>
      </c>
      <c r="AS91" s="106">
        <v>0</v>
      </c>
      <c r="AT91" s="106">
        <v>0.33824471492632924</v>
      </c>
      <c r="AU91" s="106">
        <v>776.88046124279288</v>
      </c>
      <c r="AV91" s="106">
        <v>0</v>
      </c>
      <c r="AW91" s="106">
        <v>0</v>
      </c>
      <c r="AX91" s="106">
        <v>8.59375E-2</v>
      </c>
      <c r="AY91" s="106">
        <v>197.38124999999997</v>
      </c>
      <c r="AZ91" s="106">
        <v>0.96491228070175428</v>
      </c>
      <c r="BA91" s="106">
        <v>2216.2105263157891</v>
      </c>
      <c r="BB91" s="106">
        <v>0.37254901960784315</v>
      </c>
      <c r="BC91" s="106">
        <v>855.67058823529408</v>
      </c>
      <c r="BD91" s="106">
        <v>0.54299363057324845</v>
      </c>
      <c r="BE91" s="106">
        <v>1247.147770700637</v>
      </c>
      <c r="BF91" s="106">
        <v>0.4019933554817276</v>
      </c>
      <c r="BG91" s="106">
        <v>923.29833887043185</v>
      </c>
      <c r="BH91" s="106">
        <v>0.19204655674102813</v>
      </c>
      <c r="BI91" s="106">
        <v>441.09253152279337</v>
      </c>
      <c r="BJ91" s="106">
        <v>0.26215443279313633</v>
      </c>
      <c r="BK91" s="106">
        <v>602.11630123927546</v>
      </c>
      <c r="BL91" s="106">
        <v>0</v>
      </c>
      <c r="BM91" s="106">
        <v>0</v>
      </c>
      <c r="BN91" s="106">
        <v>0.24232887490165225</v>
      </c>
      <c r="BO91" s="106">
        <v>556.5809598741148</v>
      </c>
      <c r="BP91" s="106">
        <v>0.50815217391304346</v>
      </c>
      <c r="BQ91" s="106">
        <v>1167.1239130434781</v>
      </c>
      <c r="BR91" s="106">
        <v>0</v>
      </c>
      <c r="BS91" s="106">
        <v>0</v>
      </c>
      <c r="BT91" s="106">
        <v>0.68826815642458106</v>
      </c>
      <c r="BU91" s="106">
        <v>1580.8143016759775</v>
      </c>
      <c r="BV91" s="106">
        <v>0</v>
      </c>
      <c r="BW91" s="106">
        <v>0</v>
      </c>
      <c r="BX91" s="106">
        <v>0.10113154172560113</v>
      </c>
      <c r="BY91" s="106">
        <v>232.27892503536063</v>
      </c>
      <c r="BZ91" s="106">
        <v>0.20387531592249367</v>
      </c>
      <c r="CA91" s="106">
        <v>468.2608256107834</v>
      </c>
      <c r="CB91" s="106">
        <v>0</v>
      </c>
      <c r="CC91" s="106">
        <v>0</v>
      </c>
      <c r="CD91" s="106">
        <v>0.11492537313432837</v>
      </c>
      <c r="CE91" s="106">
        <v>263.96059701492538</v>
      </c>
      <c r="CF91" s="106">
        <v>1.2740112994350283</v>
      </c>
      <c r="CG91" s="106">
        <v>2926.1491525423726</v>
      </c>
      <c r="CH91" s="106">
        <v>0</v>
      </c>
      <c r="CI91" s="106">
        <v>0</v>
      </c>
      <c r="CJ91" s="106">
        <v>0.63148148148148153</v>
      </c>
      <c r="CK91" s="106">
        <v>1450.3866666666665</v>
      </c>
      <c r="CL91" s="106">
        <v>0</v>
      </c>
      <c r="CM91" s="106">
        <v>0</v>
      </c>
      <c r="CN91" s="106">
        <v>0.16152716593245228</v>
      </c>
      <c r="CO91" s="106">
        <v>370.99559471365637</v>
      </c>
      <c r="CP91" s="106">
        <v>0.34554973821989526</v>
      </c>
      <c r="CQ91" s="106">
        <v>793.6586387434553</v>
      </c>
      <c r="CR91" s="106">
        <v>0.11518324607329844</v>
      </c>
      <c r="CS91" s="106">
        <v>264.55287958115184</v>
      </c>
      <c r="CT91" s="106">
        <v>0.15734720416124837</v>
      </c>
      <c r="CU91" s="106">
        <v>361.39505851755519</v>
      </c>
    </row>
    <row r="92" spans="2:99" x14ac:dyDescent="0.2">
      <c r="C92" s="105" t="s">
        <v>258</v>
      </c>
      <c r="D92" s="106">
        <v>0.23140495867768596</v>
      </c>
      <c r="E92" s="106">
        <v>328.78016528925622</v>
      </c>
      <c r="F92" s="106">
        <v>0</v>
      </c>
      <c r="G92" s="106">
        <v>0</v>
      </c>
      <c r="H92" s="106">
        <v>0.26865671641791045</v>
      </c>
      <c r="I92" s="106">
        <v>381.70746268656717</v>
      </c>
      <c r="J92" s="106">
        <v>0.18380462724935731</v>
      </c>
      <c r="K92" s="106">
        <v>261.14961439588689</v>
      </c>
      <c r="L92" s="106">
        <v>0.46570702794242169</v>
      </c>
      <c r="M92" s="106">
        <v>661.67654530059269</v>
      </c>
      <c r="N92" s="106">
        <v>0.47628865979381441</v>
      </c>
      <c r="O92" s="106">
        <v>676.71092783505151</v>
      </c>
      <c r="P92" s="106">
        <v>0.31268221574344024</v>
      </c>
      <c r="Q92" s="106">
        <v>444.25889212827985</v>
      </c>
      <c r="R92" s="106">
        <v>0.28501400560224094</v>
      </c>
      <c r="S92" s="106">
        <v>404.9478991596639</v>
      </c>
      <c r="T92" s="106">
        <v>0.40897435897435896</v>
      </c>
      <c r="U92" s="106">
        <v>581.0707692307692</v>
      </c>
      <c r="V92" s="106">
        <v>0.41272430668841764</v>
      </c>
      <c r="W92" s="106">
        <v>586.39869494290372</v>
      </c>
      <c r="X92" s="106">
        <v>0</v>
      </c>
      <c r="Y92" s="106">
        <v>0</v>
      </c>
      <c r="Z92" s="106">
        <v>1.1578947368421053</v>
      </c>
      <c r="AA92" s="106">
        <v>1645.1368421052632</v>
      </c>
      <c r="AB92" s="106">
        <v>0</v>
      </c>
      <c r="AC92" s="106">
        <v>0</v>
      </c>
      <c r="AD92" s="106">
        <v>0.44562899786780386</v>
      </c>
      <c r="AE92" s="106">
        <v>633.14968017057572</v>
      </c>
      <c r="AF92" s="106">
        <v>0.45605306799336648</v>
      </c>
      <c r="AG92" s="106">
        <v>647.96019900497504</v>
      </c>
      <c r="AH92" s="106">
        <v>0.50381679389312972</v>
      </c>
      <c r="AI92" s="106">
        <v>715.82290076335869</v>
      </c>
      <c r="AJ92" s="106">
        <v>0.66809238665526094</v>
      </c>
      <c r="AK92" s="106">
        <v>949.2256629597947</v>
      </c>
      <c r="AL92" s="106">
        <v>0.95283926852743028</v>
      </c>
      <c r="AM92" s="106">
        <v>1353.7940327237729</v>
      </c>
      <c r="AN92" s="106">
        <v>0.76864966949952773</v>
      </c>
      <c r="AO92" s="106">
        <v>1092.0974504249289</v>
      </c>
      <c r="AP92" s="106">
        <v>0</v>
      </c>
      <c r="AQ92" s="106">
        <v>0</v>
      </c>
      <c r="AR92" s="106">
        <v>0</v>
      </c>
      <c r="AS92" s="106">
        <v>0</v>
      </c>
      <c r="AT92" s="106">
        <v>0.35938500960922487</v>
      </c>
      <c r="AU92" s="106">
        <v>510.61422165278668</v>
      </c>
      <c r="AV92" s="106">
        <v>0</v>
      </c>
      <c r="AW92" s="106">
        <v>0</v>
      </c>
      <c r="AX92" s="106">
        <v>0.10205078125</v>
      </c>
      <c r="AY92" s="106">
        <v>144.99375000000001</v>
      </c>
      <c r="AZ92" s="106">
        <v>1.119298245614035</v>
      </c>
      <c r="BA92" s="106">
        <v>1590.2989473684208</v>
      </c>
      <c r="BB92" s="106">
        <v>0.43137254901960786</v>
      </c>
      <c r="BC92" s="106">
        <v>612.89411764705881</v>
      </c>
      <c r="BD92" s="106">
        <v>0.57802547770700641</v>
      </c>
      <c r="BE92" s="106">
        <v>821.25859872611466</v>
      </c>
      <c r="BF92" s="106">
        <v>0.49335548172757476</v>
      </c>
      <c r="BG92" s="106">
        <v>700.95946843853824</v>
      </c>
      <c r="BH92" s="106">
        <v>0.20271580989330748</v>
      </c>
      <c r="BI92" s="106">
        <v>288.01862269641128</v>
      </c>
      <c r="BJ92" s="106">
        <v>0.33555767397521447</v>
      </c>
      <c r="BK92" s="106">
        <v>476.76034318398467</v>
      </c>
      <c r="BL92" s="106">
        <v>0</v>
      </c>
      <c r="BM92" s="106">
        <v>0</v>
      </c>
      <c r="BN92" s="106">
        <v>0.29425649095200629</v>
      </c>
      <c r="BO92" s="106">
        <v>418.07962234461053</v>
      </c>
      <c r="BP92" s="106">
        <v>0.47826086956521741</v>
      </c>
      <c r="BQ92" s="106">
        <v>679.5130434782609</v>
      </c>
      <c r="BR92" s="106">
        <v>0</v>
      </c>
      <c r="BS92" s="106">
        <v>0</v>
      </c>
      <c r="BT92" s="106">
        <v>0.76201117318435752</v>
      </c>
      <c r="BU92" s="106">
        <v>1082.6654748603351</v>
      </c>
      <c r="BV92" s="106">
        <v>0</v>
      </c>
      <c r="BW92" s="106">
        <v>0</v>
      </c>
      <c r="BX92" s="106">
        <v>0.11669024045261669</v>
      </c>
      <c r="BY92" s="106">
        <v>165.79349363507779</v>
      </c>
      <c r="BZ92" s="106">
        <v>0.23167649536647009</v>
      </c>
      <c r="CA92" s="106">
        <v>329.1659646166807</v>
      </c>
      <c r="CB92" s="106">
        <v>0</v>
      </c>
      <c r="CC92" s="106">
        <v>0</v>
      </c>
      <c r="CD92" s="106">
        <v>0.12313432835820895</v>
      </c>
      <c r="CE92" s="106">
        <v>174.94925373134328</v>
      </c>
      <c r="CF92" s="106">
        <v>1.3050847457627119</v>
      </c>
      <c r="CG92" s="106">
        <v>1854.2644067796612</v>
      </c>
      <c r="CH92" s="106">
        <v>0</v>
      </c>
      <c r="CI92" s="106">
        <v>0</v>
      </c>
      <c r="CJ92" s="106">
        <v>0.69259259259259254</v>
      </c>
      <c r="CK92" s="106">
        <v>984.03555555555545</v>
      </c>
      <c r="CL92" s="106">
        <v>0</v>
      </c>
      <c r="CM92" s="106">
        <v>0</v>
      </c>
      <c r="CN92" s="106">
        <v>0.1776798825256975</v>
      </c>
      <c r="CO92" s="106">
        <v>252.44757709251098</v>
      </c>
      <c r="CP92" s="106">
        <v>0.37434554973821993</v>
      </c>
      <c r="CQ92" s="106">
        <v>531.87015706806289</v>
      </c>
      <c r="CR92" s="106">
        <v>0.11518324607329844</v>
      </c>
      <c r="CS92" s="106">
        <v>163.65235602094242</v>
      </c>
      <c r="CT92" s="106">
        <v>0.18595578673602081</v>
      </c>
      <c r="CU92" s="106">
        <v>264.20598179453839</v>
      </c>
    </row>
    <row r="93" spans="2:99" x14ac:dyDescent="0.2">
      <c r="C93" s="105" t="s">
        <v>259</v>
      </c>
      <c r="D93" s="106">
        <v>0.23140495867768596</v>
      </c>
      <c r="E93" s="106">
        <v>410.14214876033054</v>
      </c>
      <c r="F93" s="106">
        <v>0</v>
      </c>
      <c r="G93" s="106">
        <v>0</v>
      </c>
      <c r="H93" s="106">
        <v>0.26865671641791045</v>
      </c>
      <c r="I93" s="106">
        <v>476.16716417910442</v>
      </c>
      <c r="J93" s="106">
        <v>0.14138817480719795</v>
      </c>
      <c r="K93" s="106">
        <v>250.59640102827763</v>
      </c>
      <c r="L93" s="106">
        <v>0.38187976291278575</v>
      </c>
      <c r="M93" s="106">
        <v>676.84369178662143</v>
      </c>
      <c r="N93" s="106">
        <v>0.5216494845360824</v>
      </c>
      <c r="O93" s="106">
        <v>924.57154639175235</v>
      </c>
      <c r="P93" s="106">
        <v>0.32871720116618075</v>
      </c>
      <c r="Q93" s="106">
        <v>582.61836734693873</v>
      </c>
      <c r="R93" s="106">
        <v>0.26960784313725489</v>
      </c>
      <c r="S93" s="106">
        <v>477.85294117647055</v>
      </c>
      <c r="T93" s="106">
        <v>0.45833333333333331</v>
      </c>
      <c r="U93" s="106">
        <v>812.34999999999991</v>
      </c>
      <c r="V93" s="106">
        <v>0.36786296900489396</v>
      </c>
      <c r="W93" s="106">
        <v>652.00032626427401</v>
      </c>
      <c r="X93" s="106">
        <v>0</v>
      </c>
      <c r="Y93" s="106">
        <v>0</v>
      </c>
      <c r="Z93" s="106">
        <v>1.0763528539659006</v>
      </c>
      <c r="AA93" s="106">
        <v>1907.7277983691622</v>
      </c>
      <c r="AB93" s="106">
        <v>0</v>
      </c>
      <c r="AC93" s="106">
        <v>0</v>
      </c>
      <c r="AD93" s="106">
        <v>0.3987206823027718</v>
      </c>
      <c r="AE93" s="106">
        <v>706.69253731343269</v>
      </c>
      <c r="AF93" s="106">
        <v>0.41956882255389716</v>
      </c>
      <c r="AG93" s="106">
        <v>743.6437810945273</v>
      </c>
      <c r="AH93" s="106">
        <v>0.46183206106870228</v>
      </c>
      <c r="AI93" s="106">
        <v>818.55114503816787</v>
      </c>
      <c r="AJ93" s="106">
        <v>0.76218990590248081</v>
      </c>
      <c r="AK93" s="106">
        <v>1350.9053892215568</v>
      </c>
      <c r="AL93" s="106">
        <v>1.0375360923965351</v>
      </c>
      <c r="AM93" s="106">
        <v>1838.9289701636187</v>
      </c>
      <c r="AN93" s="106">
        <v>0.76864966949952773</v>
      </c>
      <c r="AO93" s="106">
        <v>1362.3546742209628</v>
      </c>
      <c r="AP93" s="106">
        <v>0</v>
      </c>
      <c r="AQ93" s="106">
        <v>0</v>
      </c>
      <c r="AR93" s="106">
        <v>0</v>
      </c>
      <c r="AS93" s="106">
        <v>0</v>
      </c>
      <c r="AT93" s="106">
        <v>0.33824471492632924</v>
      </c>
      <c r="AU93" s="106">
        <v>599.50493273542588</v>
      </c>
      <c r="AV93" s="106">
        <v>0</v>
      </c>
      <c r="AW93" s="106">
        <v>0</v>
      </c>
      <c r="AX93" s="106">
        <v>9.66796875E-2</v>
      </c>
      <c r="AY93" s="106">
        <v>171.35507812499998</v>
      </c>
      <c r="AZ93" s="106">
        <v>1.0421052631578949</v>
      </c>
      <c r="BA93" s="106">
        <v>1847.0273684210526</v>
      </c>
      <c r="BB93" s="106">
        <v>0.45098039215686275</v>
      </c>
      <c r="BC93" s="106">
        <v>799.31764705882347</v>
      </c>
      <c r="BD93" s="106">
        <v>0.52547770700636942</v>
      </c>
      <c r="BE93" s="106">
        <v>931.35668789808904</v>
      </c>
      <c r="BF93" s="106">
        <v>0.49335548172757476</v>
      </c>
      <c r="BG93" s="106">
        <v>874.42325581395346</v>
      </c>
      <c r="BH93" s="106">
        <v>0.23472356935014549</v>
      </c>
      <c r="BI93" s="106">
        <v>416.02405431619781</v>
      </c>
      <c r="BJ93" s="106">
        <v>0.31458531935176359</v>
      </c>
      <c r="BK93" s="106">
        <v>557.57102001906571</v>
      </c>
      <c r="BL93" s="106">
        <v>0</v>
      </c>
      <c r="BM93" s="106">
        <v>0</v>
      </c>
      <c r="BN93" s="106">
        <v>0.2769472856018883</v>
      </c>
      <c r="BO93" s="106">
        <v>490.86136900078679</v>
      </c>
      <c r="BP93" s="106">
        <v>0.53804347826086962</v>
      </c>
      <c r="BQ93" s="106">
        <v>953.62826086956522</v>
      </c>
      <c r="BR93" s="106">
        <v>0</v>
      </c>
      <c r="BS93" s="106">
        <v>0</v>
      </c>
      <c r="BT93" s="106">
        <v>0.76201117318435752</v>
      </c>
      <c r="BU93" s="106">
        <v>1350.588603351955</v>
      </c>
      <c r="BV93" s="106">
        <v>0</v>
      </c>
      <c r="BW93" s="106">
        <v>0</v>
      </c>
      <c r="BX93" s="106">
        <v>0.10891089108910891</v>
      </c>
      <c r="BY93" s="106">
        <v>193.03366336633661</v>
      </c>
      <c r="BZ93" s="106">
        <v>0.18534119629317605</v>
      </c>
      <c r="CA93" s="106">
        <v>328.49873631002521</v>
      </c>
      <c r="CB93" s="106">
        <v>0</v>
      </c>
      <c r="CC93" s="106">
        <v>0</v>
      </c>
      <c r="CD93" s="106">
        <v>0.10671641791044775</v>
      </c>
      <c r="CE93" s="106">
        <v>189.14417910447759</v>
      </c>
      <c r="CF93" s="106">
        <v>1.2740112994350283</v>
      </c>
      <c r="CG93" s="106">
        <v>2258.0576271186442</v>
      </c>
      <c r="CH93" s="106">
        <v>0</v>
      </c>
      <c r="CI93" s="106">
        <v>0</v>
      </c>
      <c r="CJ93" s="106">
        <v>0.57037037037037031</v>
      </c>
      <c r="CK93" s="106">
        <v>1010.9244444444442</v>
      </c>
      <c r="CL93" s="106">
        <v>0</v>
      </c>
      <c r="CM93" s="106">
        <v>0</v>
      </c>
      <c r="CN93" s="106">
        <v>0.1776798825256975</v>
      </c>
      <c r="CO93" s="106">
        <v>314.91982378854624</v>
      </c>
      <c r="CP93" s="106">
        <v>0.34554973821989526</v>
      </c>
      <c r="CQ93" s="106">
        <v>612.45235602094237</v>
      </c>
      <c r="CR93" s="106">
        <v>0.11518324607329844</v>
      </c>
      <c r="CS93" s="106">
        <v>204.15078534031414</v>
      </c>
      <c r="CT93" s="106">
        <v>0.15734720416124837</v>
      </c>
      <c r="CU93" s="106">
        <v>278.8821846553966</v>
      </c>
    </row>
    <row r="94" spans="2:99" x14ac:dyDescent="0.2">
      <c r="C94" s="105" t="s">
        <v>260</v>
      </c>
      <c r="D94" s="106">
        <v>0.23140495867768596</v>
      </c>
      <c r="E94" s="106">
        <v>554.26115702479331</v>
      </c>
      <c r="F94" s="106">
        <v>0</v>
      </c>
      <c r="G94" s="106">
        <v>0</v>
      </c>
      <c r="H94" s="106">
        <v>0.29850746268656714</v>
      </c>
      <c r="I94" s="106">
        <v>714.98507462686553</v>
      </c>
      <c r="J94" s="106">
        <v>0.14138817480719795</v>
      </c>
      <c r="K94" s="106">
        <v>338.65295629820054</v>
      </c>
      <c r="L94" s="106">
        <v>0.35393734123624043</v>
      </c>
      <c r="M94" s="106">
        <v>847.750719729043</v>
      </c>
      <c r="N94" s="106">
        <v>0.41958762886597945</v>
      </c>
      <c r="O94" s="106">
        <v>1004.9962886597939</v>
      </c>
      <c r="P94" s="106">
        <v>0.32069970845481049</v>
      </c>
      <c r="Q94" s="106">
        <v>768.13994169096202</v>
      </c>
      <c r="R94" s="106">
        <v>0.26960784313725489</v>
      </c>
      <c r="S94" s="106">
        <v>645.76470588235281</v>
      </c>
      <c r="T94" s="106">
        <v>0.40192307692307694</v>
      </c>
      <c r="U94" s="106">
        <v>962.68615384615384</v>
      </c>
      <c r="V94" s="106">
        <v>0.32300163132137033</v>
      </c>
      <c r="W94" s="106">
        <v>773.65350734094613</v>
      </c>
      <c r="X94" s="106">
        <v>0</v>
      </c>
      <c r="Y94" s="106">
        <v>0</v>
      </c>
      <c r="Z94" s="106">
        <v>1.1089696071163826</v>
      </c>
      <c r="AA94" s="106">
        <v>2656.2040029651594</v>
      </c>
      <c r="AB94" s="106">
        <v>0</v>
      </c>
      <c r="AC94" s="106">
        <v>0</v>
      </c>
      <c r="AD94" s="106">
        <v>0.3987206823027718</v>
      </c>
      <c r="AE94" s="106">
        <v>955.01577825159893</v>
      </c>
      <c r="AF94" s="106">
        <v>0.41956882255389716</v>
      </c>
      <c r="AG94" s="106">
        <v>1004.9512437810944</v>
      </c>
      <c r="AH94" s="106">
        <v>0.39885496183206104</v>
      </c>
      <c r="AI94" s="106">
        <v>955.33740458015257</v>
      </c>
      <c r="AJ94" s="106">
        <v>0.57399486740804107</v>
      </c>
      <c r="AK94" s="106">
        <v>1374.8325064157398</v>
      </c>
      <c r="AL94" s="106">
        <v>0.84696823869104909</v>
      </c>
      <c r="AM94" s="106">
        <v>2028.6583253128006</v>
      </c>
      <c r="AN94" s="106">
        <v>0.68555240793201133</v>
      </c>
      <c r="AO94" s="106">
        <v>1642.0351274787533</v>
      </c>
      <c r="AP94" s="106">
        <v>0</v>
      </c>
      <c r="AQ94" s="106">
        <v>0</v>
      </c>
      <c r="AR94" s="106">
        <v>0</v>
      </c>
      <c r="AS94" s="106">
        <v>0</v>
      </c>
      <c r="AT94" s="106">
        <v>0.31710442024343372</v>
      </c>
      <c r="AU94" s="106">
        <v>759.52850736707239</v>
      </c>
      <c r="AV94" s="106">
        <v>0</v>
      </c>
      <c r="AW94" s="106">
        <v>0</v>
      </c>
      <c r="AX94" s="106">
        <v>8.59375E-2</v>
      </c>
      <c r="AY94" s="106">
        <v>205.83749999999998</v>
      </c>
      <c r="AZ94" s="106">
        <v>1.0421052631578949</v>
      </c>
      <c r="BA94" s="106">
        <v>2496.0505263157897</v>
      </c>
      <c r="BB94" s="106">
        <v>0.41176470588235292</v>
      </c>
      <c r="BC94" s="106">
        <v>986.25882352941164</v>
      </c>
      <c r="BD94" s="106">
        <v>0.49044585987261141</v>
      </c>
      <c r="BE94" s="106">
        <v>1174.7159235668787</v>
      </c>
      <c r="BF94" s="106">
        <v>0.47508305647840532</v>
      </c>
      <c r="BG94" s="106">
        <v>1137.9189368770762</v>
      </c>
      <c r="BH94" s="106">
        <v>0.19204655674102813</v>
      </c>
      <c r="BI94" s="106">
        <v>459.98991270611054</v>
      </c>
      <c r="BJ94" s="106">
        <v>0.26215443279313633</v>
      </c>
      <c r="BK94" s="106">
        <v>627.91229742612006</v>
      </c>
      <c r="BL94" s="106">
        <v>0</v>
      </c>
      <c r="BM94" s="106">
        <v>0</v>
      </c>
      <c r="BN94" s="106">
        <v>0.24232887490165225</v>
      </c>
      <c r="BO94" s="106">
        <v>580.4261211644374</v>
      </c>
      <c r="BP94" s="106">
        <v>0.41847826086956524</v>
      </c>
      <c r="BQ94" s="106">
        <v>1002.3391304347826</v>
      </c>
      <c r="BR94" s="106">
        <v>0</v>
      </c>
      <c r="BS94" s="106">
        <v>0</v>
      </c>
      <c r="BT94" s="106">
        <v>0.78659217877094967</v>
      </c>
      <c r="BU94" s="106">
        <v>1884.0455865921786</v>
      </c>
      <c r="BV94" s="106">
        <v>0</v>
      </c>
      <c r="BW94" s="106">
        <v>0</v>
      </c>
      <c r="BX94" s="106">
        <v>0.10113154172560113</v>
      </c>
      <c r="BY94" s="106">
        <v>242.23026874115979</v>
      </c>
      <c r="BZ94" s="106">
        <v>0.17607413647851725</v>
      </c>
      <c r="CA94" s="106">
        <v>421.73277169334449</v>
      </c>
      <c r="CB94" s="106">
        <v>0</v>
      </c>
      <c r="CC94" s="106">
        <v>0</v>
      </c>
      <c r="CD94" s="106">
        <v>0.12313432835820895</v>
      </c>
      <c r="CE94" s="106">
        <v>294.93134328358207</v>
      </c>
      <c r="CF94" s="106">
        <v>1.2118644067796609</v>
      </c>
      <c r="CG94" s="106">
        <v>2902.6576271186436</v>
      </c>
      <c r="CH94" s="106">
        <v>0</v>
      </c>
      <c r="CI94" s="106">
        <v>0</v>
      </c>
      <c r="CJ94" s="106">
        <v>0.57037037037037031</v>
      </c>
      <c r="CK94" s="106">
        <v>1366.1511111111108</v>
      </c>
      <c r="CL94" s="106">
        <v>0</v>
      </c>
      <c r="CM94" s="106">
        <v>0</v>
      </c>
      <c r="CN94" s="106">
        <v>0.16152716593245228</v>
      </c>
      <c r="CO94" s="106">
        <v>386.88986784140968</v>
      </c>
      <c r="CP94" s="106">
        <v>0.34554973821989526</v>
      </c>
      <c r="CQ94" s="106">
        <v>827.66073298429308</v>
      </c>
      <c r="CR94" s="106">
        <v>0.11518324607329844</v>
      </c>
      <c r="CS94" s="106">
        <v>275.88691099476438</v>
      </c>
      <c r="CT94" s="106">
        <v>0.17165149544863459</v>
      </c>
      <c r="CU94" s="106">
        <v>411.13966189856956</v>
      </c>
    </row>
    <row r="95" spans="2:99" x14ac:dyDescent="0.2">
      <c r="B95" s="105" t="s">
        <v>132</v>
      </c>
      <c r="C95" s="105" t="s">
        <v>261</v>
      </c>
      <c r="D95" s="106">
        <v>0.88705234159779611</v>
      </c>
      <c r="E95" s="106">
        <v>1537.084297520661</v>
      </c>
      <c r="F95" s="106">
        <v>0</v>
      </c>
      <c r="G95" s="106">
        <v>0</v>
      </c>
      <c r="H95" s="106">
        <v>1.3432835820895523</v>
      </c>
      <c r="I95" s="106">
        <v>2327.6417910447763</v>
      </c>
      <c r="J95" s="106">
        <v>0.41002570694087404</v>
      </c>
      <c r="K95" s="106">
        <v>710.49254498714652</v>
      </c>
      <c r="L95" s="106">
        <v>0.26079593564775616</v>
      </c>
      <c r="M95" s="106">
        <v>451.90719729043184</v>
      </c>
      <c r="N95" s="106">
        <v>0.3061855670103093</v>
      </c>
      <c r="O95" s="106">
        <v>530.55835051546399</v>
      </c>
      <c r="P95" s="106">
        <v>0.34475218658892132</v>
      </c>
      <c r="Q95" s="106">
        <v>597.38658892128285</v>
      </c>
      <c r="R95" s="106">
        <v>0.36974789915966383</v>
      </c>
      <c r="S95" s="106">
        <v>640.69915966386543</v>
      </c>
      <c r="T95" s="106">
        <v>0.55000000000000004</v>
      </c>
      <c r="U95" s="106">
        <v>953.04000000000008</v>
      </c>
      <c r="V95" s="106">
        <v>0.46655791190864604</v>
      </c>
      <c r="W95" s="106">
        <v>808.45154975530181</v>
      </c>
      <c r="X95" s="106">
        <v>0</v>
      </c>
      <c r="Y95" s="106">
        <v>0</v>
      </c>
      <c r="Z95" s="106">
        <v>0.78280207561156412</v>
      </c>
      <c r="AA95" s="106">
        <v>1356.4394366197182</v>
      </c>
      <c r="AB95" s="106">
        <v>0</v>
      </c>
      <c r="AC95" s="106">
        <v>0</v>
      </c>
      <c r="AD95" s="106">
        <v>0.21108742004264394</v>
      </c>
      <c r="AE95" s="106">
        <v>365.7722814498934</v>
      </c>
      <c r="AF95" s="106">
        <v>0.20066334991708126</v>
      </c>
      <c r="AG95" s="106">
        <v>347.70945273631838</v>
      </c>
      <c r="AH95" s="106">
        <v>0.18893129770992367</v>
      </c>
      <c r="AI95" s="106">
        <v>327.38015267175575</v>
      </c>
      <c r="AJ95" s="106">
        <v>0.30111206159110349</v>
      </c>
      <c r="AK95" s="106">
        <v>521.76698032506408</v>
      </c>
      <c r="AL95" s="106">
        <v>0.82579403272377294</v>
      </c>
      <c r="AM95" s="106">
        <v>1430.9358999037538</v>
      </c>
      <c r="AN95" s="106">
        <v>0.25967894239848915</v>
      </c>
      <c r="AO95" s="106">
        <v>449.97167138810198</v>
      </c>
      <c r="AP95" s="106">
        <v>0</v>
      </c>
      <c r="AQ95" s="106">
        <v>0</v>
      </c>
      <c r="AR95" s="106">
        <v>0</v>
      </c>
      <c r="AS95" s="106">
        <v>0</v>
      </c>
      <c r="AT95" s="106">
        <v>0.54964766175528501</v>
      </c>
      <c r="AU95" s="106">
        <v>952.4294682895578</v>
      </c>
      <c r="AV95" s="106">
        <v>0</v>
      </c>
      <c r="AW95" s="106">
        <v>0</v>
      </c>
      <c r="AX95" s="106">
        <v>0.2685546875</v>
      </c>
      <c r="AY95" s="106">
        <v>465.3515625</v>
      </c>
      <c r="AZ95" s="106">
        <v>0.65614035087719291</v>
      </c>
      <c r="BA95" s="106">
        <v>1136.9599999999998</v>
      </c>
      <c r="BB95" s="106">
        <v>0.31372549019607843</v>
      </c>
      <c r="BC95" s="106">
        <v>543.62352941176471</v>
      </c>
      <c r="BD95" s="106">
        <v>0.26273885350318471</v>
      </c>
      <c r="BE95" s="106">
        <v>455.27388535031844</v>
      </c>
      <c r="BF95" s="106">
        <v>0.32890365448504988</v>
      </c>
      <c r="BG95" s="106">
        <v>569.92425249169446</v>
      </c>
      <c r="BH95" s="106">
        <v>0.24539282250242483</v>
      </c>
      <c r="BI95" s="106">
        <v>425.21668283220174</v>
      </c>
      <c r="BJ95" s="106">
        <v>0.1782650142993327</v>
      </c>
      <c r="BK95" s="106">
        <v>308.89761677788368</v>
      </c>
      <c r="BL95" s="106">
        <v>0</v>
      </c>
      <c r="BM95" s="106">
        <v>0</v>
      </c>
      <c r="BN95" s="106">
        <v>0.38080251770259643</v>
      </c>
      <c r="BO95" s="106">
        <v>659.85460267505903</v>
      </c>
      <c r="BP95" s="106">
        <v>0.37364130434782605</v>
      </c>
      <c r="BQ95" s="106">
        <v>647.445652173913</v>
      </c>
      <c r="BR95" s="106">
        <v>0</v>
      </c>
      <c r="BS95" s="106">
        <v>0</v>
      </c>
      <c r="BT95" s="106">
        <v>1.1798882681564247</v>
      </c>
      <c r="BU95" s="106">
        <v>2044.5103910614525</v>
      </c>
      <c r="BV95" s="106">
        <v>0</v>
      </c>
      <c r="BW95" s="106">
        <v>0</v>
      </c>
      <c r="BX95" s="106">
        <v>0.77793493635077793</v>
      </c>
      <c r="BY95" s="106">
        <v>1348.005657708628</v>
      </c>
      <c r="BZ95" s="106">
        <v>0.59309182813816341</v>
      </c>
      <c r="CA95" s="106">
        <v>1027.7095197978094</v>
      </c>
      <c r="CB95" s="106">
        <v>0</v>
      </c>
      <c r="CC95" s="106">
        <v>0</v>
      </c>
      <c r="CD95" s="106">
        <v>0.60746268656716418</v>
      </c>
      <c r="CE95" s="106">
        <v>1052.6113432835821</v>
      </c>
      <c r="CF95" s="106">
        <v>0.43502824858757067</v>
      </c>
      <c r="CG95" s="106">
        <v>753.81694915254241</v>
      </c>
      <c r="CH95" s="106">
        <v>0</v>
      </c>
      <c r="CI95" s="106">
        <v>0</v>
      </c>
      <c r="CJ95" s="106">
        <v>0.16296296296296298</v>
      </c>
      <c r="CK95" s="106">
        <v>282.38222222222225</v>
      </c>
      <c r="CL95" s="106">
        <v>0</v>
      </c>
      <c r="CM95" s="106">
        <v>0</v>
      </c>
      <c r="CN95" s="106">
        <v>0.56534508076358292</v>
      </c>
      <c r="CO95" s="106">
        <v>979.62995594713641</v>
      </c>
      <c r="CP95" s="106">
        <v>0.89267015706806285</v>
      </c>
      <c r="CQ95" s="106">
        <v>1546.8188481675393</v>
      </c>
      <c r="CR95" s="106">
        <v>0.5759162303664922</v>
      </c>
      <c r="CS95" s="106">
        <v>997.9476439790576</v>
      </c>
      <c r="CT95" s="106">
        <v>0.54356306892067618</v>
      </c>
      <c r="CU95" s="106">
        <v>941.88608582574761</v>
      </c>
    </row>
    <row r="96" spans="2:99" x14ac:dyDescent="0.2">
      <c r="C96" s="105" t="s">
        <v>262</v>
      </c>
      <c r="D96" s="106">
        <v>1.0413223140495869</v>
      </c>
      <c r="E96" s="106">
        <v>857.21652892561985</v>
      </c>
      <c r="F96" s="106">
        <v>0</v>
      </c>
      <c r="G96" s="106">
        <v>0</v>
      </c>
      <c r="H96" s="106">
        <v>1.4925373134328359</v>
      </c>
      <c r="I96" s="106">
        <v>1228.6567164179105</v>
      </c>
      <c r="J96" s="106">
        <v>0.49485861182519281</v>
      </c>
      <c r="K96" s="106">
        <v>407.36760925449869</v>
      </c>
      <c r="L96" s="106">
        <v>0.28873835732430148</v>
      </c>
      <c r="M96" s="106">
        <v>237.68941574936497</v>
      </c>
      <c r="N96" s="106">
        <v>0.35154639175257729</v>
      </c>
      <c r="O96" s="106">
        <v>289.39298969072161</v>
      </c>
      <c r="P96" s="106">
        <v>0.40889212827988336</v>
      </c>
      <c r="Q96" s="106">
        <v>336.59999999999997</v>
      </c>
      <c r="R96" s="106">
        <v>0.45448179271708683</v>
      </c>
      <c r="S96" s="106">
        <v>374.12941176470582</v>
      </c>
      <c r="T96" s="106">
        <v>0.59230769230769231</v>
      </c>
      <c r="U96" s="106">
        <v>487.58769230769229</v>
      </c>
      <c r="V96" s="106">
        <v>0.61011419249592169</v>
      </c>
      <c r="W96" s="106">
        <v>502.24600326264272</v>
      </c>
      <c r="X96" s="106">
        <v>0</v>
      </c>
      <c r="Y96" s="106">
        <v>0</v>
      </c>
      <c r="Z96" s="106">
        <v>0.88065233506300955</v>
      </c>
      <c r="AA96" s="106">
        <v>724.95300222386936</v>
      </c>
      <c r="AB96" s="106">
        <v>0</v>
      </c>
      <c r="AC96" s="106">
        <v>0</v>
      </c>
      <c r="AD96" s="106">
        <v>0.21108742004264394</v>
      </c>
      <c r="AE96" s="106">
        <v>173.76716417910447</v>
      </c>
      <c r="AF96" s="106">
        <v>0.1824212271973466</v>
      </c>
      <c r="AG96" s="106">
        <v>150.16915422885572</v>
      </c>
      <c r="AH96" s="106">
        <v>0.20992366412213742</v>
      </c>
      <c r="AI96" s="106">
        <v>172.80916030534351</v>
      </c>
      <c r="AJ96" s="106">
        <v>0.31052181351582553</v>
      </c>
      <c r="AK96" s="106">
        <v>255.62155688622755</v>
      </c>
      <c r="AL96" s="106">
        <v>0.91049085659287776</v>
      </c>
      <c r="AM96" s="106">
        <v>749.51607314725686</v>
      </c>
      <c r="AN96" s="106">
        <v>0.27006610009442866</v>
      </c>
      <c r="AO96" s="106">
        <v>222.31841359773367</v>
      </c>
      <c r="AP96" s="106">
        <v>0</v>
      </c>
      <c r="AQ96" s="106">
        <v>0</v>
      </c>
      <c r="AR96" s="106">
        <v>0</v>
      </c>
      <c r="AS96" s="106">
        <v>0</v>
      </c>
      <c r="AT96" s="106">
        <v>0.59192825112107628</v>
      </c>
      <c r="AU96" s="106">
        <v>487.27533632286998</v>
      </c>
      <c r="AV96" s="106">
        <v>0</v>
      </c>
      <c r="AW96" s="106">
        <v>0</v>
      </c>
      <c r="AX96" s="106">
        <v>0.279296875</v>
      </c>
      <c r="AY96" s="106">
        <v>229.91718749999998</v>
      </c>
      <c r="AZ96" s="106">
        <v>0.65614035087719291</v>
      </c>
      <c r="BA96" s="106">
        <v>540.13473684210521</v>
      </c>
      <c r="BB96" s="106">
        <v>0.35294117647058826</v>
      </c>
      <c r="BC96" s="106">
        <v>290.54117647058825</v>
      </c>
      <c r="BD96" s="106">
        <v>0.26273885350318471</v>
      </c>
      <c r="BE96" s="106">
        <v>216.28662420382165</v>
      </c>
      <c r="BF96" s="106">
        <v>0.36544850498338871</v>
      </c>
      <c r="BG96" s="106">
        <v>300.83720930232556</v>
      </c>
      <c r="BH96" s="106">
        <v>0.26673132880698347</v>
      </c>
      <c r="BI96" s="106">
        <v>219.57322987390879</v>
      </c>
      <c r="BJ96" s="106">
        <v>0.20972354623450906</v>
      </c>
      <c r="BK96" s="106">
        <v>172.64442326024783</v>
      </c>
      <c r="BL96" s="106">
        <v>0</v>
      </c>
      <c r="BM96" s="106">
        <v>0</v>
      </c>
      <c r="BN96" s="106">
        <v>0.38080251770259643</v>
      </c>
      <c r="BO96" s="106">
        <v>313.47663257277736</v>
      </c>
      <c r="BP96" s="106">
        <v>0.41847826086956524</v>
      </c>
      <c r="BQ96" s="106">
        <v>344.49130434782609</v>
      </c>
      <c r="BR96" s="106">
        <v>0</v>
      </c>
      <c r="BS96" s="106">
        <v>0</v>
      </c>
      <c r="BT96" s="106">
        <v>1.3027932960893855</v>
      </c>
      <c r="BU96" s="106">
        <v>1072.4594413407822</v>
      </c>
      <c r="BV96" s="106">
        <v>0</v>
      </c>
      <c r="BW96" s="106">
        <v>0</v>
      </c>
      <c r="BX96" s="106">
        <v>0.80127298444130135</v>
      </c>
      <c r="BY96" s="106">
        <v>659.6079207920792</v>
      </c>
      <c r="BZ96" s="106">
        <v>0.75989890480202182</v>
      </c>
      <c r="CA96" s="106">
        <v>625.54877843302427</v>
      </c>
      <c r="CB96" s="106">
        <v>0</v>
      </c>
      <c r="CC96" s="106">
        <v>0</v>
      </c>
      <c r="CD96" s="106">
        <v>0.68134328358208962</v>
      </c>
      <c r="CE96" s="106">
        <v>560.88179104477615</v>
      </c>
      <c r="CF96" s="106">
        <v>0.49717514124293782</v>
      </c>
      <c r="CG96" s="106">
        <v>409.27457627118639</v>
      </c>
      <c r="CH96" s="106">
        <v>0</v>
      </c>
      <c r="CI96" s="106">
        <v>0</v>
      </c>
      <c r="CJ96" s="106">
        <v>0.20370370370370369</v>
      </c>
      <c r="CK96" s="106">
        <v>167.68888888888887</v>
      </c>
      <c r="CL96" s="106">
        <v>0</v>
      </c>
      <c r="CM96" s="106">
        <v>0</v>
      </c>
      <c r="CN96" s="106">
        <v>0.64610866372980913</v>
      </c>
      <c r="CO96" s="106">
        <v>531.8766519823788</v>
      </c>
      <c r="CP96" s="106">
        <v>1.0078534031413613</v>
      </c>
      <c r="CQ96" s="106">
        <v>829.66492146596852</v>
      </c>
      <c r="CR96" s="106">
        <v>0.56151832460732987</v>
      </c>
      <c r="CS96" s="106">
        <v>462.2418848167539</v>
      </c>
      <c r="CT96" s="106">
        <v>0.51495448634590379</v>
      </c>
      <c r="CU96" s="106">
        <v>423.91053315994799</v>
      </c>
    </row>
    <row r="97" spans="2:99" x14ac:dyDescent="0.2">
      <c r="C97" s="105" t="s">
        <v>263</v>
      </c>
      <c r="D97" s="106">
        <v>0.92561983471074383</v>
      </c>
      <c r="E97" s="106">
        <v>1692.7735537190083</v>
      </c>
      <c r="F97" s="106">
        <v>0</v>
      </c>
      <c r="G97" s="106">
        <v>0</v>
      </c>
      <c r="H97" s="106">
        <v>1.2835820895522387</v>
      </c>
      <c r="I97" s="106">
        <v>2347.4149253731343</v>
      </c>
      <c r="J97" s="106">
        <v>0.43830334190231363</v>
      </c>
      <c r="K97" s="106">
        <v>801.5691516709511</v>
      </c>
      <c r="L97" s="106">
        <v>0.28873835732430148</v>
      </c>
      <c r="M97" s="106">
        <v>528.04470787468256</v>
      </c>
      <c r="N97" s="106">
        <v>0.29484536082474228</v>
      </c>
      <c r="O97" s="106">
        <v>539.21319587628864</v>
      </c>
      <c r="P97" s="106">
        <v>0.36880466472303208</v>
      </c>
      <c r="Q97" s="106">
        <v>674.46997084548104</v>
      </c>
      <c r="R97" s="106">
        <v>0.40826330532212884</v>
      </c>
      <c r="S97" s="106">
        <v>746.63193277310916</v>
      </c>
      <c r="T97" s="106">
        <v>0.49358974358974361</v>
      </c>
      <c r="U97" s="106">
        <v>902.67692307692312</v>
      </c>
      <c r="V97" s="106">
        <v>0.5293637846655791</v>
      </c>
      <c r="W97" s="106">
        <v>968.10048939641104</v>
      </c>
      <c r="X97" s="106">
        <v>0</v>
      </c>
      <c r="Y97" s="106">
        <v>0</v>
      </c>
      <c r="Z97" s="106">
        <v>0.7338769458858414</v>
      </c>
      <c r="AA97" s="106">
        <v>1342.1141586360268</v>
      </c>
      <c r="AB97" s="106">
        <v>0</v>
      </c>
      <c r="AC97" s="106">
        <v>0</v>
      </c>
      <c r="AD97" s="106">
        <v>0.21108742004264394</v>
      </c>
      <c r="AE97" s="106">
        <v>386.03667377398722</v>
      </c>
      <c r="AF97" s="106">
        <v>0.20066334991708126</v>
      </c>
      <c r="AG97" s="106">
        <v>366.97313432835819</v>
      </c>
      <c r="AH97" s="106">
        <v>0.16793893129770993</v>
      </c>
      <c r="AI97" s="106">
        <v>307.12671755725188</v>
      </c>
      <c r="AJ97" s="106">
        <v>0.28229255774165951</v>
      </c>
      <c r="AK97" s="106">
        <v>516.25662959794693</v>
      </c>
      <c r="AL97" s="106">
        <v>0.78344562078922042</v>
      </c>
      <c r="AM97" s="106">
        <v>1432.7653512993263</v>
      </c>
      <c r="AN97" s="106">
        <v>0.22851746931067043</v>
      </c>
      <c r="AO97" s="106">
        <v>417.91274787535406</v>
      </c>
      <c r="AP97" s="106">
        <v>0</v>
      </c>
      <c r="AQ97" s="106">
        <v>0</v>
      </c>
      <c r="AR97" s="106">
        <v>0</v>
      </c>
      <c r="AS97" s="106">
        <v>0</v>
      </c>
      <c r="AT97" s="106">
        <v>0.54964766175528501</v>
      </c>
      <c r="AU97" s="106">
        <v>1005.1956438180652</v>
      </c>
      <c r="AV97" s="106">
        <v>0</v>
      </c>
      <c r="AW97" s="106">
        <v>0</v>
      </c>
      <c r="AX97" s="106">
        <v>0.279296875</v>
      </c>
      <c r="AY97" s="106">
        <v>510.77812499999999</v>
      </c>
      <c r="AZ97" s="106">
        <v>0.61754385964912284</v>
      </c>
      <c r="BA97" s="106">
        <v>1129.3642105263159</v>
      </c>
      <c r="BB97" s="106">
        <v>0.33333333333333337</v>
      </c>
      <c r="BC97" s="106">
        <v>609.6</v>
      </c>
      <c r="BD97" s="106">
        <v>0.24522292993630571</v>
      </c>
      <c r="BE97" s="106">
        <v>448.46369426751585</v>
      </c>
      <c r="BF97" s="106">
        <v>0.32890365448504988</v>
      </c>
      <c r="BG97" s="106">
        <v>601.49900332225923</v>
      </c>
      <c r="BH97" s="106">
        <v>0.24539282250242483</v>
      </c>
      <c r="BI97" s="106">
        <v>448.77439379243452</v>
      </c>
      <c r="BJ97" s="106">
        <v>0.1782650142993327</v>
      </c>
      <c r="BK97" s="106">
        <v>326.01105815061965</v>
      </c>
      <c r="BL97" s="106">
        <v>0</v>
      </c>
      <c r="BM97" s="106">
        <v>0</v>
      </c>
      <c r="BN97" s="106">
        <v>0.36349331235247834</v>
      </c>
      <c r="BO97" s="106">
        <v>664.75656963021231</v>
      </c>
      <c r="BP97" s="106">
        <v>0.41847826086956524</v>
      </c>
      <c r="BQ97" s="106">
        <v>765.31304347826085</v>
      </c>
      <c r="BR97" s="106">
        <v>0</v>
      </c>
      <c r="BS97" s="106">
        <v>0</v>
      </c>
      <c r="BT97" s="106">
        <v>0.98324022346368722</v>
      </c>
      <c r="BU97" s="106">
        <v>1798.1497206703912</v>
      </c>
      <c r="BV97" s="106">
        <v>0</v>
      </c>
      <c r="BW97" s="106">
        <v>0</v>
      </c>
      <c r="BX97" s="106">
        <v>0.66124469589816126</v>
      </c>
      <c r="BY97" s="106">
        <v>1209.2842998585572</v>
      </c>
      <c r="BZ97" s="106">
        <v>0.60235888795282222</v>
      </c>
      <c r="CA97" s="106">
        <v>1101.5939342881213</v>
      </c>
      <c r="CB97" s="106">
        <v>0</v>
      </c>
      <c r="CC97" s="106">
        <v>0</v>
      </c>
      <c r="CD97" s="106">
        <v>0.64029850746268657</v>
      </c>
      <c r="CE97" s="106">
        <v>1170.9779104477611</v>
      </c>
      <c r="CF97" s="106">
        <v>0.46610169491525422</v>
      </c>
      <c r="CG97" s="106">
        <v>852.40677966101691</v>
      </c>
      <c r="CH97" s="106">
        <v>0</v>
      </c>
      <c r="CI97" s="106">
        <v>0</v>
      </c>
      <c r="CJ97" s="106">
        <v>0.20370370370370369</v>
      </c>
      <c r="CK97" s="106">
        <v>372.5333333333333</v>
      </c>
      <c r="CL97" s="106">
        <v>0</v>
      </c>
      <c r="CM97" s="106">
        <v>0</v>
      </c>
      <c r="CN97" s="106">
        <v>0.5976505139500734</v>
      </c>
      <c r="CO97" s="106">
        <v>1092.9832599118943</v>
      </c>
      <c r="CP97" s="106">
        <v>0.80628272251308897</v>
      </c>
      <c r="CQ97" s="106">
        <v>1474.5298429319371</v>
      </c>
      <c r="CR97" s="106">
        <v>0.50392670157068065</v>
      </c>
      <c r="CS97" s="106">
        <v>921.58115183246071</v>
      </c>
      <c r="CT97" s="106">
        <v>0.51495448634590379</v>
      </c>
      <c r="CU97" s="106">
        <v>941.7487646293888</v>
      </c>
    </row>
    <row r="98" spans="2:99" x14ac:dyDescent="0.2">
      <c r="C98" s="105" t="s">
        <v>264</v>
      </c>
      <c r="D98" s="106">
        <v>0.92561983471074383</v>
      </c>
      <c r="E98" s="106">
        <v>1169.6132231404958</v>
      </c>
      <c r="F98" s="106">
        <v>0</v>
      </c>
      <c r="G98" s="106">
        <v>0</v>
      </c>
      <c r="H98" s="106">
        <v>1.4328358208955223</v>
      </c>
      <c r="I98" s="106">
        <v>1810.5313432835819</v>
      </c>
      <c r="J98" s="106">
        <v>0.41002570694087404</v>
      </c>
      <c r="K98" s="106">
        <v>518.10848329048838</v>
      </c>
      <c r="L98" s="106">
        <v>0.26079593564775616</v>
      </c>
      <c r="M98" s="106">
        <v>329.54174428450466</v>
      </c>
      <c r="N98" s="106">
        <v>0.28350515463917525</v>
      </c>
      <c r="O98" s="106">
        <v>358.23711340206182</v>
      </c>
      <c r="P98" s="106">
        <v>0.36880466472303208</v>
      </c>
      <c r="Q98" s="106">
        <v>466.02157434402329</v>
      </c>
      <c r="R98" s="106">
        <v>0.40056022408963587</v>
      </c>
      <c r="S98" s="106">
        <v>506.14789915966384</v>
      </c>
      <c r="T98" s="106">
        <v>0.52884615384615385</v>
      </c>
      <c r="U98" s="106">
        <v>668.25</v>
      </c>
      <c r="V98" s="106">
        <v>0.53833605220228387</v>
      </c>
      <c r="W98" s="106">
        <v>680.2414355628058</v>
      </c>
      <c r="X98" s="106">
        <v>0</v>
      </c>
      <c r="Y98" s="106">
        <v>0</v>
      </c>
      <c r="Z98" s="106">
        <v>0.84803558191252781</v>
      </c>
      <c r="AA98" s="106">
        <v>1071.57776130467</v>
      </c>
      <c r="AB98" s="106">
        <v>0</v>
      </c>
      <c r="AC98" s="106">
        <v>0</v>
      </c>
      <c r="AD98" s="106">
        <v>0.18763326226012794</v>
      </c>
      <c r="AE98" s="106">
        <v>237.09339019189764</v>
      </c>
      <c r="AF98" s="106">
        <v>0.20066334991708126</v>
      </c>
      <c r="AG98" s="106">
        <v>253.55820895522388</v>
      </c>
      <c r="AH98" s="106">
        <v>0.18893129770992367</v>
      </c>
      <c r="AI98" s="106">
        <v>238.73358778625953</v>
      </c>
      <c r="AJ98" s="106">
        <v>0.31993156544054746</v>
      </c>
      <c r="AK98" s="106">
        <v>404.26552609067573</v>
      </c>
      <c r="AL98" s="106">
        <v>0.91049085659287776</v>
      </c>
      <c r="AM98" s="106">
        <v>1150.4962463907602</v>
      </c>
      <c r="AN98" s="106">
        <v>0.24929178470254959</v>
      </c>
      <c r="AO98" s="106">
        <v>315.00509915014163</v>
      </c>
      <c r="AP98" s="106">
        <v>0</v>
      </c>
      <c r="AQ98" s="106">
        <v>0</v>
      </c>
      <c r="AR98" s="106">
        <v>0</v>
      </c>
      <c r="AS98" s="106">
        <v>0</v>
      </c>
      <c r="AT98" s="106">
        <v>0.54964766175528501</v>
      </c>
      <c r="AU98" s="106">
        <v>694.53478539397804</v>
      </c>
      <c r="AV98" s="106">
        <v>0</v>
      </c>
      <c r="AW98" s="106">
        <v>0</v>
      </c>
      <c r="AX98" s="106">
        <v>0.27392578125</v>
      </c>
      <c r="AY98" s="106">
        <v>346.13261718749999</v>
      </c>
      <c r="AZ98" s="106">
        <v>0.69473684210526321</v>
      </c>
      <c r="BA98" s="106">
        <v>877.86947368421056</v>
      </c>
      <c r="BB98" s="106">
        <v>0.33333333333333337</v>
      </c>
      <c r="BC98" s="106">
        <v>421.2</v>
      </c>
      <c r="BD98" s="106">
        <v>0.22770700636942673</v>
      </c>
      <c r="BE98" s="106">
        <v>287.73057324840761</v>
      </c>
      <c r="BF98" s="106">
        <v>0.29235880398671099</v>
      </c>
      <c r="BG98" s="106">
        <v>369.42458471760796</v>
      </c>
      <c r="BH98" s="106">
        <v>0.22405431619786614</v>
      </c>
      <c r="BI98" s="106">
        <v>283.11503394762366</v>
      </c>
      <c r="BJ98" s="106">
        <v>0.1992373689227836</v>
      </c>
      <c r="BK98" s="106">
        <v>251.75633937082932</v>
      </c>
      <c r="BL98" s="106">
        <v>0</v>
      </c>
      <c r="BM98" s="106">
        <v>0</v>
      </c>
      <c r="BN98" s="106">
        <v>0.38080251770259643</v>
      </c>
      <c r="BO98" s="106">
        <v>481.18206136900079</v>
      </c>
      <c r="BP98" s="106">
        <v>0.41847826086956524</v>
      </c>
      <c r="BQ98" s="106">
        <v>528.78913043478258</v>
      </c>
      <c r="BR98" s="106">
        <v>0</v>
      </c>
      <c r="BS98" s="106">
        <v>0</v>
      </c>
      <c r="BT98" s="106">
        <v>1.2536312849162012</v>
      </c>
      <c r="BU98" s="106">
        <v>1584.0884916201119</v>
      </c>
      <c r="BV98" s="106">
        <v>0</v>
      </c>
      <c r="BW98" s="106">
        <v>0</v>
      </c>
      <c r="BX98" s="106">
        <v>0.83239038189533243</v>
      </c>
      <c r="BY98" s="106">
        <v>1051.8084865629419</v>
      </c>
      <c r="BZ98" s="106">
        <v>0.65796124684077506</v>
      </c>
      <c r="CA98" s="106">
        <v>831.39983150800333</v>
      </c>
      <c r="CB98" s="106">
        <v>0</v>
      </c>
      <c r="CC98" s="106">
        <v>0</v>
      </c>
      <c r="CD98" s="106">
        <v>0.60746268656716418</v>
      </c>
      <c r="CE98" s="106">
        <v>767.58985074626855</v>
      </c>
      <c r="CF98" s="106">
        <v>0.403954802259887</v>
      </c>
      <c r="CG98" s="106">
        <v>510.43728813559318</v>
      </c>
      <c r="CH98" s="106">
        <v>0</v>
      </c>
      <c r="CI98" s="106">
        <v>0</v>
      </c>
      <c r="CJ98" s="106">
        <v>0.18333333333333332</v>
      </c>
      <c r="CK98" s="106">
        <v>231.65999999999997</v>
      </c>
      <c r="CL98" s="106">
        <v>0</v>
      </c>
      <c r="CM98" s="106">
        <v>0</v>
      </c>
      <c r="CN98" s="106">
        <v>0.56534508076358292</v>
      </c>
      <c r="CO98" s="106">
        <v>714.37004405286336</v>
      </c>
      <c r="CP98" s="106">
        <v>0.92146596858638752</v>
      </c>
      <c r="CQ98" s="106">
        <v>1164.3643979057592</v>
      </c>
      <c r="CR98" s="106">
        <v>0.59031413612565442</v>
      </c>
      <c r="CS98" s="106">
        <v>745.92094240837685</v>
      </c>
      <c r="CT98" s="106">
        <v>0.55786736020806238</v>
      </c>
      <c r="CU98" s="106">
        <v>704.92119635890754</v>
      </c>
    </row>
    <row r="99" spans="2:99" x14ac:dyDescent="0.2">
      <c r="C99" s="105" t="s">
        <v>265</v>
      </c>
      <c r="D99" s="106">
        <v>0.65564738292011016</v>
      </c>
      <c r="E99" s="106">
        <v>3593.9966942148753</v>
      </c>
      <c r="F99" s="106">
        <v>0</v>
      </c>
      <c r="G99" s="106">
        <v>0</v>
      </c>
      <c r="H99" s="106">
        <v>0.86567164179104472</v>
      </c>
      <c r="I99" s="106">
        <v>4745.2656716417905</v>
      </c>
      <c r="J99" s="106">
        <v>0.25449871465295631</v>
      </c>
      <c r="K99" s="106">
        <v>1395.0601542416453</v>
      </c>
      <c r="L99" s="106">
        <v>0.17696867061812022</v>
      </c>
      <c r="M99" s="106">
        <v>970.07146486028773</v>
      </c>
      <c r="N99" s="106">
        <v>0.18144329896907216</v>
      </c>
      <c r="O99" s="106">
        <v>994.59958762886583</v>
      </c>
      <c r="P99" s="106">
        <v>0.24854227405247814</v>
      </c>
      <c r="Q99" s="106">
        <v>1362.409329446064</v>
      </c>
      <c r="R99" s="106">
        <v>0.26960784313725489</v>
      </c>
      <c r="S99" s="106">
        <v>1477.8823529411764</v>
      </c>
      <c r="T99" s="106">
        <v>0.30320512820512818</v>
      </c>
      <c r="U99" s="106">
        <v>1662.0492307692305</v>
      </c>
      <c r="V99" s="106">
        <v>0.28711256117455142</v>
      </c>
      <c r="W99" s="106">
        <v>1573.8362153344208</v>
      </c>
      <c r="X99" s="106">
        <v>0</v>
      </c>
      <c r="Y99" s="106">
        <v>0</v>
      </c>
      <c r="Z99" s="106">
        <v>0.50555967383246858</v>
      </c>
      <c r="AA99" s="106">
        <v>2771.2759080800597</v>
      </c>
      <c r="AB99" s="106">
        <v>0</v>
      </c>
      <c r="AC99" s="106">
        <v>0</v>
      </c>
      <c r="AD99" s="106">
        <v>0.16417910447761194</v>
      </c>
      <c r="AE99" s="106">
        <v>899.96417910447758</v>
      </c>
      <c r="AF99" s="106">
        <v>0.14593698175787728</v>
      </c>
      <c r="AG99" s="106">
        <v>799.96815920398001</v>
      </c>
      <c r="AH99" s="106">
        <v>0.14694656488549618</v>
      </c>
      <c r="AI99" s="106">
        <v>805.50229007633573</v>
      </c>
      <c r="AJ99" s="106">
        <v>0.20701454234388364</v>
      </c>
      <c r="AK99" s="106">
        <v>1134.7709153122325</v>
      </c>
      <c r="AL99" s="106">
        <v>0.57170356111645815</v>
      </c>
      <c r="AM99" s="106">
        <v>3133.8502406159769</v>
      </c>
      <c r="AN99" s="106">
        <v>0.17658168083097264</v>
      </c>
      <c r="AO99" s="106">
        <v>967.95014164305951</v>
      </c>
      <c r="AP99" s="106">
        <v>0</v>
      </c>
      <c r="AQ99" s="106">
        <v>0</v>
      </c>
      <c r="AR99" s="106">
        <v>0</v>
      </c>
      <c r="AS99" s="106">
        <v>0</v>
      </c>
      <c r="AT99" s="106">
        <v>0.40166559897501597</v>
      </c>
      <c r="AU99" s="106">
        <v>2201.7701473414472</v>
      </c>
      <c r="AV99" s="106">
        <v>0</v>
      </c>
      <c r="AW99" s="106">
        <v>0</v>
      </c>
      <c r="AX99" s="106">
        <v>0.17724609375</v>
      </c>
      <c r="AY99" s="106">
        <v>971.59218749999991</v>
      </c>
      <c r="AZ99" s="106">
        <v>0.4631578947368421</v>
      </c>
      <c r="BA99" s="106">
        <v>2538.8463157894735</v>
      </c>
      <c r="BB99" s="106">
        <v>0.23529411764705882</v>
      </c>
      <c r="BC99" s="106">
        <v>1289.7882352941176</v>
      </c>
      <c r="BD99" s="106">
        <v>0.1751592356687898</v>
      </c>
      <c r="BE99" s="106">
        <v>960.15286624203804</v>
      </c>
      <c r="BF99" s="106">
        <v>0.2558139534883721</v>
      </c>
      <c r="BG99" s="106">
        <v>1402.2697674418605</v>
      </c>
      <c r="BH99" s="106">
        <v>0.14936954413191078</v>
      </c>
      <c r="BI99" s="106">
        <v>818.78409311348207</v>
      </c>
      <c r="BJ99" s="106">
        <v>0.14680648236415633</v>
      </c>
      <c r="BK99" s="106">
        <v>804.73441372735931</v>
      </c>
      <c r="BL99" s="106">
        <v>0</v>
      </c>
      <c r="BM99" s="106">
        <v>0</v>
      </c>
      <c r="BN99" s="106">
        <v>0.25963808025177026</v>
      </c>
      <c r="BO99" s="106">
        <v>1423.2321007081036</v>
      </c>
      <c r="BP99" s="106">
        <v>0.25407608695652173</v>
      </c>
      <c r="BQ99" s="106">
        <v>1392.7434782608693</v>
      </c>
      <c r="BR99" s="106">
        <v>0</v>
      </c>
      <c r="BS99" s="106">
        <v>0</v>
      </c>
      <c r="BT99" s="106">
        <v>0.68826815642458106</v>
      </c>
      <c r="BU99" s="106">
        <v>3772.8107262569833</v>
      </c>
      <c r="BV99" s="106">
        <v>0</v>
      </c>
      <c r="BW99" s="106">
        <v>0</v>
      </c>
      <c r="BX99" s="106">
        <v>0.44342291371994341</v>
      </c>
      <c r="BY99" s="106">
        <v>2430.6670438472415</v>
      </c>
      <c r="BZ99" s="106">
        <v>0.38921651221566972</v>
      </c>
      <c r="CA99" s="106">
        <v>2133.5292333614148</v>
      </c>
      <c r="CB99" s="106">
        <v>0</v>
      </c>
      <c r="CC99" s="106">
        <v>0</v>
      </c>
      <c r="CD99" s="106">
        <v>0.38582089552238807</v>
      </c>
      <c r="CE99" s="106">
        <v>2114.9158208955223</v>
      </c>
      <c r="CF99" s="106">
        <v>0.3728813559322034</v>
      </c>
      <c r="CG99" s="106">
        <v>2043.9864406779659</v>
      </c>
      <c r="CH99" s="106">
        <v>0</v>
      </c>
      <c r="CI99" s="106">
        <v>0</v>
      </c>
      <c r="CJ99" s="106">
        <v>0.14259259259259258</v>
      </c>
      <c r="CK99" s="106">
        <v>781.63555555555536</v>
      </c>
      <c r="CL99" s="106">
        <v>0</v>
      </c>
      <c r="CM99" s="106">
        <v>0</v>
      </c>
      <c r="CN99" s="106">
        <v>0.38766519823788548</v>
      </c>
      <c r="CO99" s="106">
        <v>2125.0255506607928</v>
      </c>
      <c r="CP99" s="106">
        <v>0.51832460732984298</v>
      </c>
      <c r="CQ99" s="106">
        <v>2841.2481675392669</v>
      </c>
      <c r="CR99" s="106">
        <v>0.38874345549738221</v>
      </c>
      <c r="CS99" s="106">
        <v>2130.9361256544503</v>
      </c>
      <c r="CT99" s="106">
        <v>0.32899869960988293</v>
      </c>
      <c r="CU99" s="106">
        <v>1803.439271781534</v>
      </c>
    </row>
    <row r="100" spans="2:99" x14ac:dyDescent="0.2">
      <c r="C100" s="105" t="s">
        <v>266</v>
      </c>
      <c r="D100" s="106">
        <v>0.90633608815426991</v>
      </c>
      <c r="E100" s="106">
        <v>1470.4396694214875</v>
      </c>
      <c r="F100" s="106">
        <v>0</v>
      </c>
      <c r="G100" s="106">
        <v>0</v>
      </c>
      <c r="H100" s="106">
        <v>1.4029850746268657</v>
      </c>
      <c r="I100" s="106">
        <v>2276.2029850746267</v>
      </c>
      <c r="J100" s="106">
        <v>0.39588688946015427</v>
      </c>
      <c r="K100" s="106">
        <v>642.28688946015427</v>
      </c>
      <c r="L100" s="106">
        <v>0.27011007620660454</v>
      </c>
      <c r="M100" s="106">
        <v>438.22658763759517</v>
      </c>
      <c r="N100" s="106">
        <v>0.29484536082474228</v>
      </c>
      <c r="O100" s="106">
        <v>478.35711340206183</v>
      </c>
      <c r="P100" s="106">
        <v>0.37682215743440228</v>
      </c>
      <c r="Q100" s="106">
        <v>611.35626822157417</v>
      </c>
      <c r="R100" s="106">
        <v>0.40826330532212884</v>
      </c>
      <c r="S100" s="106">
        <v>662.36638655462173</v>
      </c>
      <c r="T100" s="106">
        <v>0.57820512820512826</v>
      </c>
      <c r="U100" s="106">
        <v>938.08</v>
      </c>
      <c r="V100" s="106">
        <v>0.56525285481239806</v>
      </c>
      <c r="W100" s="106">
        <v>917.06623164763459</v>
      </c>
      <c r="X100" s="106">
        <v>0</v>
      </c>
      <c r="Y100" s="106">
        <v>0</v>
      </c>
      <c r="Z100" s="106">
        <v>0.78280207561156412</v>
      </c>
      <c r="AA100" s="106">
        <v>1270.0180874722016</v>
      </c>
      <c r="AB100" s="106">
        <v>0</v>
      </c>
      <c r="AC100" s="106">
        <v>0</v>
      </c>
      <c r="AD100" s="106">
        <v>0.18763326226012794</v>
      </c>
      <c r="AE100" s="106">
        <v>304.41620469083153</v>
      </c>
      <c r="AF100" s="106">
        <v>0.1824212271973466</v>
      </c>
      <c r="AG100" s="106">
        <v>295.9601990049751</v>
      </c>
      <c r="AH100" s="106">
        <v>0.20992366412213742</v>
      </c>
      <c r="AI100" s="106">
        <v>340.58015267175574</v>
      </c>
      <c r="AJ100" s="106">
        <v>0.25406330196749355</v>
      </c>
      <c r="AK100" s="106">
        <v>412.1923011120615</v>
      </c>
      <c r="AL100" s="106">
        <v>0.8893166506256015</v>
      </c>
      <c r="AM100" s="106">
        <v>1442.8273339749758</v>
      </c>
      <c r="AN100" s="106">
        <v>0.24929178470254959</v>
      </c>
      <c r="AO100" s="106">
        <v>404.45099150141641</v>
      </c>
      <c r="AP100" s="106">
        <v>0</v>
      </c>
      <c r="AQ100" s="106">
        <v>0</v>
      </c>
      <c r="AR100" s="106">
        <v>0</v>
      </c>
      <c r="AS100" s="106">
        <v>0</v>
      </c>
      <c r="AT100" s="106">
        <v>0.5707879564381807</v>
      </c>
      <c r="AU100" s="106">
        <v>926.04638052530424</v>
      </c>
      <c r="AV100" s="106">
        <v>0</v>
      </c>
      <c r="AW100" s="106">
        <v>0</v>
      </c>
      <c r="AX100" s="106">
        <v>0.2685546875</v>
      </c>
      <c r="AY100" s="106">
        <v>435.70312499999994</v>
      </c>
      <c r="AZ100" s="106">
        <v>0.65614035087719291</v>
      </c>
      <c r="BA100" s="106">
        <v>1064.5221052631578</v>
      </c>
      <c r="BB100" s="106">
        <v>0.35294117647058826</v>
      </c>
      <c r="BC100" s="106">
        <v>572.61176470588236</v>
      </c>
      <c r="BD100" s="106">
        <v>0.24522292993630571</v>
      </c>
      <c r="BE100" s="106">
        <v>397.84968152866236</v>
      </c>
      <c r="BF100" s="106">
        <v>0.32890365448504988</v>
      </c>
      <c r="BG100" s="106">
        <v>533.61328903654487</v>
      </c>
      <c r="BH100" s="106">
        <v>0.21338506304558683</v>
      </c>
      <c r="BI100" s="106">
        <v>346.19592628516006</v>
      </c>
      <c r="BJ100" s="106">
        <v>0.1782650142993327</v>
      </c>
      <c r="BK100" s="106">
        <v>289.21715919923736</v>
      </c>
      <c r="BL100" s="106">
        <v>0</v>
      </c>
      <c r="BM100" s="106">
        <v>0</v>
      </c>
      <c r="BN100" s="106">
        <v>0.32887490165224237</v>
      </c>
      <c r="BO100" s="106">
        <v>533.56664044059801</v>
      </c>
      <c r="BP100" s="106">
        <v>0.43342391304347827</v>
      </c>
      <c r="BQ100" s="106">
        <v>703.18695652173903</v>
      </c>
      <c r="BR100" s="106">
        <v>0</v>
      </c>
      <c r="BS100" s="106">
        <v>0</v>
      </c>
      <c r="BT100" s="106">
        <v>1.0078212290502793</v>
      </c>
      <c r="BU100" s="106">
        <v>1635.0891620111729</v>
      </c>
      <c r="BV100" s="106">
        <v>0</v>
      </c>
      <c r="BW100" s="106">
        <v>0</v>
      </c>
      <c r="BX100" s="106">
        <v>0.74681753889674685</v>
      </c>
      <c r="BY100" s="106">
        <v>1211.636775106082</v>
      </c>
      <c r="BZ100" s="106">
        <v>0.61162594776748103</v>
      </c>
      <c r="CA100" s="106">
        <v>992.30193765796116</v>
      </c>
      <c r="CB100" s="106">
        <v>0</v>
      </c>
      <c r="CC100" s="106">
        <v>0</v>
      </c>
      <c r="CD100" s="106">
        <v>0.64029850746268657</v>
      </c>
      <c r="CE100" s="106">
        <v>1038.8202985074627</v>
      </c>
      <c r="CF100" s="106">
        <v>0.43502824858757067</v>
      </c>
      <c r="CG100" s="106">
        <v>705.78983050847455</v>
      </c>
      <c r="CH100" s="106">
        <v>0</v>
      </c>
      <c r="CI100" s="106">
        <v>0</v>
      </c>
      <c r="CJ100" s="106">
        <v>0.20370370370370369</v>
      </c>
      <c r="CK100" s="106">
        <v>330.48888888888882</v>
      </c>
      <c r="CL100" s="106">
        <v>0</v>
      </c>
      <c r="CM100" s="106">
        <v>0</v>
      </c>
      <c r="CN100" s="106">
        <v>0.54919236417033779</v>
      </c>
      <c r="CO100" s="106">
        <v>891.00969162995591</v>
      </c>
      <c r="CP100" s="106">
        <v>0.83507853403141352</v>
      </c>
      <c r="CQ100" s="106">
        <v>1354.8314136125653</v>
      </c>
      <c r="CR100" s="106">
        <v>0.56151832460732987</v>
      </c>
      <c r="CS100" s="106">
        <v>911.00732984293188</v>
      </c>
      <c r="CT100" s="106">
        <v>0.55786736020806238</v>
      </c>
      <c r="CU100" s="106">
        <v>905.08400520156033</v>
      </c>
    </row>
    <row r="101" spans="2:99" x14ac:dyDescent="0.2">
      <c r="C101" s="105" t="s">
        <v>267</v>
      </c>
      <c r="D101" s="106">
        <v>1.0606060606060606</v>
      </c>
      <c r="E101" s="106">
        <v>1262.5454545454543</v>
      </c>
      <c r="F101" s="106">
        <v>0</v>
      </c>
      <c r="G101" s="106">
        <v>0</v>
      </c>
      <c r="H101" s="106">
        <v>1.4925373134328359</v>
      </c>
      <c r="I101" s="106">
        <v>1776.7164179104477</v>
      </c>
      <c r="J101" s="106">
        <v>0.4241645244215938</v>
      </c>
      <c r="K101" s="106">
        <v>504.92544987146522</v>
      </c>
      <c r="L101" s="106">
        <v>0.3073666384419983</v>
      </c>
      <c r="M101" s="106">
        <v>365.88924640135474</v>
      </c>
      <c r="N101" s="106">
        <v>0.28350515463917525</v>
      </c>
      <c r="O101" s="106">
        <v>337.48453608247416</v>
      </c>
      <c r="P101" s="106">
        <v>0.36078717201166177</v>
      </c>
      <c r="Q101" s="106">
        <v>429.48104956268213</v>
      </c>
      <c r="R101" s="106">
        <v>0.39285714285714285</v>
      </c>
      <c r="S101" s="106">
        <v>467.65714285714279</v>
      </c>
      <c r="T101" s="106">
        <v>0.57115384615384623</v>
      </c>
      <c r="U101" s="106">
        <v>679.90153846153851</v>
      </c>
      <c r="V101" s="106">
        <v>0.54730831973898852</v>
      </c>
      <c r="W101" s="106">
        <v>651.5158238172919</v>
      </c>
      <c r="X101" s="106">
        <v>0</v>
      </c>
      <c r="Y101" s="106">
        <v>0</v>
      </c>
      <c r="Z101" s="106">
        <v>0.88065233506300955</v>
      </c>
      <c r="AA101" s="106">
        <v>1048.3285396590065</v>
      </c>
      <c r="AB101" s="106">
        <v>0</v>
      </c>
      <c r="AC101" s="106">
        <v>0</v>
      </c>
      <c r="AD101" s="106">
        <v>0.21108742004264394</v>
      </c>
      <c r="AE101" s="106">
        <v>251.27846481876333</v>
      </c>
      <c r="AF101" s="106">
        <v>0.20066334991708126</v>
      </c>
      <c r="AG101" s="106">
        <v>238.8696517412935</v>
      </c>
      <c r="AH101" s="106">
        <v>0.20992366412213742</v>
      </c>
      <c r="AI101" s="106">
        <v>249.89312977099235</v>
      </c>
      <c r="AJ101" s="106">
        <v>0.2917023096663815</v>
      </c>
      <c r="AK101" s="106">
        <v>347.2424294268605</v>
      </c>
      <c r="AL101" s="106">
        <v>0.84696823869104909</v>
      </c>
      <c r="AM101" s="106">
        <v>1008.2309913378248</v>
      </c>
      <c r="AN101" s="106">
        <v>0.28045325779036828</v>
      </c>
      <c r="AO101" s="106">
        <v>333.85155807365436</v>
      </c>
      <c r="AP101" s="106">
        <v>0</v>
      </c>
      <c r="AQ101" s="106">
        <v>0</v>
      </c>
      <c r="AR101" s="106">
        <v>0</v>
      </c>
      <c r="AS101" s="106">
        <v>0</v>
      </c>
      <c r="AT101" s="106">
        <v>0.65534913516976301</v>
      </c>
      <c r="AU101" s="106">
        <v>780.12761050608583</v>
      </c>
      <c r="AV101" s="106">
        <v>0</v>
      </c>
      <c r="AW101" s="106">
        <v>0</v>
      </c>
      <c r="AX101" s="106">
        <v>0.279296875</v>
      </c>
      <c r="AY101" s="106">
        <v>332.47499999999997</v>
      </c>
      <c r="AZ101" s="106">
        <v>0.69473684210526321</v>
      </c>
      <c r="BA101" s="106">
        <v>827.01473684210521</v>
      </c>
      <c r="BB101" s="106">
        <v>0.37254901960784315</v>
      </c>
      <c r="BC101" s="106">
        <v>443.48235294117643</v>
      </c>
      <c r="BD101" s="106">
        <v>0.22770700636942673</v>
      </c>
      <c r="BE101" s="106">
        <v>271.06242038216556</v>
      </c>
      <c r="BF101" s="106">
        <v>0.32890365448504988</v>
      </c>
      <c r="BG101" s="106">
        <v>391.5269102990033</v>
      </c>
      <c r="BH101" s="106">
        <v>0.25606207565470418</v>
      </c>
      <c r="BI101" s="106">
        <v>304.8162948593598</v>
      </c>
      <c r="BJ101" s="106">
        <v>0.20972354623450906</v>
      </c>
      <c r="BK101" s="106">
        <v>249.65490943755955</v>
      </c>
      <c r="BL101" s="106">
        <v>0</v>
      </c>
      <c r="BM101" s="106">
        <v>0</v>
      </c>
      <c r="BN101" s="106">
        <v>0.36349331235247834</v>
      </c>
      <c r="BO101" s="106">
        <v>432.70243902439017</v>
      </c>
      <c r="BP101" s="106">
        <v>0.40353260869565222</v>
      </c>
      <c r="BQ101" s="106">
        <v>480.36521739130433</v>
      </c>
      <c r="BR101" s="106">
        <v>0</v>
      </c>
      <c r="BS101" s="106">
        <v>0</v>
      </c>
      <c r="BT101" s="106">
        <v>1.1553072625698324</v>
      </c>
      <c r="BU101" s="106">
        <v>1375.2777653631283</v>
      </c>
      <c r="BV101" s="106">
        <v>0</v>
      </c>
      <c r="BW101" s="106">
        <v>0</v>
      </c>
      <c r="BX101" s="106">
        <v>0.8401697312588402</v>
      </c>
      <c r="BY101" s="106">
        <v>1000.1380480905233</v>
      </c>
      <c r="BZ101" s="106">
        <v>0.75989890480202182</v>
      </c>
      <c r="CA101" s="106">
        <v>904.58365627632668</v>
      </c>
      <c r="CB101" s="106">
        <v>0</v>
      </c>
      <c r="CC101" s="106">
        <v>0</v>
      </c>
      <c r="CD101" s="106">
        <v>0.66492537313432831</v>
      </c>
      <c r="CE101" s="106">
        <v>791.52716417910437</v>
      </c>
      <c r="CF101" s="106">
        <v>0.43502824858757067</v>
      </c>
      <c r="CG101" s="106">
        <v>517.85762711864402</v>
      </c>
      <c r="CH101" s="106">
        <v>0</v>
      </c>
      <c r="CI101" s="106">
        <v>0</v>
      </c>
      <c r="CJ101" s="106">
        <v>0.18333333333333332</v>
      </c>
      <c r="CK101" s="106">
        <v>218.23999999999995</v>
      </c>
      <c r="CL101" s="106">
        <v>0</v>
      </c>
      <c r="CM101" s="106">
        <v>0</v>
      </c>
      <c r="CN101" s="106">
        <v>0.62995594713656389</v>
      </c>
      <c r="CO101" s="106">
        <v>749.89955947136559</v>
      </c>
      <c r="CP101" s="106">
        <v>0.97905759162303663</v>
      </c>
      <c r="CQ101" s="106">
        <v>1165.4701570680627</v>
      </c>
      <c r="CR101" s="106">
        <v>0.56151832460732987</v>
      </c>
      <c r="CS101" s="106">
        <v>668.43141361256539</v>
      </c>
      <c r="CT101" s="106">
        <v>0.50065019505851749</v>
      </c>
      <c r="CU101" s="106">
        <v>595.97399219765919</v>
      </c>
    </row>
    <row r="102" spans="2:99" x14ac:dyDescent="0.2">
      <c r="C102" s="105" t="s">
        <v>268</v>
      </c>
      <c r="D102" s="106">
        <v>0.92561983471074383</v>
      </c>
      <c r="E102" s="106">
        <v>1794.9619834710743</v>
      </c>
      <c r="F102" s="106">
        <v>0</v>
      </c>
      <c r="G102" s="106">
        <v>0</v>
      </c>
      <c r="H102" s="106">
        <v>1.164179104477612</v>
      </c>
      <c r="I102" s="106">
        <v>2257.5761194029851</v>
      </c>
      <c r="J102" s="106">
        <v>0.39588688946015427</v>
      </c>
      <c r="K102" s="106">
        <v>767.70385604113108</v>
      </c>
      <c r="L102" s="106">
        <v>0.26079593564775616</v>
      </c>
      <c r="M102" s="106">
        <v>505.7354784081287</v>
      </c>
      <c r="N102" s="106">
        <v>0.29484536082474228</v>
      </c>
      <c r="O102" s="106">
        <v>571.76412371134018</v>
      </c>
      <c r="P102" s="106">
        <v>0.35276967930029157</v>
      </c>
      <c r="Q102" s="106">
        <v>684.09096209912536</v>
      </c>
      <c r="R102" s="106">
        <v>0.35434173669467783</v>
      </c>
      <c r="S102" s="106">
        <v>687.13949579831922</v>
      </c>
      <c r="T102" s="106">
        <v>0.53589743589743588</v>
      </c>
      <c r="U102" s="106">
        <v>1039.2123076923076</v>
      </c>
      <c r="V102" s="106">
        <v>0.48450244698205547</v>
      </c>
      <c r="W102" s="106">
        <v>939.54714518760193</v>
      </c>
      <c r="X102" s="106">
        <v>0</v>
      </c>
      <c r="Y102" s="106">
        <v>0</v>
      </c>
      <c r="Z102" s="106">
        <v>0.7338769458858414</v>
      </c>
      <c r="AA102" s="106">
        <v>1423.1341734618236</v>
      </c>
      <c r="AB102" s="106">
        <v>0</v>
      </c>
      <c r="AC102" s="106">
        <v>0</v>
      </c>
      <c r="AD102" s="106">
        <v>0.21108742004264394</v>
      </c>
      <c r="AE102" s="106">
        <v>409.3407249466951</v>
      </c>
      <c r="AF102" s="106">
        <v>0.16417910447761194</v>
      </c>
      <c r="AG102" s="106">
        <v>318.37611940298507</v>
      </c>
      <c r="AH102" s="106">
        <v>0.16793893129770993</v>
      </c>
      <c r="AI102" s="106">
        <v>325.66717557251906</v>
      </c>
      <c r="AJ102" s="106">
        <v>0.2917023096663815</v>
      </c>
      <c r="AK102" s="106">
        <v>565.66911890504696</v>
      </c>
      <c r="AL102" s="106">
        <v>0.76227141482194416</v>
      </c>
      <c r="AM102" s="106">
        <v>1478.196727622714</v>
      </c>
      <c r="AN102" s="106">
        <v>0.25967894239848915</v>
      </c>
      <c r="AO102" s="106">
        <v>503.56940509915012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0.54964766175528501</v>
      </c>
      <c r="AU102" s="106">
        <v>1065.8767456758485</v>
      </c>
      <c r="AV102" s="106">
        <v>0</v>
      </c>
      <c r="AW102" s="106">
        <v>0</v>
      </c>
      <c r="AX102" s="106">
        <v>0.2470703125</v>
      </c>
      <c r="AY102" s="106">
        <v>479.11874999999998</v>
      </c>
      <c r="AZ102" s="106">
        <v>0.57894736842105265</v>
      </c>
      <c r="BA102" s="106">
        <v>1122.6947368421052</v>
      </c>
      <c r="BB102" s="106">
        <v>0.29411764705882354</v>
      </c>
      <c r="BC102" s="106">
        <v>570.35294117647061</v>
      </c>
      <c r="BD102" s="106">
        <v>0.24522292993630571</v>
      </c>
      <c r="BE102" s="106">
        <v>475.53630573248398</v>
      </c>
      <c r="BF102" s="106">
        <v>0.32890365448504988</v>
      </c>
      <c r="BG102" s="106">
        <v>637.8099667774087</v>
      </c>
      <c r="BH102" s="106">
        <v>0.21338506304558683</v>
      </c>
      <c r="BI102" s="106">
        <v>413.79631425800193</v>
      </c>
      <c r="BJ102" s="106">
        <v>0.1992373689227836</v>
      </c>
      <c r="BK102" s="106">
        <v>386.36110581506193</v>
      </c>
      <c r="BL102" s="106">
        <v>0</v>
      </c>
      <c r="BM102" s="106">
        <v>0</v>
      </c>
      <c r="BN102" s="106">
        <v>0.34618410700236035</v>
      </c>
      <c r="BO102" s="106">
        <v>671.32022029897712</v>
      </c>
      <c r="BP102" s="106">
        <v>0.38858695652173908</v>
      </c>
      <c r="BQ102" s="106">
        <v>753.54782608695632</v>
      </c>
      <c r="BR102" s="106">
        <v>0</v>
      </c>
      <c r="BS102" s="106">
        <v>0</v>
      </c>
      <c r="BT102" s="106">
        <v>1.0815642458100558</v>
      </c>
      <c r="BU102" s="106">
        <v>2097.3693854748599</v>
      </c>
      <c r="BV102" s="106">
        <v>0</v>
      </c>
      <c r="BW102" s="106">
        <v>0</v>
      </c>
      <c r="BX102" s="106">
        <v>0.7857142857142857</v>
      </c>
      <c r="BY102" s="106">
        <v>1523.6571428571426</v>
      </c>
      <c r="BZ102" s="106">
        <v>0.5745577085088458</v>
      </c>
      <c r="CA102" s="106">
        <v>1114.1823083403538</v>
      </c>
      <c r="CB102" s="106">
        <v>0</v>
      </c>
      <c r="CC102" s="106">
        <v>0</v>
      </c>
      <c r="CD102" s="106">
        <v>0.56641791044776113</v>
      </c>
      <c r="CE102" s="106">
        <v>1098.3976119402982</v>
      </c>
      <c r="CF102" s="106">
        <v>0.403954802259887</v>
      </c>
      <c r="CG102" s="106">
        <v>783.34915254237285</v>
      </c>
      <c r="CH102" s="106">
        <v>0</v>
      </c>
      <c r="CI102" s="106">
        <v>0</v>
      </c>
      <c r="CJ102" s="106">
        <v>0.16296296296296298</v>
      </c>
      <c r="CK102" s="106">
        <v>316.01777777777778</v>
      </c>
      <c r="CL102" s="106">
        <v>0</v>
      </c>
      <c r="CM102" s="106">
        <v>0</v>
      </c>
      <c r="CN102" s="106">
        <v>0.58149779735682816</v>
      </c>
      <c r="CO102" s="106">
        <v>1127.6405286343611</v>
      </c>
      <c r="CP102" s="106">
        <v>0.89267015706806285</v>
      </c>
      <c r="CQ102" s="106">
        <v>1731.0659685863873</v>
      </c>
      <c r="CR102" s="106">
        <v>0.54712041884816753</v>
      </c>
      <c r="CS102" s="106">
        <v>1060.9759162303665</v>
      </c>
      <c r="CT102" s="106">
        <v>0.54356306892067618</v>
      </c>
      <c r="CU102" s="106">
        <v>1054.0775032509753</v>
      </c>
    </row>
    <row r="103" spans="2:99" x14ac:dyDescent="0.2">
      <c r="C103" s="105" t="s">
        <v>269</v>
      </c>
      <c r="D103" s="106">
        <v>1.002754820936639</v>
      </c>
      <c r="E103" s="106">
        <v>2033.586776859504</v>
      </c>
      <c r="F103" s="106">
        <v>0</v>
      </c>
      <c r="G103" s="106">
        <v>0</v>
      </c>
      <c r="H103" s="106">
        <v>1.3731343283582089</v>
      </c>
      <c r="I103" s="106">
        <v>2784.7164179104475</v>
      </c>
      <c r="J103" s="106">
        <v>0.39588688946015427</v>
      </c>
      <c r="K103" s="106">
        <v>802.85861182519284</v>
      </c>
      <c r="L103" s="106">
        <v>0.26079593564775616</v>
      </c>
      <c r="M103" s="106">
        <v>528.89415749364946</v>
      </c>
      <c r="N103" s="106">
        <v>0.24948453608247423</v>
      </c>
      <c r="O103" s="106">
        <v>505.95463917525774</v>
      </c>
      <c r="P103" s="106">
        <v>0.35276967930029157</v>
      </c>
      <c r="Q103" s="106">
        <v>715.41690962099131</v>
      </c>
      <c r="R103" s="106">
        <v>0.39285714285714285</v>
      </c>
      <c r="S103" s="106">
        <v>796.71428571428567</v>
      </c>
      <c r="T103" s="106">
        <v>0.47948717948717945</v>
      </c>
      <c r="U103" s="106">
        <v>972.4</v>
      </c>
      <c r="V103" s="106">
        <v>0.48450244698205547</v>
      </c>
      <c r="W103" s="106">
        <v>982.57096247960851</v>
      </c>
      <c r="X103" s="106">
        <v>0</v>
      </c>
      <c r="Y103" s="106">
        <v>0</v>
      </c>
      <c r="Z103" s="106">
        <v>0.78280207561156412</v>
      </c>
      <c r="AA103" s="106">
        <v>1587.5226093402521</v>
      </c>
      <c r="AB103" s="106">
        <v>0</v>
      </c>
      <c r="AC103" s="106">
        <v>0</v>
      </c>
      <c r="AD103" s="106">
        <v>0.18763326226012794</v>
      </c>
      <c r="AE103" s="106">
        <v>380.52025586353949</v>
      </c>
      <c r="AF103" s="106">
        <v>0.16417910447761194</v>
      </c>
      <c r="AG103" s="106">
        <v>332.95522388059703</v>
      </c>
      <c r="AH103" s="106">
        <v>0.18893129770992367</v>
      </c>
      <c r="AI103" s="106">
        <v>383.15267175572524</v>
      </c>
      <c r="AJ103" s="106">
        <v>0.2917023096663815</v>
      </c>
      <c r="AK103" s="106">
        <v>591.57228400342171</v>
      </c>
      <c r="AL103" s="106">
        <v>0.8893166506256015</v>
      </c>
      <c r="AM103" s="106">
        <v>1803.5341674687199</v>
      </c>
      <c r="AN103" s="106">
        <v>0.22851746931067043</v>
      </c>
      <c r="AO103" s="106">
        <v>463.43342776203963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0.5707879564381807</v>
      </c>
      <c r="AU103" s="106">
        <v>1157.5579756566306</v>
      </c>
      <c r="AV103" s="106">
        <v>0</v>
      </c>
      <c r="AW103" s="106">
        <v>0</v>
      </c>
      <c r="AX103" s="106">
        <v>0.27392578125</v>
      </c>
      <c r="AY103" s="106">
        <v>555.521484375</v>
      </c>
      <c r="AZ103" s="106">
        <v>0.65614035087719291</v>
      </c>
      <c r="BA103" s="106">
        <v>1330.6526315789472</v>
      </c>
      <c r="BB103" s="106">
        <v>0.29411764705882354</v>
      </c>
      <c r="BC103" s="106">
        <v>596.47058823529414</v>
      </c>
      <c r="BD103" s="106">
        <v>0.22770700636942673</v>
      </c>
      <c r="BE103" s="106">
        <v>461.78980891719743</v>
      </c>
      <c r="BF103" s="106">
        <v>0.27408637873754155</v>
      </c>
      <c r="BG103" s="106">
        <v>555.84717607973425</v>
      </c>
      <c r="BH103" s="106">
        <v>0.24539282250242483</v>
      </c>
      <c r="BI103" s="106">
        <v>497.65664403491758</v>
      </c>
      <c r="BJ103" s="106">
        <v>0.16777883698760723</v>
      </c>
      <c r="BK103" s="106">
        <v>340.25548141086745</v>
      </c>
      <c r="BL103" s="106">
        <v>0</v>
      </c>
      <c r="BM103" s="106">
        <v>0</v>
      </c>
      <c r="BN103" s="106">
        <v>0.32887490165224237</v>
      </c>
      <c r="BO103" s="106">
        <v>666.95830055074748</v>
      </c>
      <c r="BP103" s="106">
        <v>0.38858695652173908</v>
      </c>
      <c r="BQ103" s="106">
        <v>788.05434782608688</v>
      </c>
      <c r="BR103" s="106">
        <v>0</v>
      </c>
      <c r="BS103" s="106">
        <v>0</v>
      </c>
      <c r="BT103" s="106">
        <v>1.0569832402234636</v>
      </c>
      <c r="BU103" s="106">
        <v>2143.5620111731841</v>
      </c>
      <c r="BV103" s="106">
        <v>0</v>
      </c>
      <c r="BW103" s="106">
        <v>0</v>
      </c>
      <c r="BX103" s="106">
        <v>0.75459688826025451</v>
      </c>
      <c r="BY103" s="106">
        <v>1530.3224893917961</v>
      </c>
      <c r="BZ103" s="106">
        <v>0.63016006739679864</v>
      </c>
      <c r="CA103" s="106">
        <v>1277.9646166807076</v>
      </c>
      <c r="CB103" s="106">
        <v>0</v>
      </c>
      <c r="CC103" s="106">
        <v>0</v>
      </c>
      <c r="CD103" s="106">
        <v>0.51716417910447765</v>
      </c>
      <c r="CE103" s="106">
        <v>1048.8089552238807</v>
      </c>
      <c r="CF103" s="106">
        <v>0.43502824858757067</v>
      </c>
      <c r="CG103" s="106">
        <v>882.2372881355933</v>
      </c>
      <c r="CH103" s="106">
        <v>0</v>
      </c>
      <c r="CI103" s="106">
        <v>0</v>
      </c>
      <c r="CJ103" s="106">
        <v>0.16296296296296298</v>
      </c>
      <c r="CK103" s="106">
        <v>330.48888888888894</v>
      </c>
      <c r="CL103" s="106">
        <v>0</v>
      </c>
      <c r="CM103" s="106">
        <v>0</v>
      </c>
      <c r="CN103" s="106">
        <v>0.5976505139500734</v>
      </c>
      <c r="CO103" s="106">
        <v>1212.0352422907488</v>
      </c>
      <c r="CP103" s="106">
        <v>0.89267015706806285</v>
      </c>
      <c r="CQ103" s="106">
        <v>1810.3350785340315</v>
      </c>
      <c r="CR103" s="106">
        <v>0.56151832460732987</v>
      </c>
      <c r="CS103" s="106">
        <v>1138.7591623036649</v>
      </c>
      <c r="CT103" s="106">
        <v>0.51495448634590379</v>
      </c>
      <c r="CU103" s="106">
        <v>1044.3276983094929</v>
      </c>
    </row>
    <row r="104" spans="2:99" x14ac:dyDescent="0.2">
      <c r="C104" s="105" t="s">
        <v>270</v>
      </c>
      <c r="D104" s="106">
        <v>0.88705234159779611</v>
      </c>
      <c r="E104" s="106">
        <v>1838.3272727272727</v>
      </c>
      <c r="F104" s="106">
        <v>0</v>
      </c>
      <c r="G104" s="106">
        <v>0</v>
      </c>
      <c r="H104" s="106">
        <v>1.3731343283582089</v>
      </c>
      <c r="I104" s="106">
        <v>2845.6835820895521</v>
      </c>
      <c r="J104" s="106">
        <v>0.36760925449871462</v>
      </c>
      <c r="K104" s="106">
        <v>761.83341902313623</v>
      </c>
      <c r="L104" s="106">
        <v>0.27011007620660454</v>
      </c>
      <c r="M104" s="106">
        <v>559.77612193056723</v>
      </c>
      <c r="N104" s="106">
        <v>0.28350515463917525</v>
      </c>
      <c r="O104" s="106">
        <v>587.53608247422676</v>
      </c>
      <c r="P104" s="106">
        <v>0.36078717201166177</v>
      </c>
      <c r="Q104" s="106">
        <v>747.69533527696785</v>
      </c>
      <c r="R104" s="106">
        <v>0.38515406162464988</v>
      </c>
      <c r="S104" s="106">
        <v>798.19327731092449</v>
      </c>
      <c r="T104" s="106">
        <v>0.47948717948717945</v>
      </c>
      <c r="U104" s="106">
        <v>993.68923076923079</v>
      </c>
      <c r="V104" s="106">
        <v>0.5293637846655791</v>
      </c>
      <c r="W104" s="106">
        <v>1097.0535073409462</v>
      </c>
      <c r="X104" s="106">
        <v>0</v>
      </c>
      <c r="Y104" s="106">
        <v>0</v>
      </c>
      <c r="Z104" s="106">
        <v>0.71756856931060053</v>
      </c>
      <c r="AA104" s="106">
        <v>1487.0891030392886</v>
      </c>
      <c r="AB104" s="106">
        <v>0</v>
      </c>
      <c r="AC104" s="106">
        <v>0</v>
      </c>
      <c r="AD104" s="106">
        <v>0.18763326226012794</v>
      </c>
      <c r="AE104" s="106">
        <v>388.85117270788919</v>
      </c>
      <c r="AF104" s="106">
        <v>0.16417910447761194</v>
      </c>
      <c r="AG104" s="106">
        <v>340.24477611940301</v>
      </c>
      <c r="AH104" s="106">
        <v>0.16793893129770993</v>
      </c>
      <c r="AI104" s="106">
        <v>348.03664122137405</v>
      </c>
      <c r="AJ104" s="106">
        <v>0.2917023096663815</v>
      </c>
      <c r="AK104" s="106">
        <v>604.52386655260909</v>
      </c>
      <c r="AL104" s="106">
        <v>0.82579403272377294</v>
      </c>
      <c r="AM104" s="106">
        <v>1711.3755534167472</v>
      </c>
      <c r="AN104" s="106">
        <v>0.22851746931067043</v>
      </c>
      <c r="AO104" s="106">
        <v>473.57960339943344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0.59192825112107628</v>
      </c>
      <c r="AU104" s="106">
        <v>1226.7121076233186</v>
      </c>
      <c r="AV104" s="106">
        <v>0</v>
      </c>
      <c r="AW104" s="106">
        <v>0</v>
      </c>
      <c r="AX104" s="106">
        <v>0.2685546875</v>
      </c>
      <c r="AY104" s="106">
        <v>556.552734375</v>
      </c>
      <c r="AZ104" s="106">
        <v>0.61754385964912284</v>
      </c>
      <c r="BA104" s="106">
        <v>1279.7978947368422</v>
      </c>
      <c r="BB104" s="106">
        <v>0.33333333333333337</v>
      </c>
      <c r="BC104" s="106">
        <v>690.80000000000007</v>
      </c>
      <c r="BD104" s="106">
        <v>0.24522292993630571</v>
      </c>
      <c r="BE104" s="106">
        <v>508.2</v>
      </c>
      <c r="BF104" s="106">
        <v>0.32890365448504988</v>
      </c>
      <c r="BG104" s="106">
        <v>681.61993355481741</v>
      </c>
      <c r="BH104" s="106">
        <v>0.21338506304558683</v>
      </c>
      <c r="BI104" s="106">
        <v>442.21920465567416</v>
      </c>
      <c r="BJ104" s="106">
        <v>0.1782650142993327</v>
      </c>
      <c r="BK104" s="106">
        <v>369.43641563393709</v>
      </c>
      <c r="BL104" s="106">
        <v>0</v>
      </c>
      <c r="BM104" s="106">
        <v>0</v>
      </c>
      <c r="BN104" s="106">
        <v>0.34618410700236035</v>
      </c>
      <c r="BO104" s="106">
        <v>717.43194335169164</v>
      </c>
      <c r="BP104" s="106">
        <v>0.38858695652173908</v>
      </c>
      <c r="BQ104" s="106">
        <v>805.30760869565211</v>
      </c>
      <c r="BR104" s="106">
        <v>0</v>
      </c>
      <c r="BS104" s="106">
        <v>0</v>
      </c>
      <c r="BT104" s="106">
        <v>0.95865921787709507</v>
      </c>
      <c r="BU104" s="106">
        <v>1986.7253631284918</v>
      </c>
      <c r="BV104" s="106">
        <v>0</v>
      </c>
      <c r="BW104" s="106">
        <v>0</v>
      </c>
      <c r="BX104" s="106">
        <v>0.69236209335219234</v>
      </c>
      <c r="BY104" s="106">
        <v>1434.8512022630835</v>
      </c>
      <c r="BZ104" s="106">
        <v>0.58382476832350461</v>
      </c>
      <c r="CA104" s="106">
        <v>1209.9184498736311</v>
      </c>
      <c r="CB104" s="106">
        <v>0</v>
      </c>
      <c r="CC104" s="106">
        <v>0</v>
      </c>
      <c r="CD104" s="106">
        <v>0.55820895522388059</v>
      </c>
      <c r="CE104" s="106">
        <v>1156.8322388059703</v>
      </c>
      <c r="CF104" s="106">
        <v>0.46610169491525422</v>
      </c>
      <c r="CG104" s="106">
        <v>965.94915254237287</v>
      </c>
      <c r="CH104" s="106">
        <v>0</v>
      </c>
      <c r="CI104" s="106">
        <v>0</v>
      </c>
      <c r="CJ104" s="106">
        <v>0.18333333333333332</v>
      </c>
      <c r="CK104" s="106">
        <v>379.94</v>
      </c>
      <c r="CL104" s="106">
        <v>0</v>
      </c>
      <c r="CM104" s="106">
        <v>0</v>
      </c>
      <c r="CN104" s="106">
        <v>0.61380323054331865</v>
      </c>
      <c r="CO104" s="106">
        <v>1272.0458149779736</v>
      </c>
      <c r="CP104" s="106">
        <v>0.74869109947643986</v>
      </c>
      <c r="CQ104" s="106">
        <v>1551.5874345549739</v>
      </c>
      <c r="CR104" s="106">
        <v>0.50392670157068065</v>
      </c>
      <c r="CS104" s="106">
        <v>1044.3376963350786</v>
      </c>
      <c r="CT104" s="106">
        <v>0.4577373211963589</v>
      </c>
      <c r="CU104" s="106">
        <v>948.61482444733429</v>
      </c>
    </row>
    <row r="105" spans="2:99" x14ac:dyDescent="0.2">
      <c r="C105" s="105" t="s">
        <v>271</v>
      </c>
      <c r="D105" s="106">
        <v>0.96418732782369143</v>
      </c>
      <c r="E105" s="106">
        <v>1926.4462809917354</v>
      </c>
      <c r="F105" s="106">
        <v>0</v>
      </c>
      <c r="G105" s="106">
        <v>0</v>
      </c>
      <c r="H105" s="106">
        <v>1.1940298507462686</v>
      </c>
      <c r="I105" s="106">
        <v>2385.6716417910447</v>
      </c>
      <c r="J105" s="106">
        <v>0.36760925449871462</v>
      </c>
      <c r="K105" s="106">
        <v>734.48329048843186</v>
      </c>
      <c r="L105" s="106">
        <v>0.24216765453005928</v>
      </c>
      <c r="M105" s="106">
        <v>483.85097375105846</v>
      </c>
      <c r="N105" s="106">
        <v>0.27216494845360822</v>
      </c>
      <c r="O105" s="106">
        <v>543.78556701030925</v>
      </c>
      <c r="P105" s="106">
        <v>0.34475218658892132</v>
      </c>
      <c r="Q105" s="106">
        <v>688.8148688046648</v>
      </c>
      <c r="R105" s="106">
        <v>0.39285714285714285</v>
      </c>
      <c r="S105" s="106">
        <v>784.92857142857144</v>
      </c>
      <c r="T105" s="106">
        <v>0.55000000000000004</v>
      </c>
      <c r="U105" s="106">
        <v>1098.9000000000001</v>
      </c>
      <c r="V105" s="106">
        <v>0.48450244698205547</v>
      </c>
      <c r="W105" s="106">
        <v>968.03588907014682</v>
      </c>
      <c r="X105" s="106">
        <v>0</v>
      </c>
      <c r="Y105" s="106">
        <v>0</v>
      </c>
      <c r="Z105" s="106">
        <v>0.71756856931060053</v>
      </c>
      <c r="AA105" s="106">
        <v>1433.7020014825798</v>
      </c>
      <c r="AB105" s="106">
        <v>0</v>
      </c>
      <c r="AC105" s="106">
        <v>0</v>
      </c>
      <c r="AD105" s="106">
        <v>0.18763326226012794</v>
      </c>
      <c r="AE105" s="106">
        <v>374.8912579957356</v>
      </c>
      <c r="AF105" s="106">
        <v>0.16417910447761194</v>
      </c>
      <c r="AG105" s="106">
        <v>328.02985074626866</v>
      </c>
      <c r="AH105" s="106">
        <v>0.18893129770992367</v>
      </c>
      <c r="AI105" s="106">
        <v>377.48473282442751</v>
      </c>
      <c r="AJ105" s="106">
        <v>0.25406330196749355</v>
      </c>
      <c r="AK105" s="106">
        <v>507.61847733105213</v>
      </c>
      <c r="AL105" s="106">
        <v>0.76227141482194416</v>
      </c>
      <c r="AM105" s="106">
        <v>1523.0182868142444</v>
      </c>
      <c r="AN105" s="106">
        <v>0.25967894239848915</v>
      </c>
      <c r="AO105" s="106">
        <v>518.83852691218135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0.54964766175528501</v>
      </c>
      <c r="AU105" s="106">
        <v>1098.1960281870595</v>
      </c>
      <c r="AV105" s="106">
        <v>0</v>
      </c>
      <c r="AW105" s="106">
        <v>0</v>
      </c>
      <c r="AX105" s="106">
        <v>0.27392578125</v>
      </c>
      <c r="AY105" s="106">
        <v>547.3037109375</v>
      </c>
      <c r="AZ105" s="106">
        <v>0.65614035087719291</v>
      </c>
      <c r="BA105" s="106">
        <v>1310.9684210526314</v>
      </c>
      <c r="BB105" s="106">
        <v>0.33333333333333337</v>
      </c>
      <c r="BC105" s="106">
        <v>666.00000000000011</v>
      </c>
      <c r="BD105" s="106">
        <v>0.24522292993630571</v>
      </c>
      <c r="BE105" s="106">
        <v>489.9554140127388</v>
      </c>
      <c r="BF105" s="106">
        <v>0.29235880398671099</v>
      </c>
      <c r="BG105" s="106">
        <v>584.13289036544859</v>
      </c>
      <c r="BH105" s="106">
        <v>0.22405431619786614</v>
      </c>
      <c r="BI105" s="106">
        <v>447.66052376333653</v>
      </c>
      <c r="BJ105" s="106">
        <v>0.1992373689227836</v>
      </c>
      <c r="BK105" s="106">
        <v>398.07626310772162</v>
      </c>
      <c r="BL105" s="106">
        <v>0</v>
      </c>
      <c r="BM105" s="106">
        <v>0</v>
      </c>
      <c r="BN105" s="106">
        <v>0.32887490165224237</v>
      </c>
      <c r="BO105" s="106">
        <v>657.0920535011802</v>
      </c>
      <c r="BP105" s="106">
        <v>0.38858695652173908</v>
      </c>
      <c r="BQ105" s="106">
        <v>776.39673913043464</v>
      </c>
      <c r="BR105" s="106">
        <v>0</v>
      </c>
      <c r="BS105" s="106">
        <v>0</v>
      </c>
      <c r="BT105" s="106">
        <v>1.1061452513966481</v>
      </c>
      <c r="BU105" s="106">
        <v>2210.078212290503</v>
      </c>
      <c r="BV105" s="106">
        <v>0</v>
      </c>
      <c r="BW105" s="106">
        <v>0</v>
      </c>
      <c r="BX105" s="106">
        <v>0.68458274398868457</v>
      </c>
      <c r="BY105" s="106">
        <v>1367.7963224893917</v>
      </c>
      <c r="BZ105" s="106">
        <v>0.65796124684077506</v>
      </c>
      <c r="CA105" s="106">
        <v>1314.6065711878687</v>
      </c>
      <c r="CB105" s="106">
        <v>0</v>
      </c>
      <c r="CC105" s="106">
        <v>0</v>
      </c>
      <c r="CD105" s="106">
        <v>0.60746268656716418</v>
      </c>
      <c r="CE105" s="106">
        <v>1213.710447761194</v>
      </c>
      <c r="CF105" s="106">
        <v>0.46610169491525422</v>
      </c>
      <c r="CG105" s="106">
        <v>931.27118644067798</v>
      </c>
      <c r="CH105" s="106">
        <v>0</v>
      </c>
      <c r="CI105" s="106">
        <v>0</v>
      </c>
      <c r="CJ105" s="106">
        <v>0.16296296296296298</v>
      </c>
      <c r="CK105" s="106">
        <v>325.60000000000002</v>
      </c>
      <c r="CL105" s="106">
        <v>0</v>
      </c>
      <c r="CM105" s="106">
        <v>0</v>
      </c>
      <c r="CN105" s="106">
        <v>0.5168869309838473</v>
      </c>
      <c r="CO105" s="106">
        <v>1032.740088105727</v>
      </c>
      <c r="CP105" s="106">
        <v>0.89267015706806285</v>
      </c>
      <c r="CQ105" s="106">
        <v>1783.5549738219895</v>
      </c>
      <c r="CR105" s="106">
        <v>0.54712041884816753</v>
      </c>
      <c r="CS105" s="106">
        <v>1093.1465968586388</v>
      </c>
      <c r="CT105" s="106">
        <v>0.50065019505851749</v>
      </c>
      <c r="CU105" s="106">
        <v>1000.2990897269179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8.2581135517255326</v>
      </c>
      <c r="E112" s="106">
        <f>SUM(L$49:L$70)+SUM(N$49:N$70)+SUM(P$49:P$70)+SUM(R$49:R$70)</f>
        <v>1.5847609133028557</v>
      </c>
      <c r="F112" s="106">
        <f>SUM(T$49:T$70)+SUM(V$49:V$70)+SUM(X$49:X$70)+SUM(Z$49:Z$70)</f>
        <v>1.0418717345317257</v>
      </c>
      <c r="G112" s="106">
        <f>SUM(AB$49:AB$70)+SUM(AD$49:AD$70)+SUM(AF$49:AF$70)+SUM(AH$49:AH$70)</f>
        <v>1.5829965042110423</v>
      </c>
      <c r="H112" s="106">
        <f>SUM(AJ$49:AJ$70)+SUM(AL$49:AL$70)+SUM(AN$49:AN$70)+SUM(AP$49:AP$70)</f>
        <v>3.0855490006677693</v>
      </c>
      <c r="I112" s="106">
        <f>SUM(AR$49:AR$70)+SUM(AT$49:AT$70)+SUM(AV$49:AV$70)+SUM(AX$49:AX$70)</f>
        <v>2.0396565077474378</v>
      </c>
      <c r="J112" s="106">
        <f>SUM(AZ$49:AZ$70)+SUM(BB$49:BB$70)+SUM(BD$49:BD$70)+SUM(BF$49:BF$70)</f>
        <v>3.9395979143358848</v>
      </c>
      <c r="K112" s="106">
        <f>SUM(BH$49:BH$70)+SUM(BJ$49:BJ$70)+SUM(BL$49:BL$70)+SUM(BN$49:BN$70)</f>
        <v>2.1726579313005159</v>
      </c>
      <c r="L112" s="106">
        <f>SUM(BP$49:BP$70)+SUM(BR$49:BR$70)+SUM(BT$49:BT$70)+SUM(BV$49:BV$70)</f>
        <v>1.8019112824872481</v>
      </c>
      <c r="M112" s="106">
        <f>SUM(BX$49:BX$70)+SUM(BZ$49:BZ$70)+SUM(CB$49:CB$70)+SUM(CD$49:CD$70)</f>
        <v>2.3223214431329371</v>
      </c>
      <c r="N112" s="106">
        <f>SUM(CF$49:CF$70)+SUM(CH$49:CH$70)+SUM(CJ$49:CJ$70)+SUM(CL$49:CL$70)</f>
        <v>3.0286252354048964</v>
      </c>
      <c r="O112" s="106">
        <f>SUM(CN$49:CN$70)+SUM(CP$49:CP$70)+SUM(CR$49:CR$70)+SUM(CT$49:CT$70)</f>
        <v>3.0300849044143634</v>
      </c>
    </row>
    <row r="113" spans="2:15" x14ac:dyDescent="0.2">
      <c r="C113" s="105" t="s">
        <v>130</v>
      </c>
      <c r="D113" s="106">
        <f>SUM(D$71:D$86)+SUM(F$71:F$86)+SUM(H$71:H$86)+SUM(J$71:J$86)</f>
        <v>21.423289710490653</v>
      </c>
      <c r="E113" s="106">
        <f>SUM(L$71:L$86)+SUM(N$71:N$86)+SUM(P$71:P$86)+SUM(R$71:R$86)</f>
        <v>16.646112038197987</v>
      </c>
      <c r="F113" s="106">
        <f>SUM(T$71:T$86)+SUM(V$71:V$86)+SUM(X$71:X$86)+SUM(Z$71:Z$86)</f>
        <v>8.1126240122530664</v>
      </c>
      <c r="G113" s="106">
        <f>SUM(AB$71:AB$86)+SUM(AD$71:AD$86)+SUM(AF$71:AF$86)+SUM(AH$71:AH$86)</f>
        <v>15.149515960727079</v>
      </c>
      <c r="H113" s="106">
        <f>SUM(AJ$71:AJ$86)+SUM(AL$71:AL$86)+SUM(AN$71:AN$86)+SUM(AP$71:AP$86)</f>
        <v>7.5804736366140126</v>
      </c>
      <c r="I113" s="106">
        <f>SUM(AR$71:AR$86)+SUM(AT$71:AT$86)+SUM(AV$71:AV$86)+SUM(AX$71:AX$86)</f>
        <v>29.492840939802214</v>
      </c>
      <c r="J113" s="106">
        <f>SUM(AZ$71:AZ$86)+SUM(BB$71:BB$86)+SUM(BD$71:BD$86)+SUM(BF$71:BF$86)</f>
        <v>14.911021145315827</v>
      </c>
      <c r="K113" s="106">
        <f>SUM(BH$71:BH$86)+SUM(BJ$71:BJ$86)+SUM(BL$71:BL$86)+SUM(BN$71:BN$86)</f>
        <v>27.398713707331389</v>
      </c>
      <c r="L113" s="106">
        <f>SUM(BP$71:BP$86)+SUM(BR$71:BR$86)+SUM(BT$71:BT$86)+SUM(BV$71:BV$86)</f>
        <v>5.2507499392761723</v>
      </c>
      <c r="M113" s="106">
        <f>SUM(BX$71:BX$86)+SUM(BZ$71:BZ$86)+SUM(CB$71:CB$86)+SUM(CD$71:CD$86)</f>
        <v>5.9950562872789064</v>
      </c>
      <c r="N113" s="106">
        <f>SUM(CF$71:CF$86)+SUM(CH$71:CH$86)+SUM(CJ$71:CJ$86)+SUM(CL$71:CL$86)</f>
        <v>7.901977401129944</v>
      </c>
      <c r="O113" s="106">
        <f>SUM(CN$71:CN$86)+SUM(CP$71:CP$86)+SUM(CR$71:CR$86)+SUM(CT$71:CT$86)</f>
        <v>18.517731160811753</v>
      </c>
    </row>
    <row r="114" spans="2:15" x14ac:dyDescent="0.2">
      <c r="C114" s="105" t="s">
        <v>131</v>
      </c>
      <c r="D114" s="106">
        <f>SUM(D$87:D$94)+SUM(F$87:F$94)+SUM(H$87:H$94)+SUM(J$87:J$94)</f>
        <v>5.3641123241427398</v>
      </c>
      <c r="E114" s="106">
        <f>SUM(L$87:L$94)+SUM(N$87:N$94)+SUM(P$87:P$94)+SUM(R$87:R$94)</f>
        <v>11.668391624943117</v>
      </c>
      <c r="F114" s="106">
        <f>SUM(T$87:T$94)+SUM(V$87:V$94)+SUM(X$87:X$94)+SUM(Z$87:Z$94)</f>
        <v>15.290210780327017</v>
      </c>
      <c r="G114" s="106">
        <f>SUM(AB$87:AB$94)+SUM(AD$87:AD$94)+SUM(AF$87:AF$94)+SUM(AH$87:AH$94)</f>
        <v>10.103296223354327</v>
      </c>
      <c r="H114" s="106">
        <f>SUM(AJ$87:AJ$94)+SUM(AL$87:AL$94)+SUM(AN$87:AN$94)+SUM(AP$87:AP$94)</f>
        <v>18.570031806111217</v>
      </c>
      <c r="I114" s="106">
        <f>SUM(AR$87:AR$94)+SUM(AT$87:AT$94)+SUM(AV$87:AV$94)+SUM(AX$87:AX$94)</f>
        <v>3.4471686569106343</v>
      </c>
      <c r="J114" s="106">
        <f>SUM(AZ$87:AZ$94)+SUM(BB$87:BB$94)+SUM(BD$87:BD$94)+SUM(BF$87:BF$94)</f>
        <v>19.589631927894533</v>
      </c>
      <c r="K114" s="106">
        <f>SUM(BH$87:BH$94)+SUM(BJ$87:BJ$94)+SUM(BL$87:BL$94)+SUM(BN$87:BN$94)</f>
        <v>6.0791933709223001</v>
      </c>
      <c r="L114" s="106">
        <f>SUM(BP$87:BP$94)+SUM(BR$87:BR$94)+SUM(BT$87:BT$94)+SUM(BV$87:BV$94)</f>
        <v>9.8985805805197966</v>
      </c>
      <c r="M114" s="106">
        <f>SUM(BX$87:BX$94)+SUM(BZ$87:BZ$94)+SUM(CB$87:CB$94)+SUM(CD$87:CD$94)</f>
        <v>3.3646913805809637</v>
      </c>
      <c r="N114" s="106">
        <f>SUM(CF$87:CF$94)+SUM(CH$87:CH$94)+SUM(CJ$87:CJ$94)+SUM(CL$87:CL$94)</f>
        <v>15.297457627118643</v>
      </c>
      <c r="O114" s="106">
        <f>SUM(CN$87:CN$94)+SUM(CP$87:CP$94)+SUM(CR$87:CR$94)+SUM(CT$87:CT$94)</f>
        <v>6.3747459687391501</v>
      </c>
    </row>
    <row r="115" spans="2:15" x14ac:dyDescent="0.2">
      <c r="C115" s="105" t="s">
        <v>132</v>
      </c>
      <c r="D115" s="106">
        <f>SUM(D$95:D$105)+SUM(F$95:F$105)+SUM(H$95:H$105)+SUM(J$95:J$105)</f>
        <v>28.954484413641072</v>
      </c>
      <c r="E115" s="106">
        <f>SUM(L$95:L$105)+SUM(N$95:N$105)+SUM(P$95:P$105)+SUM(R$95:R$105)</f>
        <v>14.10073542355604</v>
      </c>
      <c r="F115" s="106">
        <f>SUM(T$95:T$105)+SUM(V$95:V$105)+SUM(X$95:X$105)+SUM(Z$95:Z$105)</f>
        <v>19.555293472888195</v>
      </c>
      <c r="G115" s="106">
        <f>SUM(AB$95:AB$105)+SUM(AD$95:AD$105)+SUM(AF$95:AF$105)+SUM(AH$95:AH$105)</f>
        <v>6.1641913117075484</v>
      </c>
      <c r="H115" s="106">
        <f>SUM(AJ$95:AJ$105)+SUM(AL$95:AL$105)+SUM(AN$95:AN$105)+SUM(AP$95:AP$105)</f>
        <v>14.763945556607</v>
      </c>
      <c r="I115" s="106">
        <f>SUM(AR$95:AR$105)+SUM(AT$95:AT$105)+SUM(AV$95:AV$105)+SUM(AX$95:AX$105)</f>
        <v>9.0203338955397179</v>
      </c>
      <c r="J115" s="106">
        <f>SUM(AZ$95:AZ$105)+SUM(BB$95:BB$105)+SUM(BD$95:BD$105)+SUM(BF$95:BF$105)</f>
        <v>16.559749012453761</v>
      </c>
      <c r="K115" s="106">
        <f>SUM(BH$95:BH$105)+SUM(BJ$95:BJ$105)+SUM(BL$95:BL$105)+SUM(BN$95:BN$105)</f>
        <v>8.3494349904457934</v>
      </c>
      <c r="L115" s="106">
        <f>SUM(BP$95:BP$105)+SUM(BR$95:BR$105)+SUM(BT$95:BT$105)+SUM(BV$95:BV$105)</f>
        <v>16.048758197716786</v>
      </c>
      <c r="M115" s="106">
        <f>SUM(BX$95:BX$105)+SUM(BZ$95:BZ$105)+SUM(CB$95:CB$105)+SUM(CD$95:CD$105)</f>
        <v>21.31793088900719</v>
      </c>
      <c r="N115" s="106">
        <f>SUM(CF$95:CF$105)+SUM(CH$95:CH$105)+SUM(CJ$95:CJ$105)+SUM(CL$95:CL$105)</f>
        <v>6.7719397363465159</v>
      </c>
      <c r="O115" s="106">
        <f>SUM(CN$95:CN$105)+SUM(CP$95:CP$105)+SUM(CR$95:CR$105)+SUM(CT$95:CT$105)</f>
        <v>27.077437966034736</v>
      </c>
    </row>
    <row r="116" spans="2:15" x14ac:dyDescent="0.2">
      <c r="C116" s="105" t="s">
        <v>278</v>
      </c>
      <c r="D116" s="106">
        <f t="shared" ref="D116:O116" si="0">SUM(D$109:D$115)</f>
        <v>64</v>
      </c>
      <c r="E116" s="106">
        <f t="shared" si="0"/>
        <v>44</v>
      </c>
      <c r="F116" s="106">
        <f t="shared" si="0"/>
        <v>44.000000000000007</v>
      </c>
      <c r="G116" s="106">
        <f t="shared" si="0"/>
        <v>33</v>
      </c>
      <c r="H116" s="106">
        <f t="shared" si="0"/>
        <v>44</v>
      </c>
      <c r="I116" s="106">
        <f t="shared" si="0"/>
        <v>44</v>
      </c>
      <c r="J116" s="106">
        <f t="shared" si="0"/>
        <v>55.000000000000014</v>
      </c>
      <c r="K116" s="106">
        <f t="shared" si="0"/>
        <v>44</v>
      </c>
      <c r="L116" s="106">
        <f t="shared" si="0"/>
        <v>33</v>
      </c>
      <c r="M116" s="106">
        <f t="shared" si="0"/>
        <v>33</v>
      </c>
      <c r="N116" s="106">
        <f t="shared" si="0"/>
        <v>33</v>
      </c>
      <c r="O116" s="106">
        <f t="shared" si="0"/>
        <v>55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D109*pricing!D15*2000</f>
        <v>0</v>
      </c>
      <c r="E120" s="106">
        <f>E109*pricing!E15*2000</f>
        <v>0</v>
      </c>
      <c r="F120" s="106">
        <f>F109*pricing!F15*2000</f>
        <v>0</v>
      </c>
      <c r="G120" s="106">
        <f>G109*pricing!G15*2000</f>
        <v>0</v>
      </c>
      <c r="H120" s="106">
        <f>H109*pricing!H15*2000</f>
        <v>0</v>
      </c>
      <c r="I120" s="106">
        <f>I109*pricing!I15*2000</f>
        <v>0</v>
      </c>
      <c r="J120" s="106">
        <f>J109*pricing!J15*2000</f>
        <v>0</v>
      </c>
      <c r="K120" s="106">
        <f>K109*pricing!K15*2000</f>
        <v>0</v>
      </c>
      <c r="L120" s="106">
        <f>L109*pricing!L15*2000</f>
        <v>0</v>
      </c>
      <c r="M120" s="106">
        <f>M109*pricing!M15*2000</f>
        <v>0</v>
      </c>
      <c r="N120" s="106">
        <f>N109*pricing!N15*2000</f>
        <v>0</v>
      </c>
      <c r="O120" s="106">
        <f>O109*pricing!O15*2000</f>
        <v>0</v>
      </c>
    </row>
    <row r="121" spans="2:15" x14ac:dyDescent="0.2">
      <c r="C121" s="105" t="s">
        <v>127</v>
      </c>
      <c r="D121" s="106">
        <f>D110*pricing!D16*2000</f>
        <v>0</v>
      </c>
      <c r="E121" s="106">
        <f>E110*pricing!E16*2000</f>
        <v>0</v>
      </c>
      <c r="F121" s="106">
        <f>F110*pricing!F16*2000</f>
        <v>0</v>
      </c>
      <c r="G121" s="106">
        <f>G110*pricing!G16*2000</f>
        <v>0</v>
      </c>
      <c r="H121" s="106">
        <f>H110*pricing!H16*2000</f>
        <v>0</v>
      </c>
      <c r="I121" s="106">
        <f>I110*pricing!I16*2000</f>
        <v>0</v>
      </c>
      <c r="J121" s="106">
        <f>J110*pricing!J16*2000</f>
        <v>0</v>
      </c>
      <c r="K121" s="106">
        <f>K110*pricing!K16*2000</f>
        <v>0</v>
      </c>
      <c r="L121" s="106">
        <f>L110*pricing!L16*2000</f>
        <v>0</v>
      </c>
      <c r="M121" s="106">
        <f>M110*pricing!M16*2000</f>
        <v>0</v>
      </c>
      <c r="N121" s="106">
        <f>N110*pricing!N16*2000</f>
        <v>0</v>
      </c>
      <c r="O121" s="106">
        <f>O110*pricing!O16*2000</f>
        <v>0</v>
      </c>
    </row>
    <row r="122" spans="2:15" x14ac:dyDescent="0.2">
      <c r="C122" s="105" t="s">
        <v>128</v>
      </c>
      <c r="D122" s="106">
        <f>D111*pricing!D17*2000</f>
        <v>0</v>
      </c>
      <c r="E122" s="106">
        <f>E111*pricing!E17*2000</f>
        <v>0</v>
      </c>
      <c r="F122" s="106">
        <f>F111*pricing!F17*2000</f>
        <v>0</v>
      </c>
      <c r="G122" s="106">
        <f>G111*pricing!G17*2000</f>
        <v>0</v>
      </c>
      <c r="H122" s="106">
        <f>H111*pricing!H17*2000</f>
        <v>0</v>
      </c>
      <c r="I122" s="106">
        <f>I111*pricing!I17*2000</f>
        <v>0</v>
      </c>
      <c r="J122" s="106">
        <f>J111*pricing!J17*2000</f>
        <v>0</v>
      </c>
      <c r="K122" s="106">
        <f>K111*pricing!K17*2000</f>
        <v>0</v>
      </c>
      <c r="L122" s="106">
        <f>L111*pricing!L17*2000</f>
        <v>0</v>
      </c>
      <c r="M122" s="106">
        <f>M111*pricing!M17*2000</f>
        <v>0</v>
      </c>
      <c r="N122" s="106">
        <f>N111*pricing!N17*2000</f>
        <v>0</v>
      </c>
      <c r="O122" s="106">
        <f>O111*pricing!O17*2000</f>
        <v>0</v>
      </c>
    </row>
    <row r="123" spans="2:15" x14ac:dyDescent="0.2">
      <c r="C123" s="105" t="s">
        <v>129</v>
      </c>
      <c r="D123" s="106">
        <f>D112*pricing!D18*2000</f>
        <v>22851.310917651768</v>
      </c>
      <c r="E123" s="106">
        <f>E112*pricing!E18*2000</f>
        <v>8566.8077609784432</v>
      </c>
      <c r="F123" s="106">
        <f>F112*pricing!F18*2000</f>
        <v>6459.689242148208</v>
      </c>
      <c r="G123" s="106">
        <f>G112*pricing!G18*2000</f>
        <v>11065.052907156585</v>
      </c>
      <c r="H123" s="106">
        <f>H112*pricing!H18*2000</f>
        <v>11570.78566290281</v>
      </c>
      <c r="I123" s="106">
        <f>I112*pricing!I18*2000</f>
        <v>7827.7121020519098</v>
      </c>
      <c r="J123" s="106">
        <f>J112*pricing!J18*2000</f>
        <v>19713.589184403092</v>
      </c>
      <c r="K123" s="106">
        <f>K112*pricing!K18*2000</f>
        <v>8756.5301304214227</v>
      </c>
      <c r="L123" s="106">
        <f>L112*pricing!L18*2000</f>
        <v>8233.3872760068662</v>
      </c>
      <c r="M123" s="106">
        <f>M112*pricing!M18*2000</f>
        <v>7979.7600001452529</v>
      </c>
      <c r="N123" s="106">
        <f>N112*pricing!N18*2000</f>
        <v>12425.296048827413</v>
      </c>
      <c r="O123" s="106">
        <f>O112*pricing!O18*2000</f>
        <v>15189.753112497239</v>
      </c>
    </row>
    <row r="124" spans="2:15" x14ac:dyDescent="0.2">
      <c r="C124" s="105" t="s">
        <v>130</v>
      </c>
      <c r="D124" s="106">
        <f>D113*pricing!D19*2000</f>
        <v>104894.37502078614</v>
      </c>
      <c r="E124" s="106">
        <f>E113*pricing!E19*2000</f>
        <v>69233.531074084472</v>
      </c>
      <c r="F124" s="106">
        <f>F113*pricing!F19*2000</f>
        <v>41621.065344157083</v>
      </c>
      <c r="G124" s="106">
        <f>G113*pricing!G19*2000</f>
        <v>88346.971372328218</v>
      </c>
      <c r="H124" s="106">
        <f>H113*pricing!H19*2000</f>
        <v>46560.35849106135</v>
      </c>
      <c r="I124" s="106">
        <f>I113*pricing!I19*2000</f>
        <v>70788.679504548083</v>
      </c>
      <c r="J124" s="106">
        <f>J113*pricing!J19*2000</f>
        <v>107127.7689465013</v>
      </c>
      <c r="K124" s="106">
        <f>K113*pricing!K19*2000</f>
        <v>92492.641511500609</v>
      </c>
      <c r="L124" s="106">
        <f>L113*pricing!L19*2000</f>
        <v>35768.242515932303</v>
      </c>
      <c r="M124" s="106">
        <f>M113*pricing!M19*2000</f>
        <v>32891.757002973332</v>
      </c>
      <c r="N124" s="106">
        <f>N113*pricing!N19*2000</f>
        <v>52583.609439780696</v>
      </c>
      <c r="O124" s="106">
        <f>O113*pricing!O19*2000</f>
        <v>108881.38961850762</v>
      </c>
    </row>
    <row r="125" spans="2:15" x14ac:dyDescent="0.2">
      <c r="C125" s="105" t="s">
        <v>131</v>
      </c>
      <c r="D125" s="106">
        <f>D114*pricing!D20*2000</f>
        <v>27037.83150338128</v>
      </c>
      <c r="E125" s="106">
        <f>E114*pricing!E20*2000</f>
        <v>32224.456939881249</v>
      </c>
      <c r="F125" s="106">
        <f>F114*pricing!F20*2000</f>
        <v>33672.805369068963</v>
      </c>
      <c r="G125" s="106">
        <f>G114*pricing!G20*2000</f>
        <v>39448.815074961778</v>
      </c>
      <c r="H125" s="106">
        <f>H114*pricing!H20*2000</f>
        <v>40219.048986492031</v>
      </c>
      <c r="I125" s="106">
        <f>I114*pricing!I20*2000</f>
        <v>17604.027728275792</v>
      </c>
      <c r="J125" s="106">
        <f>J114*pricing!J20*2000</f>
        <v>72039.12091151737</v>
      </c>
      <c r="K125" s="106">
        <f>K114*pricing!K20*2000</f>
        <v>23954.030589082533</v>
      </c>
      <c r="L125" s="106">
        <f>L114*pricing!L20*2000</f>
        <v>26593.097976778488</v>
      </c>
      <c r="M125" s="106">
        <f>M114*pricing!M20*2000</f>
        <v>15364.769328642165</v>
      </c>
      <c r="N125" s="106">
        <f>N114*pricing!N20*2000</f>
        <v>48152.19880354248</v>
      </c>
      <c r="O125" s="106">
        <f>O114*pricing!O20*2000</f>
        <v>38293.7347481213</v>
      </c>
    </row>
    <row r="126" spans="2:15" x14ac:dyDescent="0.2">
      <c r="C126" s="105" t="s">
        <v>132</v>
      </c>
      <c r="D126" s="106">
        <f>D115*pricing!D21*2000</f>
        <v>88204.737453341877</v>
      </c>
      <c r="E126" s="106">
        <f>E115*pricing!E21*2000</f>
        <v>44460.914457848965</v>
      </c>
      <c r="F126" s="106">
        <f>F115*pricing!F21*2000</f>
        <v>44020.972119731443</v>
      </c>
      <c r="G126" s="106">
        <f>G115*pricing!G21*2000</f>
        <v>38766.188209399341</v>
      </c>
      <c r="H126" s="106">
        <f>H115*pricing!H21*2000</f>
        <v>52589.023660766296</v>
      </c>
      <c r="I126" s="106">
        <f>I115*pricing!I21*2000</f>
        <v>28547.714381081758</v>
      </c>
      <c r="J126" s="106">
        <f>J115*pricing!J21*2000</f>
        <v>81799.572167544742</v>
      </c>
      <c r="K126" s="106">
        <f>K115*pricing!K21*2000</f>
        <v>33380.529542609082</v>
      </c>
      <c r="L126" s="106">
        <f>L115*pricing!L21*2000</f>
        <v>51904.039981025533</v>
      </c>
      <c r="M126" s="106">
        <f>M115*pricing!M21*2000</f>
        <v>47372.391853024936</v>
      </c>
      <c r="N126" s="106">
        <f>N115*pricing!N21*2000</f>
        <v>38610.961993630946</v>
      </c>
      <c r="O126" s="106">
        <f>O115*pricing!O21*2000</f>
        <v>86664.235730143366</v>
      </c>
    </row>
    <row r="127" spans="2:15" x14ac:dyDescent="0.2">
      <c r="C127" s="105" t="s">
        <v>278</v>
      </c>
      <c r="D127" s="106">
        <f t="shared" ref="D127:O127" si="1">SUM(D$120:D$126)</f>
        <v>242988.25489516108</v>
      </c>
      <c r="E127" s="106">
        <f t="shared" si="1"/>
        <v>154485.71023279312</v>
      </c>
      <c r="F127" s="106">
        <f t="shared" si="1"/>
        <v>125774.5320751057</v>
      </c>
      <c r="G127" s="106">
        <f t="shared" si="1"/>
        <v>177627.02756384591</v>
      </c>
      <c r="H127" s="106">
        <f t="shared" si="1"/>
        <v>150939.21680122247</v>
      </c>
      <c r="I127" s="106">
        <f t="shared" si="1"/>
        <v>124768.13371595755</v>
      </c>
      <c r="J127" s="106">
        <f t="shared" si="1"/>
        <v>280680.05120996648</v>
      </c>
      <c r="K127" s="106">
        <f t="shared" si="1"/>
        <v>158583.73177361366</v>
      </c>
      <c r="L127" s="106">
        <f t="shared" si="1"/>
        <v>122498.76774974319</v>
      </c>
      <c r="M127" s="106">
        <f t="shared" si="1"/>
        <v>103608.67818478568</v>
      </c>
      <c r="N127" s="106">
        <f t="shared" si="1"/>
        <v>151772.06628578153</v>
      </c>
      <c r="O127" s="106">
        <f t="shared" si="1"/>
        <v>249029.11320926953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9109.8824522144841</v>
      </c>
      <c r="E134" s="112">
        <f>SUM(M$49:M$70)+SUM(O$49:O$70)+SUM(Q$49:Q$70)+SUM(S$49:S$70)</f>
        <v>1752.7829072068209</v>
      </c>
      <c r="F134" s="112">
        <f>SUM(U$49:U$70)+SUM(W$49:W$70)+SUM(Y$49:Y$70)+SUM(AA$49:AA$70)</f>
        <v>1148.4006274396684</v>
      </c>
      <c r="G134" s="112">
        <f>SUM(AC$49:AC$70)+SUM(AE$49:AE$70)+SUM(AG$49:AG$70)+SUM(AI$49:AI$70)</f>
        <v>1745.4050684418692</v>
      </c>
      <c r="H134" s="112">
        <f>SUM(AK$49:AK$70)+SUM(AM$49:AM$70)+SUM(AO$49:AO$70)+SUM(AQ$49:AQ$70)</f>
        <v>3412.2865438308645</v>
      </c>
      <c r="I134" s="112">
        <f>SUM(AS$49:AS$70)+SUM(AU$49:AU$70)+SUM(AW$49:AW$70)+SUM(AY$49:AY$70)</f>
        <v>2252.6881037045564</v>
      </c>
      <c r="J134" s="112">
        <f>SUM(BA$49:BA$70)+SUM(BC$49:BC$70)+SUM(BE$49:BE$70)+SUM(BG$49:BG$70)</f>
        <v>4349.690585406418</v>
      </c>
      <c r="K134" s="112">
        <f>SUM(BI$49:BI$70)+SUM(BK$49:BK$70)+SUM(BM$49:BM$70)+SUM(BO$49:BO$70)</f>
        <v>2400.3403695508546</v>
      </c>
      <c r="L134" s="112">
        <f>SUM(BQ$49:BQ$70)+SUM(BS$49:BS$70)+SUM(BU$49:BU$70)+SUM(BW$49:BW$70)</f>
        <v>1981.6957086470729</v>
      </c>
      <c r="M134" s="112">
        <f>SUM(BY$49:BY$70)+SUM(CA$49:CA$70)+SUM(CC$49:CC$70)+SUM(CE$49:CE$70)</f>
        <v>2562.087607602703</v>
      </c>
      <c r="N134" s="112">
        <f>SUM(CG$49:CG$70)+SUM(CI$49:CI$70)+SUM(CK$49:CK$70)+SUM(CM$49:CM$70)</f>
        <v>3354.1531450094162</v>
      </c>
      <c r="O134" s="112">
        <f>SUM(CO$49:CO$70)+SUM(CQ$49:CQ$70)+SUM(CS$49:CS$70)+SUM(CU$49:CU$70)</f>
        <v>3338.6267993916172</v>
      </c>
    </row>
    <row r="135" spans="2:15" x14ac:dyDescent="0.2">
      <c r="C135" s="111" t="s">
        <v>130</v>
      </c>
      <c r="D135" s="112">
        <f>SUM(E$71:E$86)+SUM(G$71:G$86)+SUM(I$71:I$86)+SUM(K$71:K$86)</f>
        <v>11990.077506981654</v>
      </c>
      <c r="E135" s="112">
        <f>SUM(M$71:M$86)+SUM(O$71:O$86)+SUM(Q$71:Q$86)+SUM(S$71:S$86)</f>
        <v>9304.1881932034848</v>
      </c>
      <c r="F135" s="112">
        <f>SUM(U$71:U$86)+SUM(W$71:W$86)+SUM(Y$71:Y$86)+SUM(AA$71:AA$86)</f>
        <v>4545.1408750643368</v>
      </c>
      <c r="G135" s="112">
        <f>SUM(AC$71:AC$86)+SUM(AE$71:AE$86)+SUM(AG$71:AG$86)+SUM(AI$71:AI$86)</f>
        <v>8427.4554528339759</v>
      </c>
      <c r="H135" s="112">
        <f>SUM(AK$71:AK$86)+SUM(AM$71:AM$86)+SUM(AO$71:AO$86)+SUM(AQ$71:AQ$86)</f>
        <v>4239.7943522978849</v>
      </c>
      <c r="I135" s="112">
        <f>SUM(AS$71:AS$86)+SUM(AU$71:AU$86)+SUM(AW$71:AW$86)+SUM(AY$71:AY$86)</f>
        <v>16339.242568115391</v>
      </c>
      <c r="J135" s="112">
        <f>SUM(BA$71:BA$86)+SUM(BC$71:BC$86)+SUM(BE$71:BE$86)+SUM(BG$71:BG$86)</f>
        <v>8333.3344978970454</v>
      </c>
      <c r="K135" s="112">
        <f>SUM(BI$71:BI$86)+SUM(BK$71:BK$86)+SUM(BM$71:BM$86)+SUM(BO$71:BO$86)</f>
        <v>15264.835752055345</v>
      </c>
      <c r="L135" s="112">
        <f>SUM(BQ$71:BQ$86)+SUM(BS$71:BS$86)+SUM(BU$71:BU$86)+SUM(BW$71:BW$86)</f>
        <v>2955.4766334709739</v>
      </c>
      <c r="M135" s="112">
        <f>SUM(BY$71:BY$86)+SUM(CA$71:CA$86)+SUM(CC$71:CC$86)+SUM(CE$71:CE$86)</f>
        <v>3364.6397874124641</v>
      </c>
      <c r="N135" s="112">
        <f>SUM(CG$71:CG$86)+SUM(CI$71:CI$86)+SUM(CK$71:CK$86)+SUM(CM$71:CM$86)</f>
        <v>4407.8375517890772</v>
      </c>
      <c r="O135" s="112">
        <f>SUM(CO$71:CO$86)+SUM(CQ$71:CQ$86)+SUM(CS$71:CS$86)+SUM(CU$71:CU$86)</f>
        <v>10344.930103666798</v>
      </c>
    </row>
    <row r="136" spans="2:15" x14ac:dyDescent="0.2">
      <c r="C136" s="111" t="s">
        <v>131</v>
      </c>
      <c r="D136" s="112">
        <f>SUM(E$87:E$94)+SUM(G$87:G$94)+SUM(I$87:I$94)+SUM(K$87:K$94)</f>
        <v>10958.418346073706</v>
      </c>
      <c r="E136" s="112">
        <f>SUM(M$87:M$94)+SUM(O$87:O$94)+SUM(Q$87:Q$94)+SUM(S$87:S$94)</f>
        <v>23691.033334014472</v>
      </c>
      <c r="F136" s="112">
        <f>SUM(U$87:U$94)+SUM(W$87:W$94)+SUM(Y$87:Y$94)+SUM(AA$87:AA$94)</f>
        <v>31099.239526734476</v>
      </c>
      <c r="G136" s="112">
        <f>SUM(AC$87:AC$94)+SUM(AE$87:AE$94)+SUM(AG$87:AG$94)+SUM(AI$87:AI$94)</f>
        <v>20494.901159415571</v>
      </c>
      <c r="H136" s="112">
        <f>SUM(AK$87:AK$94)+SUM(AM$87:AM$94)+SUM(AO$87:AO$94)+SUM(AQ$87:AQ$94)</f>
        <v>37685.553919145204</v>
      </c>
      <c r="I136" s="112">
        <f>SUM(AS$87:AS$94)+SUM(AU$87:AU$94)+SUM(AW$87:AW$94)+SUM(AY$87:AY$94)</f>
        <v>7012.0022823160234</v>
      </c>
      <c r="J136" s="112">
        <f>SUM(BA$87:BA$94)+SUM(BC$87:BC$94)+SUM(BE$87:BE$94)+SUM(BG$87:BG$94)</f>
        <v>39713.043880499034</v>
      </c>
      <c r="K136" s="112">
        <f>SUM(BI$87:BI$94)+SUM(BK$87:BK$94)+SUM(BM$87:BM$94)+SUM(BO$87:BO$94)</f>
        <v>12321.268247196009</v>
      </c>
      <c r="L136" s="112">
        <f>SUM(BQ$87:BQ$94)+SUM(BS$87:BS$94)+SUM(BU$87:BU$94)+SUM(BW$87:BW$94)</f>
        <v>20127.323689579789</v>
      </c>
      <c r="M136" s="112">
        <f>SUM(BY$87:BY$94)+SUM(CA$87:CA$94)+SUM(CC$87:CC$94)+SUM(CE$87:CE$94)</f>
        <v>6828.2764925205065</v>
      </c>
      <c r="N136" s="112">
        <f>SUM(CG$87:CG$94)+SUM(CI$87:CI$94)+SUM(CK$87:CK$94)+SUM(CM$87:CM$94)</f>
        <v>31110.993822975513</v>
      </c>
      <c r="O136" s="112">
        <f>SUM(CO$87:CO$94)+SUM(CQ$87:CQ$94)+SUM(CS$87:CS$94)+SUM(CU$87:CU$94)</f>
        <v>12945.793315496321</v>
      </c>
    </row>
    <row r="137" spans="2:15" x14ac:dyDescent="0.2">
      <c r="C137" s="111" t="s">
        <v>132</v>
      </c>
      <c r="D137" s="112">
        <f>SUM(E$95:E$105)+SUM(G$95:G$105)+SUM(I$95:I$105)+SUM(K$95:K$105)</f>
        <v>54009.758807631719</v>
      </c>
      <c r="E137" s="112">
        <f>SUM(M$95:M$105)+SUM(O$95:O$105)+SUM(Q$95:Q$105)+SUM(S$95:S$105)</f>
        <v>26392.743167759938</v>
      </c>
      <c r="F137" s="112">
        <f>SUM(U$95:U$105)+SUM(W$95:W$105)+SUM(Y$95:Y$105)+SUM(AA$95:AA$105)</f>
        <v>36000.606957251228</v>
      </c>
      <c r="G137" s="112">
        <f>SUM(AC$95:AC$105)+SUM(AE$95:AE$105)+SUM(AG$95:AG$105)+SUM(AI$95:AI$105)</f>
        <v>11821.112112284814</v>
      </c>
      <c r="H137" s="112">
        <f>SUM(AK$95:AK$105)+SUM(AM$95:AM$105)+SUM(AO$95:AO$105)+SUM(AQ$95:AQ$105)</f>
        <v>27797.128543937764</v>
      </c>
      <c r="I137" s="112">
        <f>SUM(AS$95:AS$105)+SUM(AU$95:AU$105)+SUM(AW$95:AW$105)+SUM(AY$95:AY$105)</f>
        <v>17026.168713715164</v>
      </c>
      <c r="J137" s="112">
        <f>SUM(BA$95:BA$105)+SUM(BC$95:BC$105)+SUM(BE$95:BE$105)+SUM(BG$95:BG$105)</f>
        <v>31454.102108667248</v>
      </c>
      <c r="K137" s="112">
        <f>SUM(BI$95:BI$105)+SUM(BK$95:BK$105)+SUM(BM$95:BM$105)+SUM(BO$95:BO$105)</f>
        <v>15766.427091430163</v>
      </c>
      <c r="L137" s="112">
        <f>SUM(BQ$95:BQ$105)+SUM(BS$95:BS$105)+SUM(BU$95:BU$105)+SUM(BW$95:BW$105)</f>
        <v>29705.761974738889</v>
      </c>
      <c r="M137" s="112">
        <f>SUM(BY$95:BY$105)+SUM(CA$95:CA$105)+SUM(CC$95:CC$105)+SUM(CE$95:CE$105)</f>
        <v>39316.18765920851</v>
      </c>
      <c r="N137" s="112">
        <f>SUM(CG$95:CG$105)+SUM(CI$95:CI$105)+SUM(CK$95:CK$105)+SUM(CM$95:CM$105)</f>
        <v>13093.051826741996</v>
      </c>
      <c r="O137" s="112">
        <f>SUM(CO$95:CO$105)+SUM(CQ$95:CQ$105)+SUM(CS$95:CS$105)+SUM(CU$95:CU$105)</f>
        <v>50522.296420617487</v>
      </c>
    </row>
    <row r="138" spans="2:15" x14ac:dyDescent="0.2">
      <c r="C138" s="111" t="s">
        <v>278</v>
      </c>
      <c r="D138" s="106">
        <f t="shared" ref="D138:O138" si="2">SUM(D$131:D$137)</f>
        <v>86068.137112901561</v>
      </c>
      <c r="E138" s="106">
        <f t="shared" si="2"/>
        <v>61140.747602184718</v>
      </c>
      <c r="F138" s="106">
        <f t="shared" si="2"/>
        <v>72793.387986489717</v>
      </c>
      <c r="G138" s="106">
        <f t="shared" si="2"/>
        <v>42488.873792976228</v>
      </c>
      <c r="H138" s="106">
        <f t="shared" si="2"/>
        <v>73134.76335921172</v>
      </c>
      <c r="I138" s="106">
        <f t="shared" si="2"/>
        <v>42630.101667851137</v>
      </c>
      <c r="J138" s="106">
        <f t="shared" si="2"/>
        <v>83850.171072469733</v>
      </c>
      <c r="K138" s="106">
        <f t="shared" si="2"/>
        <v>45752.871460232374</v>
      </c>
      <c r="L138" s="106">
        <f t="shared" si="2"/>
        <v>54770.258006436721</v>
      </c>
      <c r="M138" s="106">
        <f t="shared" si="2"/>
        <v>52071.191546744187</v>
      </c>
      <c r="N138" s="106">
        <f t="shared" si="2"/>
        <v>51966.036346516004</v>
      </c>
      <c r="O138" s="106">
        <f t="shared" si="2"/>
        <v>77151.646639172221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281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173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174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175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176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177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178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179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180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181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182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183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184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185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186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187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188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189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190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191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192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193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194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195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196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197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198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199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200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201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202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203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204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205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206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207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208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209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210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211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212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213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214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215</v>
      </c>
      <c r="D49" s="106">
        <v>23.109688925316274</v>
      </c>
      <c r="E49" s="106">
        <v>22767.665529221591</v>
      </c>
      <c r="F49" s="106">
        <v>17</v>
      </c>
      <c r="G49" s="106">
        <v>16748.399999999998</v>
      </c>
      <c r="H49" s="106">
        <v>19.283804856315438</v>
      </c>
      <c r="I49" s="106">
        <v>18998.404544441968</v>
      </c>
      <c r="J49" s="106">
        <v>15.153328024530634</v>
      </c>
      <c r="K49" s="106">
        <v>14929.05876976758</v>
      </c>
      <c r="L49" s="106">
        <v>34.029527639502398</v>
      </c>
      <c r="M49" s="106">
        <v>33525.89063043776</v>
      </c>
      <c r="N49" s="106">
        <v>19.033634817727709</v>
      </c>
      <c r="O49" s="106">
        <v>18751.937022425336</v>
      </c>
      <c r="P49" s="106">
        <v>25.02385963756598</v>
      </c>
      <c r="Q49" s="106">
        <v>24653.506514930003</v>
      </c>
      <c r="R49" s="106">
        <v>19.015287487544036</v>
      </c>
      <c r="S49" s="106">
        <v>18733.861232728384</v>
      </c>
      <c r="T49" s="106">
        <v>17.009802186061801</v>
      </c>
      <c r="U49" s="106">
        <v>16758.057113708084</v>
      </c>
      <c r="V49" s="106">
        <v>11.023118591475082</v>
      </c>
      <c r="W49" s="106">
        <v>10859.976436321251</v>
      </c>
      <c r="X49" s="106">
        <v>19</v>
      </c>
      <c r="Y49" s="106">
        <v>18718.8</v>
      </c>
      <c r="Z49" s="106">
        <v>16.038501792228931</v>
      </c>
      <c r="AA49" s="106">
        <v>15801.131965703942</v>
      </c>
      <c r="AB49" s="106">
        <v>6</v>
      </c>
      <c r="AC49" s="106">
        <v>5911.2</v>
      </c>
      <c r="AD49" s="106">
        <v>7.0366464964243658</v>
      </c>
      <c r="AE49" s="106">
        <v>6932.5041282772845</v>
      </c>
      <c r="AF49" s="106">
        <v>6.0322368258211432</v>
      </c>
      <c r="AG49" s="106">
        <v>5942.95972079899</v>
      </c>
      <c r="AH49" s="106">
        <v>7.036993036536332</v>
      </c>
      <c r="AI49" s="106">
        <v>6932.8455395955934</v>
      </c>
      <c r="AJ49" s="106">
        <v>5.031692108877686</v>
      </c>
      <c r="AK49" s="106">
        <v>4957.223065666296</v>
      </c>
      <c r="AL49" s="106">
        <v>6.1077744666384444</v>
      </c>
      <c r="AM49" s="106">
        <v>6017.3794045321947</v>
      </c>
      <c r="AN49" s="106">
        <v>5.05756388204526</v>
      </c>
      <c r="AO49" s="106">
        <v>4982.7119365909894</v>
      </c>
      <c r="AP49" s="106">
        <v>4</v>
      </c>
      <c r="AQ49" s="106">
        <v>3940.7999999999997</v>
      </c>
      <c r="AR49" s="106">
        <v>6</v>
      </c>
      <c r="AS49" s="106">
        <v>5911.2</v>
      </c>
      <c r="AT49" s="106">
        <v>6.1117442661675261</v>
      </c>
      <c r="AU49" s="106">
        <v>6021.290451028246</v>
      </c>
      <c r="AV49" s="106">
        <v>8</v>
      </c>
      <c r="AW49" s="106">
        <v>7881.5999999999995</v>
      </c>
      <c r="AX49" s="106">
        <v>9.0213689804077148</v>
      </c>
      <c r="AY49" s="106">
        <v>8887.8527194976796</v>
      </c>
      <c r="AZ49" s="106">
        <v>51.126163127116037</v>
      </c>
      <c r="BA49" s="106">
        <v>50369.495912834718</v>
      </c>
      <c r="BB49" s="106">
        <v>45.046136101499421</v>
      </c>
      <c r="BC49" s="106">
        <v>44379.453287197226</v>
      </c>
      <c r="BD49" s="106">
        <v>49.051627347965436</v>
      </c>
      <c r="BE49" s="106">
        <v>48325.663263215545</v>
      </c>
      <c r="BF49" s="106">
        <v>26.03228937870443</v>
      </c>
      <c r="BG49" s="106">
        <v>25647.011495899602</v>
      </c>
      <c r="BH49" s="106">
        <v>4.0295551765304651</v>
      </c>
      <c r="BI49" s="106">
        <v>3969.9177599178138</v>
      </c>
      <c r="BJ49" s="106">
        <v>5.0477306000267177</v>
      </c>
      <c r="BK49" s="106">
        <v>4973.0241871463222</v>
      </c>
      <c r="BL49" s="106">
        <v>4</v>
      </c>
      <c r="BM49" s="106">
        <v>3940.7999999999997</v>
      </c>
      <c r="BN49" s="106">
        <v>7.0646364676890085</v>
      </c>
      <c r="BO49" s="106">
        <v>6960.0798479672103</v>
      </c>
      <c r="BP49" s="106">
        <v>6.0647780304820413</v>
      </c>
      <c r="BQ49" s="106">
        <v>5975.0193156309069</v>
      </c>
      <c r="BR49" s="106">
        <v>5</v>
      </c>
      <c r="BS49" s="106">
        <v>4926</v>
      </c>
      <c r="BT49" s="106">
        <v>6.062339627352455</v>
      </c>
      <c r="BU49" s="106">
        <v>5972.6170008676381</v>
      </c>
      <c r="BV49" s="106">
        <v>6</v>
      </c>
      <c r="BW49" s="106">
        <v>5911.2</v>
      </c>
      <c r="BX49" s="106">
        <v>9.049400518956725</v>
      </c>
      <c r="BY49" s="106">
        <v>8915.469391276165</v>
      </c>
      <c r="BZ49" s="106">
        <v>8.0477421433686622</v>
      </c>
      <c r="CA49" s="106">
        <v>7928.6355596468056</v>
      </c>
      <c r="CB49" s="106">
        <v>9</v>
      </c>
      <c r="CC49" s="106">
        <v>8866.7999999999993</v>
      </c>
      <c r="CD49" s="106">
        <v>8.0586192916016923</v>
      </c>
      <c r="CE49" s="106">
        <v>7939.3517260859871</v>
      </c>
      <c r="CF49" s="106">
        <v>8.1264531264962176</v>
      </c>
      <c r="CG49" s="106">
        <v>8006.1816202240734</v>
      </c>
      <c r="CH49" s="106">
        <v>6</v>
      </c>
      <c r="CI49" s="106">
        <v>5911.2</v>
      </c>
      <c r="CJ49" s="106">
        <v>7.0598662551440325</v>
      </c>
      <c r="CK49" s="106">
        <v>6955.3802345679005</v>
      </c>
      <c r="CL49" s="106">
        <v>8</v>
      </c>
      <c r="CM49" s="106">
        <v>7881.5999999999995</v>
      </c>
      <c r="CN49" s="106">
        <v>29.031783612679806</v>
      </c>
      <c r="CO49" s="106">
        <v>28602.113215212143</v>
      </c>
      <c r="CP49" s="106">
        <v>23.095086483374907</v>
      </c>
      <c r="CQ49" s="106">
        <v>22753.279203420956</v>
      </c>
      <c r="CR49" s="106">
        <v>18.034057454565389</v>
      </c>
      <c r="CS49" s="106">
        <v>17767.153404237819</v>
      </c>
      <c r="CT49" s="106">
        <v>32.045118971322083</v>
      </c>
      <c r="CU49" s="106">
        <v>31570.851210546512</v>
      </c>
    </row>
    <row r="50" spans="2:99" x14ac:dyDescent="0.2">
      <c r="C50" s="105" t="s">
        <v>216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217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218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219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220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221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222</v>
      </c>
      <c r="D56" s="106">
        <v>21.117253678786362</v>
      </c>
      <c r="E56" s="106">
        <v>24301.735533547344</v>
      </c>
      <c r="F56" s="106">
        <v>16</v>
      </c>
      <c r="G56" s="106">
        <v>18412.8</v>
      </c>
      <c r="H56" s="106">
        <v>18.26642904878592</v>
      </c>
      <c r="I56" s="106">
        <v>21021.006549342837</v>
      </c>
      <c r="J56" s="106">
        <v>14.164479153587408</v>
      </c>
      <c r="K56" s="106">
        <v>16300.482609948389</v>
      </c>
      <c r="L56" s="106">
        <v>34.025836684564595</v>
      </c>
      <c r="M56" s="106">
        <v>39156.932856596934</v>
      </c>
      <c r="N56" s="106">
        <v>20.035877138909555</v>
      </c>
      <c r="O56" s="106">
        <v>23057.287411457117</v>
      </c>
      <c r="P56" s="106">
        <v>23.02385963756598</v>
      </c>
      <c r="Q56" s="106">
        <v>26495.857670910929</v>
      </c>
      <c r="R56" s="106">
        <v>22.016816236298443</v>
      </c>
      <c r="S56" s="106">
        <v>25336.952124732248</v>
      </c>
      <c r="T56" s="106">
        <v>16.009802186061801</v>
      </c>
      <c r="U56" s="106">
        <v>18424.080355719921</v>
      </c>
      <c r="V56" s="106">
        <v>12.0195618850943</v>
      </c>
      <c r="W56" s="106">
        <v>13832.11181736652</v>
      </c>
      <c r="X56" s="106">
        <v>18</v>
      </c>
      <c r="Y56" s="106">
        <v>20714.399999999998</v>
      </c>
      <c r="Z56" s="106">
        <v>14.035293309543187</v>
      </c>
      <c r="AA56" s="106">
        <v>16151.8155406223</v>
      </c>
      <c r="AB56" s="106">
        <v>6</v>
      </c>
      <c r="AC56" s="106">
        <v>6904.7999999999993</v>
      </c>
      <c r="AD56" s="106">
        <v>7.0366464964243658</v>
      </c>
      <c r="AE56" s="106">
        <v>8097.7727880851598</v>
      </c>
      <c r="AF56" s="106">
        <v>6.0322368258211432</v>
      </c>
      <c r="AG56" s="106">
        <v>6941.8981391549714</v>
      </c>
      <c r="AH56" s="106">
        <v>6.036993036536332</v>
      </c>
      <c r="AI56" s="106">
        <v>6947.371586446011</v>
      </c>
      <c r="AJ56" s="106">
        <v>6.0354205922750612</v>
      </c>
      <c r="AK56" s="106">
        <v>6945.5620175901404</v>
      </c>
      <c r="AL56" s="106">
        <v>6.111919638432231</v>
      </c>
      <c r="AM56" s="106">
        <v>7033.5971199078112</v>
      </c>
      <c r="AN56" s="106">
        <v>5.0596197349754473</v>
      </c>
      <c r="AO56" s="106">
        <v>5822.6103910097445</v>
      </c>
      <c r="AP56" s="106">
        <v>4</v>
      </c>
      <c r="AQ56" s="106">
        <v>4603.2</v>
      </c>
      <c r="AR56" s="106">
        <v>5</v>
      </c>
      <c r="AS56" s="106">
        <v>5754</v>
      </c>
      <c r="AT56" s="106">
        <v>7.1158829426922487</v>
      </c>
      <c r="AU56" s="106">
        <v>8188.95809045024</v>
      </c>
      <c r="AV56" s="106">
        <v>8</v>
      </c>
      <c r="AW56" s="106">
        <v>9206.4</v>
      </c>
      <c r="AX56" s="106">
        <v>9.0192320823669441</v>
      </c>
      <c r="AY56" s="106">
        <v>10379.332280387878</v>
      </c>
      <c r="AZ56" s="106">
        <v>44.118741766697447</v>
      </c>
      <c r="BA56" s="106">
        <v>50771.848025115418</v>
      </c>
      <c r="BB56" s="106">
        <v>38.053825451749326</v>
      </c>
      <c r="BC56" s="106">
        <v>43792.342329873121</v>
      </c>
      <c r="BD56" s="106">
        <v>45.051627347965436</v>
      </c>
      <c r="BE56" s="106">
        <v>51845.412752038625</v>
      </c>
      <c r="BF56" s="106">
        <v>24.03228937870443</v>
      </c>
      <c r="BG56" s="106">
        <v>27656.358617013058</v>
      </c>
      <c r="BH56" s="106">
        <v>4.0337773446062464</v>
      </c>
      <c r="BI56" s="106">
        <v>4642.0709681728686</v>
      </c>
      <c r="BJ56" s="106">
        <v>6.0415048695884499</v>
      </c>
      <c r="BK56" s="106">
        <v>6952.5638039223877</v>
      </c>
      <c r="BL56" s="106">
        <v>4</v>
      </c>
      <c r="BM56" s="106">
        <v>4603.2</v>
      </c>
      <c r="BN56" s="106">
        <v>7.0680383870410619</v>
      </c>
      <c r="BO56" s="106">
        <v>8133.8985758068538</v>
      </c>
      <c r="BP56" s="106">
        <v>6.058889118620038</v>
      </c>
      <c r="BQ56" s="106">
        <v>6972.5695977079395</v>
      </c>
      <c r="BR56" s="106">
        <v>6</v>
      </c>
      <c r="BS56" s="106">
        <v>6904.7999999999993</v>
      </c>
      <c r="BT56" s="106">
        <v>6.052748915452077</v>
      </c>
      <c r="BU56" s="106">
        <v>6965.5034519022502</v>
      </c>
      <c r="BV56" s="106">
        <v>6</v>
      </c>
      <c r="BW56" s="106">
        <v>6904.7999999999993</v>
      </c>
      <c r="BX56" s="106">
        <v>10.049400518956725</v>
      </c>
      <c r="BY56" s="106">
        <v>11564.850117215399</v>
      </c>
      <c r="BZ56" s="106">
        <v>8.0477421433686622</v>
      </c>
      <c r="CA56" s="106">
        <v>9261.3416585886553</v>
      </c>
      <c r="CB56" s="106">
        <v>11</v>
      </c>
      <c r="CC56" s="106">
        <v>12658.8</v>
      </c>
      <c r="CD56" s="106">
        <v>9.0602476052572953</v>
      </c>
      <c r="CE56" s="106">
        <v>10426.532944130095</v>
      </c>
      <c r="CF56" s="106">
        <v>7.132474703948418</v>
      </c>
      <c r="CG56" s="106">
        <v>8208.0518893038388</v>
      </c>
      <c r="CH56" s="106">
        <v>7</v>
      </c>
      <c r="CI56" s="106">
        <v>8055.5999999999995</v>
      </c>
      <c r="CJ56" s="106">
        <v>7.0678484224965707</v>
      </c>
      <c r="CK56" s="106">
        <v>8133.6799646090531</v>
      </c>
      <c r="CL56" s="106">
        <v>9</v>
      </c>
      <c r="CM56" s="106">
        <v>10357.199999999999</v>
      </c>
      <c r="CN56" s="106">
        <v>32.03178361267981</v>
      </c>
      <c r="CO56" s="106">
        <v>36862.176581471926</v>
      </c>
      <c r="CP56" s="106">
        <v>24.089493160823441</v>
      </c>
      <c r="CQ56" s="106">
        <v>27722.188729475616</v>
      </c>
      <c r="CR56" s="106">
        <v>20.028381212137827</v>
      </c>
      <c r="CS56" s="106">
        <v>23048.661098928209</v>
      </c>
      <c r="CT56" s="106">
        <v>34.045118971322083</v>
      </c>
      <c r="CU56" s="106">
        <v>39179.122912197454</v>
      </c>
    </row>
    <row r="57" spans="2:99" x14ac:dyDescent="0.2">
      <c r="C57" s="105" t="s">
        <v>223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224</v>
      </c>
      <c r="D58" s="106">
        <v>21.109688925316274</v>
      </c>
      <c r="E58" s="106">
        <v>24850.325802882318</v>
      </c>
      <c r="F58" s="106">
        <v>16</v>
      </c>
      <c r="G58" s="106">
        <v>18835.2</v>
      </c>
      <c r="H58" s="106">
        <v>20.26642904878592</v>
      </c>
      <c r="I58" s="106">
        <v>23857.640276230784</v>
      </c>
      <c r="J58" s="106">
        <v>15.14217689547386</v>
      </c>
      <c r="K58" s="106">
        <v>17825.370641351827</v>
      </c>
      <c r="L58" s="106">
        <v>30.029527639502394</v>
      </c>
      <c r="M58" s="106">
        <v>35350.759937222218</v>
      </c>
      <c r="N58" s="106">
        <v>20.035877138909555</v>
      </c>
      <c r="O58" s="106">
        <v>23586.23456792433</v>
      </c>
      <c r="P58" s="106">
        <v>22.027040922574777</v>
      </c>
      <c r="Q58" s="106">
        <v>25930.23257405503</v>
      </c>
      <c r="R58" s="106">
        <v>19.016816236298443</v>
      </c>
      <c r="S58" s="106">
        <v>22386.596073370529</v>
      </c>
      <c r="T58" s="106">
        <v>18.009802186061801</v>
      </c>
      <c r="U58" s="106">
        <v>21201.139133431952</v>
      </c>
      <c r="V58" s="106">
        <v>12.02134023828469</v>
      </c>
      <c r="W58" s="106">
        <v>14151.521728508738</v>
      </c>
      <c r="X58" s="106">
        <v>18</v>
      </c>
      <c r="Y58" s="106">
        <v>21189.600000000002</v>
      </c>
      <c r="Z58" s="106">
        <v>14.03850179222893</v>
      </c>
      <c r="AA58" s="106">
        <v>16526.124309811898</v>
      </c>
      <c r="AB58" s="106">
        <v>6</v>
      </c>
      <c r="AC58" s="106">
        <v>7063.2000000000007</v>
      </c>
      <c r="AD58" s="106">
        <v>7.0366464964243658</v>
      </c>
      <c r="AE58" s="106">
        <v>8283.540255590764</v>
      </c>
      <c r="AF58" s="106">
        <v>6.0286549562854601</v>
      </c>
      <c r="AG58" s="106">
        <v>7096.9326145392442</v>
      </c>
      <c r="AH58" s="106">
        <v>6.0328826991434061</v>
      </c>
      <c r="AI58" s="106">
        <v>7101.9095134316176</v>
      </c>
      <c r="AJ58" s="106">
        <v>6.031692108877686</v>
      </c>
      <c r="AK58" s="106">
        <v>7100.5079505708127</v>
      </c>
      <c r="AL58" s="106">
        <v>6.1077744666384444</v>
      </c>
      <c r="AM58" s="106">
        <v>7190.0721021267773</v>
      </c>
      <c r="AN58" s="106">
        <v>5.0637314408358236</v>
      </c>
      <c r="AO58" s="106">
        <v>5961.0246521519321</v>
      </c>
      <c r="AP58" s="106">
        <v>4</v>
      </c>
      <c r="AQ58" s="106">
        <v>4708.8</v>
      </c>
      <c r="AR58" s="106">
        <v>5</v>
      </c>
      <c r="AS58" s="106">
        <v>5886</v>
      </c>
      <c r="AT58" s="106">
        <v>6.1117442661675261</v>
      </c>
      <c r="AU58" s="106">
        <v>7194.7453501324117</v>
      </c>
      <c r="AV58" s="106">
        <v>8</v>
      </c>
      <c r="AW58" s="106">
        <v>9417.6</v>
      </c>
      <c r="AX58" s="106">
        <v>9.0203005313873295</v>
      </c>
      <c r="AY58" s="106">
        <v>10618.697785549164</v>
      </c>
      <c r="AZ58" s="106">
        <v>48.118741766697447</v>
      </c>
      <c r="BA58" s="106">
        <v>56645.382807756236</v>
      </c>
      <c r="BB58" s="106">
        <v>42.053825451749326</v>
      </c>
      <c r="BC58" s="106">
        <v>49505.763321799306</v>
      </c>
      <c r="BD58" s="106">
        <v>44.048185524767739</v>
      </c>
      <c r="BE58" s="106">
        <v>51853.52399975658</v>
      </c>
      <c r="BF58" s="106">
        <v>25.03228937870443</v>
      </c>
      <c r="BG58" s="106">
        <v>29468.011056610856</v>
      </c>
      <c r="BH58" s="106">
        <v>4.0337773446062464</v>
      </c>
      <c r="BI58" s="106">
        <v>4748.5626900704738</v>
      </c>
      <c r="BJ58" s="106">
        <v>5.0415048695884499</v>
      </c>
      <c r="BK58" s="106">
        <v>5934.8595324795233</v>
      </c>
      <c r="BL58" s="106">
        <v>4</v>
      </c>
      <c r="BM58" s="106">
        <v>4708.8</v>
      </c>
      <c r="BN58" s="106">
        <v>6.0680383870410619</v>
      </c>
      <c r="BO58" s="106">
        <v>7143.2947892247385</v>
      </c>
      <c r="BP58" s="106">
        <v>6.0618335745510397</v>
      </c>
      <c r="BQ58" s="106">
        <v>7135.9904839614837</v>
      </c>
      <c r="BR58" s="106">
        <v>5</v>
      </c>
      <c r="BS58" s="106">
        <v>5886</v>
      </c>
      <c r="BT58" s="106">
        <v>5.052748915452077</v>
      </c>
      <c r="BU58" s="106">
        <v>5948.0960232701855</v>
      </c>
      <c r="BV58" s="106">
        <v>6</v>
      </c>
      <c r="BW58" s="106">
        <v>7063.2000000000007</v>
      </c>
      <c r="BX58" s="106">
        <v>9.049400518956725</v>
      </c>
      <c r="BY58" s="106">
        <v>10652.954290915857</v>
      </c>
      <c r="BZ58" s="106">
        <v>8.0459059070852526</v>
      </c>
      <c r="CA58" s="106">
        <v>9471.6404338207594</v>
      </c>
      <c r="CB58" s="106">
        <v>11</v>
      </c>
      <c r="CC58" s="106">
        <v>12949.2</v>
      </c>
      <c r="CD58" s="106">
        <v>8.0521060369792821</v>
      </c>
      <c r="CE58" s="106">
        <v>9478.9392267320109</v>
      </c>
      <c r="CF58" s="106">
        <v>6.1384962814006192</v>
      </c>
      <c r="CG58" s="106">
        <v>7226.2378224648091</v>
      </c>
      <c r="CH58" s="106">
        <v>6</v>
      </c>
      <c r="CI58" s="106">
        <v>7063.2000000000007</v>
      </c>
      <c r="CJ58" s="106">
        <v>7.0638573388203021</v>
      </c>
      <c r="CK58" s="106">
        <v>8315.5728592592604</v>
      </c>
      <c r="CL58" s="106">
        <v>9</v>
      </c>
      <c r="CM58" s="106">
        <v>10594.800000000001</v>
      </c>
      <c r="CN58" s="106">
        <v>31.034961973947787</v>
      </c>
      <c r="CO58" s="106">
        <v>36534.357235731339</v>
      </c>
      <c r="CP58" s="106">
        <v>22.078306515720513</v>
      </c>
      <c r="CQ58" s="106">
        <v>25990.582430306189</v>
      </c>
      <c r="CR58" s="106">
        <v>18.028381212137827</v>
      </c>
      <c r="CS58" s="106">
        <v>21223.01036292865</v>
      </c>
      <c r="CT58" s="106">
        <v>36.050758842737345</v>
      </c>
      <c r="CU58" s="106">
        <v>42438.953309670404</v>
      </c>
    </row>
    <row r="59" spans="2:99" x14ac:dyDescent="0.2">
      <c r="C59" s="105" t="s">
        <v>225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226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227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228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229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230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231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232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233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234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235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236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237</v>
      </c>
      <c r="D71" s="106">
        <v>8.0832122881709658</v>
      </c>
      <c r="E71" s="106">
        <v>4558.9317305284249</v>
      </c>
      <c r="F71" s="106">
        <v>10</v>
      </c>
      <c r="G71" s="106">
        <v>5640</v>
      </c>
      <c r="H71" s="106">
        <v>10.139006460236132</v>
      </c>
      <c r="I71" s="106">
        <v>5718.3996435731788</v>
      </c>
      <c r="J71" s="106">
        <v>6.0390289516987066</v>
      </c>
      <c r="K71" s="106">
        <v>3406.0123287580705</v>
      </c>
      <c r="L71" s="106">
        <v>5.0572098015358904</v>
      </c>
      <c r="M71" s="106">
        <v>2852.2663280662423</v>
      </c>
      <c r="N71" s="106">
        <v>4.0403617812732486</v>
      </c>
      <c r="O71" s="106">
        <v>2278.7640446381124</v>
      </c>
      <c r="P71" s="106">
        <v>3.0477192751319602</v>
      </c>
      <c r="Q71" s="106">
        <v>1718.9136711744256</v>
      </c>
      <c r="R71" s="106">
        <v>3.0550349551585341</v>
      </c>
      <c r="S71" s="106">
        <v>1723.0397147094131</v>
      </c>
      <c r="T71" s="106">
        <v>23.022404996712687</v>
      </c>
      <c r="U71" s="106">
        <v>12984.636418145956</v>
      </c>
      <c r="V71" s="106">
        <v>35.028453651046256</v>
      </c>
      <c r="W71" s="106">
        <v>19756.04785919009</v>
      </c>
      <c r="X71" s="106">
        <v>23</v>
      </c>
      <c r="Y71" s="106">
        <v>12972</v>
      </c>
      <c r="Z71" s="106">
        <v>36.048127240286163</v>
      </c>
      <c r="AA71" s="106">
        <v>20331.143763521395</v>
      </c>
      <c r="AB71" s="106">
        <v>9</v>
      </c>
      <c r="AC71" s="106">
        <v>5076</v>
      </c>
      <c r="AD71" s="106">
        <v>17.059550556689594</v>
      </c>
      <c r="AE71" s="106">
        <v>9621.5865139729303</v>
      </c>
      <c r="AF71" s="106">
        <v>14.068055521177969</v>
      </c>
      <c r="AG71" s="106">
        <v>7934.383313944375</v>
      </c>
      <c r="AH71" s="106">
        <v>14.057544723500962</v>
      </c>
      <c r="AI71" s="106">
        <v>7928.4552240545427</v>
      </c>
      <c r="AJ71" s="106">
        <v>12.024235142082937</v>
      </c>
      <c r="AK71" s="106">
        <v>6781.6686201347766</v>
      </c>
      <c r="AL71" s="106">
        <v>10.04559688973165</v>
      </c>
      <c r="AM71" s="106">
        <v>5665.7166458086504</v>
      </c>
      <c r="AN71" s="106">
        <v>15.020558529301878</v>
      </c>
      <c r="AO71" s="106">
        <v>8471.59501052626</v>
      </c>
      <c r="AP71" s="106">
        <v>10</v>
      </c>
      <c r="AQ71" s="106">
        <v>5640</v>
      </c>
      <c r="AR71" s="106">
        <v>16</v>
      </c>
      <c r="AS71" s="106">
        <v>9024</v>
      </c>
      <c r="AT71" s="106">
        <v>14.273152650631729</v>
      </c>
      <c r="AU71" s="106">
        <v>8050.0580949562955</v>
      </c>
      <c r="AV71" s="106">
        <v>16</v>
      </c>
      <c r="AW71" s="106">
        <v>9024</v>
      </c>
      <c r="AX71" s="106">
        <v>15.096160411834717</v>
      </c>
      <c r="AY71" s="106">
        <v>8514.2344722747803</v>
      </c>
      <c r="AZ71" s="106">
        <v>4.0519495229301326</v>
      </c>
      <c r="BA71" s="106">
        <v>2285.2995309325947</v>
      </c>
      <c r="BB71" s="106">
        <v>5.0422914263744714</v>
      </c>
      <c r="BC71" s="106">
        <v>2843.8523644752017</v>
      </c>
      <c r="BD71" s="106">
        <v>6.041301878372348</v>
      </c>
      <c r="BE71" s="106">
        <v>3407.2942594020042</v>
      </c>
      <c r="BF71" s="106">
        <v>6.0430525049392392</v>
      </c>
      <c r="BG71" s="106">
        <v>3408.2816127857309</v>
      </c>
      <c r="BH71" s="106">
        <v>18.071776857288274</v>
      </c>
      <c r="BI71" s="106">
        <v>10192.482147510587</v>
      </c>
      <c r="BJ71" s="106">
        <v>16.070558278300364</v>
      </c>
      <c r="BK71" s="106">
        <v>9063.7948689614059</v>
      </c>
      <c r="BL71" s="106">
        <v>12</v>
      </c>
      <c r="BM71" s="106">
        <v>6768</v>
      </c>
      <c r="BN71" s="106">
        <v>15.200713241771133</v>
      </c>
      <c r="BO71" s="106">
        <v>8573.2022683589184</v>
      </c>
      <c r="BP71" s="106">
        <v>5.0235556474480152</v>
      </c>
      <c r="BQ71" s="106">
        <v>2833.2853851606806</v>
      </c>
      <c r="BR71" s="106">
        <v>7</v>
      </c>
      <c r="BS71" s="106">
        <v>3948</v>
      </c>
      <c r="BT71" s="106">
        <v>7.038362847601511</v>
      </c>
      <c r="BU71" s="106">
        <v>3969.6366460472523</v>
      </c>
      <c r="BV71" s="106">
        <v>7</v>
      </c>
      <c r="BW71" s="106">
        <v>3948</v>
      </c>
      <c r="BX71" s="106">
        <v>7.0154376621739765</v>
      </c>
      <c r="BY71" s="106">
        <v>3956.7068414661226</v>
      </c>
      <c r="BZ71" s="106">
        <v>5.0220348354009205</v>
      </c>
      <c r="CA71" s="106">
        <v>2832.4276471661192</v>
      </c>
      <c r="CB71" s="106">
        <v>6</v>
      </c>
      <c r="CC71" s="106">
        <v>3384</v>
      </c>
      <c r="CD71" s="106">
        <v>6.0309379594564492</v>
      </c>
      <c r="CE71" s="106">
        <v>3401.4490091334374</v>
      </c>
      <c r="CF71" s="106">
        <v>16.060215774522007</v>
      </c>
      <c r="CG71" s="106">
        <v>9057.9616968304126</v>
      </c>
      <c r="CH71" s="106">
        <v>19</v>
      </c>
      <c r="CI71" s="106">
        <v>10716</v>
      </c>
      <c r="CJ71" s="106">
        <v>12.039910836762688</v>
      </c>
      <c r="CK71" s="106">
        <v>6790.5097119341563</v>
      </c>
      <c r="CL71" s="106">
        <v>12</v>
      </c>
      <c r="CM71" s="106">
        <v>6768</v>
      </c>
      <c r="CN71" s="106">
        <v>8.0349619739477873</v>
      </c>
      <c r="CO71" s="106">
        <v>4531.7185533065522</v>
      </c>
      <c r="CP71" s="106">
        <v>6.106273128477838</v>
      </c>
      <c r="CQ71" s="106">
        <v>3443.9380444615008</v>
      </c>
      <c r="CR71" s="106">
        <v>5.048248060634303</v>
      </c>
      <c r="CS71" s="106">
        <v>2847.2119061977469</v>
      </c>
      <c r="CT71" s="106">
        <v>8.0451189713220863</v>
      </c>
      <c r="CU71" s="106">
        <v>4537.4470998256566</v>
      </c>
    </row>
    <row r="72" spans="2:99" x14ac:dyDescent="0.2">
      <c r="C72" s="105" t="s">
        <v>238</v>
      </c>
      <c r="D72" s="106">
        <v>8.0983417951111409</v>
      </c>
      <c r="E72" s="106">
        <v>602.51662955626887</v>
      </c>
      <c r="F72" s="106">
        <v>10</v>
      </c>
      <c r="G72" s="106">
        <v>743.99999999999989</v>
      </c>
      <c r="H72" s="106">
        <v>11.13321452439296</v>
      </c>
      <c r="I72" s="106">
        <v>828.31116061483613</v>
      </c>
      <c r="J72" s="106">
        <v>7.0418167339629001</v>
      </c>
      <c r="K72" s="106">
        <v>523.91116500683972</v>
      </c>
      <c r="L72" s="106">
        <v>5.0516733691291913</v>
      </c>
      <c r="M72" s="106">
        <v>375.84449866321177</v>
      </c>
      <c r="N72" s="106">
        <v>3.0515733871824851</v>
      </c>
      <c r="O72" s="106">
        <v>227.03706000637686</v>
      </c>
      <c r="P72" s="106">
        <v>3.0540818451495548</v>
      </c>
      <c r="Q72" s="106">
        <v>227.22368927912686</v>
      </c>
      <c r="R72" s="106">
        <v>3.0550349551585341</v>
      </c>
      <c r="S72" s="106">
        <v>227.29460066379491</v>
      </c>
      <c r="T72" s="106">
        <v>23.023805309007233</v>
      </c>
      <c r="U72" s="106">
        <v>1712.9711149901379</v>
      </c>
      <c r="V72" s="106">
        <v>35.030232004236645</v>
      </c>
      <c r="W72" s="106">
        <v>2606.2492611152061</v>
      </c>
      <c r="X72" s="106">
        <v>25</v>
      </c>
      <c r="Y72" s="106">
        <v>1859.9999999999998</v>
      </c>
      <c r="Z72" s="106">
        <v>39.051335722971906</v>
      </c>
      <c r="AA72" s="106">
        <v>2905.4193777891096</v>
      </c>
      <c r="AB72" s="106">
        <v>11</v>
      </c>
      <c r="AC72" s="106">
        <v>818.39999999999986</v>
      </c>
      <c r="AD72" s="106">
        <v>15.064131368742641</v>
      </c>
      <c r="AE72" s="106">
        <v>1120.7713738344523</v>
      </c>
      <c r="AF72" s="106">
        <v>15.064473651642286</v>
      </c>
      <c r="AG72" s="106">
        <v>1120.7968396821859</v>
      </c>
      <c r="AH72" s="106">
        <v>15.069875735679739</v>
      </c>
      <c r="AI72" s="106">
        <v>1121.1987547345725</v>
      </c>
      <c r="AJ72" s="106">
        <v>12.024235142082937</v>
      </c>
      <c r="AK72" s="106">
        <v>894.60309457097037</v>
      </c>
      <c r="AL72" s="106">
        <v>10.049742061525436</v>
      </c>
      <c r="AM72" s="106">
        <v>747.70080937749231</v>
      </c>
      <c r="AN72" s="106">
        <v>16.02055852930188</v>
      </c>
      <c r="AO72" s="106">
        <v>1191.9295545800596</v>
      </c>
      <c r="AP72" s="106">
        <v>10</v>
      </c>
      <c r="AQ72" s="106">
        <v>743.99999999999989</v>
      </c>
      <c r="AR72" s="106">
        <v>17</v>
      </c>
      <c r="AS72" s="106">
        <v>1264.8</v>
      </c>
      <c r="AT72" s="106">
        <v>16.318678092403687</v>
      </c>
      <c r="AU72" s="106">
        <v>1214.1096500748342</v>
      </c>
      <c r="AV72" s="106">
        <v>17</v>
      </c>
      <c r="AW72" s="106">
        <v>1264.8</v>
      </c>
      <c r="AX72" s="106">
        <v>16.086544370651247</v>
      </c>
      <c r="AY72" s="106">
        <v>1196.8389011764525</v>
      </c>
      <c r="AZ72" s="106">
        <v>4.0593708833487225</v>
      </c>
      <c r="BA72" s="106">
        <v>302.01719372114491</v>
      </c>
      <c r="BB72" s="106">
        <v>5.038446751249519</v>
      </c>
      <c r="BC72" s="106">
        <v>374.86043829296415</v>
      </c>
      <c r="BD72" s="106">
        <v>6.0447437015700434</v>
      </c>
      <c r="BE72" s="106">
        <v>449.72893139681116</v>
      </c>
      <c r="BF72" s="106">
        <v>6.0466402136841753</v>
      </c>
      <c r="BG72" s="106">
        <v>449.87003189810258</v>
      </c>
      <c r="BH72" s="106">
        <v>19.075999025364055</v>
      </c>
      <c r="BI72" s="106">
        <v>1419.2543274870854</v>
      </c>
      <c r="BJ72" s="106">
        <v>16.078859252218056</v>
      </c>
      <c r="BK72" s="106">
        <v>1196.2671283650232</v>
      </c>
      <c r="BL72" s="106">
        <v>15</v>
      </c>
      <c r="BM72" s="106">
        <v>1115.9999999999998</v>
      </c>
      <c r="BN72" s="106">
        <v>17.18710556436292</v>
      </c>
      <c r="BO72" s="106">
        <v>1278.720653988601</v>
      </c>
      <c r="BP72" s="106">
        <v>6.0235556474480152</v>
      </c>
      <c r="BQ72" s="106">
        <v>448.15254017013228</v>
      </c>
      <c r="BR72" s="106">
        <v>8</v>
      </c>
      <c r="BS72" s="106">
        <v>595.19999999999993</v>
      </c>
      <c r="BT72" s="106">
        <v>7.038362847601511</v>
      </c>
      <c r="BU72" s="106">
        <v>523.65419586155235</v>
      </c>
      <c r="BV72" s="106">
        <v>7</v>
      </c>
      <c r="BW72" s="106">
        <v>520.79999999999995</v>
      </c>
      <c r="BX72" s="106">
        <v>8.0169814283913734</v>
      </c>
      <c r="BY72" s="106">
        <v>596.46341827231811</v>
      </c>
      <c r="BZ72" s="106">
        <v>5.0257073079677408</v>
      </c>
      <c r="CA72" s="106">
        <v>373.91262371279987</v>
      </c>
      <c r="CB72" s="106">
        <v>6</v>
      </c>
      <c r="CC72" s="106">
        <v>446.4</v>
      </c>
      <c r="CD72" s="106">
        <v>6.0325662731120513</v>
      </c>
      <c r="CE72" s="106">
        <v>448.82293071953654</v>
      </c>
      <c r="CF72" s="106">
        <v>19.054194197069808</v>
      </c>
      <c r="CG72" s="106">
        <v>1417.6320482619935</v>
      </c>
      <c r="CH72" s="106">
        <v>18</v>
      </c>
      <c r="CI72" s="106">
        <v>1339.1999999999998</v>
      </c>
      <c r="CJ72" s="106">
        <v>15.039910836762688</v>
      </c>
      <c r="CK72" s="106">
        <v>1118.969366255144</v>
      </c>
      <c r="CL72" s="106">
        <v>14</v>
      </c>
      <c r="CM72" s="106">
        <v>1041.5999999999999</v>
      </c>
      <c r="CN72" s="106">
        <v>8.0349619739477873</v>
      </c>
      <c r="CO72" s="106">
        <v>597.80117086171526</v>
      </c>
      <c r="CP72" s="106">
        <v>6.1118664510293028</v>
      </c>
      <c r="CQ72" s="106">
        <v>454.72286395658006</v>
      </c>
      <c r="CR72" s="106">
        <v>6.048248060634303</v>
      </c>
      <c r="CS72" s="106">
        <v>449.98965571119209</v>
      </c>
      <c r="CT72" s="106">
        <v>8.0451189713220863</v>
      </c>
      <c r="CU72" s="106">
        <v>598.55685146636313</v>
      </c>
    </row>
    <row r="73" spans="2:99" x14ac:dyDescent="0.2">
      <c r="C73" s="105" t="s">
        <v>239</v>
      </c>
      <c r="D73" s="106">
        <v>8.0907770416410543</v>
      </c>
      <c r="E73" s="106">
        <v>4524.3625216856772</v>
      </c>
      <c r="F73" s="106">
        <v>10</v>
      </c>
      <c r="G73" s="106">
        <v>5591.9999999999991</v>
      </c>
      <c r="H73" s="106">
        <v>9.1390064602361321</v>
      </c>
      <c r="I73" s="106">
        <v>5110.5324125640445</v>
      </c>
      <c r="J73" s="106">
        <v>7.0390289516987066</v>
      </c>
      <c r="K73" s="106">
        <v>3936.2249897899164</v>
      </c>
      <c r="L73" s="106">
        <v>5.0535188465980907</v>
      </c>
      <c r="M73" s="106">
        <v>2825.9277390176521</v>
      </c>
      <c r="N73" s="106">
        <v>3.0470887448187907</v>
      </c>
      <c r="O73" s="106">
        <v>1703.9320261026676</v>
      </c>
      <c r="P73" s="106">
        <v>3.0493099176363589</v>
      </c>
      <c r="Q73" s="106">
        <v>1705.1741059422518</v>
      </c>
      <c r="R73" s="106">
        <v>3.0550349551585341</v>
      </c>
      <c r="S73" s="106">
        <v>1708.3755469246521</v>
      </c>
      <c r="T73" s="106">
        <v>22.022404996712687</v>
      </c>
      <c r="U73" s="106">
        <v>12314.928874161733</v>
      </c>
      <c r="V73" s="106">
        <v>33.030232004236645</v>
      </c>
      <c r="W73" s="106">
        <v>18470.50573676913</v>
      </c>
      <c r="X73" s="106">
        <v>23</v>
      </c>
      <c r="Y73" s="106">
        <v>12861.599999999999</v>
      </c>
      <c r="Z73" s="106">
        <v>32.044918757600421</v>
      </c>
      <c r="AA73" s="106">
        <v>17919.518569250155</v>
      </c>
      <c r="AB73" s="106">
        <v>9</v>
      </c>
      <c r="AC73" s="106">
        <v>5032.7999999999993</v>
      </c>
      <c r="AD73" s="106">
        <v>14.064131368742641</v>
      </c>
      <c r="AE73" s="106">
        <v>7864.6622614008838</v>
      </c>
      <c r="AF73" s="106">
        <v>14.060891782106603</v>
      </c>
      <c r="AG73" s="106">
        <v>7862.8506845540114</v>
      </c>
      <c r="AH73" s="106">
        <v>15.061655060893887</v>
      </c>
      <c r="AI73" s="106">
        <v>8422.47751005186</v>
      </c>
      <c r="AJ73" s="106">
        <v>12.026099383781624</v>
      </c>
      <c r="AK73" s="106">
        <v>6724.9947754106834</v>
      </c>
      <c r="AL73" s="106">
        <v>9.0497420615254356</v>
      </c>
      <c r="AM73" s="106">
        <v>5060.6157608050225</v>
      </c>
      <c r="AN73" s="106">
        <v>14.022614382232065</v>
      </c>
      <c r="AO73" s="106">
        <v>7841.4459625441705</v>
      </c>
      <c r="AP73" s="106">
        <v>9</v>
      </c>
      <c r="AQ73" s="106">
        <v>5032.7999999999993</v>
      </c>
      <c r="AR73" s="106">
        <v>16</v>
      </c>
      <c r="AS73" s="106">
        <v>8947.1999999999989</v>
      </c>
      <c r="AT73" s="106">
        <v>16.260736621057561</v>
      </c>
      <c r="AU73" s="106">
        <v>9093.0039184953876</v>
      </c>
      <c r="AV73" s="106">
        <v>14</v>
      </c>
      <c r="AW73" s="106">
        <v>7828.7999999999993</v>
      </c>
      <c r="AX73" s="106">
        <v>16.094023513793946</v>
      </c>
      <c r="AY73" s="106">
        <v>8999.7779489135737</v>
      </c>
      <c r="AZ73" s="106">
        <v>4.0593708833487225</v>
      </c>
      <c r="BA73" s="106">
        <v>2270.0001979686053</v>
      </c>
      <c r="BB73" s="106">
        <v>5.038446751249519</v>
      </c>
      <c r="BC73" s="106">
        <v>2817.4994232987306</v>
      </c>
      <c r="BD73" s="106">
        <v>6.0447437015700434</v>
      </c>
      <c r="BE73" s="106">
        <v>3380.2206779179678</v>
      </c>
      <c r="BF73" s="106">
        <v>7.0394647961943022</v>
      </c>
      <c r="BG73" s="106">
        <v>3936.4687140318533</v>
      </c>
      <c r="BH73" s="106">
        <v>20.075999025364055</v>
      </c>
      <c r="BI73" s="106">
        <v>11226.498654983578</v>
      </c>
      <c r="BJ73" s="106">
        <v>17.072633521779789</v>
      </c>
      <c r="BK73" s="106">
        <v>9547.0166653792567</v>
      </c>
      <c r="BL73" s="106">
        <v>13</v>
      </c>
      <c r="BM73" s="106">
        <v>7269.5999999999995</v>
      </c>
      <c r="BN73" s="106">
        <v>14.190507483714974</v>
      </c>
      <c r="BO73" s="106">
        <v>7935.3317848934121</v>
      </c>
      <c r="BP73" s="106">
        <v>6.0265001033790169</v>
      </c>
      <c r="BQ73" s="106">
        <v>3370.0188578095458</v>
      </c>
      <c r="BR73" s="106">
        <v>7</v>
      </c>
      <c r="BS73" s="106">
        <v>3914.3999999999996</v>
      </c>
      <c r="BT73" s="106">
        <v>7.038362847601511</v>
      </c>
      <c r="BU73" s="106">
        <v>3935.8525043787645</v>
      </c>
      <c r="BV73" s="106">
        <v>6</v>
      </c>
      <c r="BW73" s="106">
        <v>3355.2</v>
      </c>
      <c r="BX73" s="106">
        <v>6.0169814283913743</v>
      </c>
      <c r="BY73" s="106">
        <v>3364.696014756456</v>
      </c>
      <c r="BZ73" s="106">
        <v>5.0220348354009205</v>
      </c>
      <c r="CA73" s="106">
        <v>2808.3218799561946</v>
      </c>
      <c r="CB73" s="106">
        <v>5</v>
      </c>
      <c r="CC73" s="106">
        <v>2795.9999999999995</v>
      </c>
      <c r="CD73" s="106">
        <v>6.0325662731120513</v>
      </c>
      <c r="CE73" s="106">
        <v>3373.4110599242586</v>
      </c>
      <c r="CF73" s="106">
        <v>16.054194197069808</v>
      </c>
      <c r="CG73" s="106">
        <v>8977.5053950014353</v>
      </c>
      <c r="CH73" s="106">
        <v>17</v>
      </c>
      <c r="CI73" s="106">
        <v>9506.4</v>
      </c>
      <c r="CJ73" s="106">
        <v>14.039910836762688</v>
      </c>
      <c r="CK73" s="106">
        <v>7851.118139917694</v>
      </c>
      <c r="CL73" s="106">
        <v>14</v>
      </c>
      <c r="CM73" s="106">
        <v>7828.7999999999993</v>
      </c>
      <c r="CN73" s="106">
        <v>8.0381403352157683</v>
      </c>
      <c r="CO73" s="106">
        <v>4494.9280754526571</v>
      </c>
      <c r="CP73" s="106">
        <v>6.0950864833749074</v>
      </c>
      <c r="CQ73" s="106">
        <v>3408.3723615032477</v>
      </c>
      <c r="CR73" s="106">
        <v>6.0425718182067376</v>
      </c>
      <c r="CS73" s="106">
        <v>3379.0061607412072</v>
      </c>
      <c r="CT73" s="106">
        <v>7.0422990356144552</v>
      </c>
      <c r="CU73" s="106">
        <v>3938.0536207156028</v>
      </c>
    </row>
    <row r="74" spans="2:99" x14ac:dyDescent="0.2">
      <c r="C74" s="105" t="s">
        <v>240</v>
      </c>
      <c r="D74" s="106">
        <v>8.0907770416410543</v>
      </c>
      <c r="E74" s="106">
        <v>3262.2013031896731</v>
      </c>
      <c r="F74" s="106">
        <v>10</v>
      </c>
      <c r="G74" s="106">
        <v>4032</v>
      </c>
      <c r="H74" s="106">
        <v>9.1332145243929599</v>
      </c>
      <c r="I74" s="106">
        <v>3682.5120962352412</v>
      </c>
      <c r="J74" s="106">
        <v>7.0362411694345131</v>
      </c>
      <c r="K74" s="106">
        <v>2837.0124395159955</v>
      </c>
      <c r="L74" s="106">
        <v>5.0590552790047898</v>
      </c>
      <c r="M74" s="106">
        <v>2039.8110884947312</v>
      </c>
      <c r="N74" s="106">
        <v>3.0448464236369435</v>
      </c>
      <c r="O74" s="106">
        <v>1227.6820780104156</v>
      </c>
      <c r="P74" s="106">
        <v>3.0572631301583524</v>
      </c>
      <c r="Q74" s="106">
        <v>1232.6884940798477</v>
      </c>
      <c r="R74" s="106">
        <v>3.0519774576497265</v>
      </c>
      <c r="S74" s="106">
        <v>1230.5573109243696</v>
      </c>
      <c r="T74" s="106">
        <v>23.025205621301776</v>
      </c>
      <c r="U74" s="106">
        <v>9283.7629065088749</v>
      </c>
      <c r="V74" s="106">
        <v>33.026675297855867</v>
      </c>
      <c r="W74" s="106">
        <v>13316.355480095484</v>
      </c>
      <c r="X74" s="106">
        <v>21</v>
      </c>
      <c r="Y74" s="106">
        <v>8467.1999999999989</v>
      </c>
      <c r="Z74" s="106">
        <v>35.051335722971906</v>
      </c>
      <c r="AA74" s="106">
        <v>14132.698563502272</v>
      </c>
      <c r="AB74" s="106">
        <v>11</v>
      </c>
      <c r="AC74" s="106">
        <v>4435.2</v>
      </c>
      <c r="AD74" s="106">
        <v>18.068712180795686</v>
      </c>
      <c r="AE74" s="106">
        <v>7285.3047512968205</v>
      </c>
      <c r="AF74" s="106">
        <v>16.068055521177968</v>
      </c>
      <c r="AG74" s="106">
        <v>6478.6399861389564</v>
      </c>
      <c r="AH74" s="106">
        <v>15.061655060893887</v>
      </c>
      <c r="AI74" s="106">
        <v>6072.8593205524148</v>
      </c>
      <c r="AJ74" s="106">
        <v>11.026099383781624</v>
      </c>
      <c r="AK74" s="106">
        <v>4445.7232715407508</v>
      </c>
      <c r="AL74" s="106">
        <v>9.0455968897316499</v>
      </c>
      <c r="AM74" s="106">
        <v>3647.1846659398011</v>
      </c>
      <c r="AN74" s="106">
        <v>16.022614382232067</v>
      </c>
      <c r="AO74" s="106">
        <v>6460.3181189159695</v>
      </c>
      <c r="AP74" s="106">
        <v>9</v>
      </c>
      <c r="AQ74" s="106">
        <v>3628.7999999999997</v>
      </c>
      <c r="AR74" s="106">
        <v>16</v>
      </c>
      <c r="AS74" s="106">
        <v>6451.2</v>
      </c>
      <c r="AT74" s="106">
        <v>16.260736621057561</v>
      </c>
      <c r="AU74" s="106">
        <v>6556.3290056104079</v>
      </c>
      <c r="AV74" s="106">
        <v>16</v>
      </c>
      <c r="AW74" s="106">
        <v>6451.2</v>
      </c>
      <c r="AX74" s="106">
        <v>17.089749717712401</v>
      </c>
      <c r="AY74" s="106">
        <v>6890.5870861816402</v>
      </c>
      <c r="AZ74" s="106">
        <v>4.0593708833487225</v>
      </c>
      <c r="BA74" s="106">
        <v>1636.7383401662048</v>
      </c>
      <c r="BB74" s="106">
        <v>5.0422914263744714</v>
      </c>
      <c r="BC74" s="106">
        <v>2033.0519031141869</v>
      </c>
      <c r="BD74" s="106">
        <v>6.041301878372348</v>
      </c>
      <c r="BE74" s="106">
        <v>2435.8529173597308</v>
      </c>
      <c r="BF74" s="106">
        <v>6.0466402136841753</v>
      </c>
      <c r="BG74" s="106">
        <v>2438.0053341574594</v>
      </c>
      <c r="BH74" s="106">
        <v>22.086554445553507</v>
      </c>
      <c r="BI74" s="106">
        <v>8905.2987524471737</v>
      </c>
      <c r="BJ74" s="106">
        <v>17.080934495697477</v>
      </c>
      <c r="BK74" s="106">
        <v>6887.0327886652221</v>
      </c>
      <c r="BL74" s="106">
        <v>15</v>
      </c>
      <c r="BM74" s="106">
        <v>6048</v>
      </c>
      <c r="BN74" s="106">
        <v>14.170095967602654</v>
      </c>
      <c r="BO74" s="106">
        <v>5713.38269413739</v>
      </c>
      <c r="BP74" s="106">
        <v>6.0206111915170135</v>
      </c>
      <c r="BQ74" s="106">
        <v>2427.51043241966</v>
      </c>
      <c r="BR74" s="106">
        <v>7</v>
      </c>
      <c r="BS74" s="106">
        <v>2822.4</v>
      </c>
      <c r="BT74" s="106">
        <v>7.0431582035516991</v>
      </c>
      <c r="BU74" s="106">
        <v>2839.8013876720452</v>
      </c>
      <c r="BV74" s="106">
        <v>7</v>
      </c>
      <c r="BW74" s="106">
        <v>2822.4</v>
      </c>
      <c r="BX74" s="106">
        <v>6.0154376621739765</v>
      </c>
      <c r="BY74" s="106">
        <v>2425.4244653885471</v>
      </c>
      <c r="BZ74" s="106">
        <v>4.0220348354009205</v>
      </c>
      <c r="CA74" s="106">
        <v>1621.6844456336512</v>
      </c>
      <c r="CB74" s="106">
        <v>5</v>
      </c>
      <c r="CC74" s="106">
        <v>2016</v>
      </c>
      <c r="CD74" s="106">
        <v>5.0341945867676543</v>
      </c>
      <c r="CE74" s="106">
        <v>2029.7872573847183</v>
      </c>
      <c r="CF74" s="106">
        <v>18.060215774522007</v>
      </c>
      <c r="CG74" s="106">
        <v>7281.8790002872729</v>
      </c>
      <c r="CH74" s="106">
        <v>16</v>
      </c>
      <c r="CI74" s="106">
        <v>6451.2</v>
      </c>
      <c r="CJ74" s="106">
        <v>14.039910836762688</v>
      </c>
      <c r="CK74" s="106">
        <v>5660.8920493827154</v>
      </c>
      <c r="CL74" s="106">
        <v>13</v>
      </c>
      <c r="CM74" s="106">
        <v>5241.5999999999995</v>
      </c>
      <c r="CN74" s="106">
        <v>7.0317836126798072</v>
      </c>
      <c r="CO74" s="106">
        <v>2835.2151526324983</v>
      </c>
      <c r="CP74" s="106">
        <v>6.106273128477838</v>
      </c>
      <c r="CQ74" s="106">
        <v>2462.049325402264</v>
      </c>
      <c r="CR74" s="106">
        <v>6.048248060634303</v>
      </c>
      <c r="CS74" s="106">
        <v>2438.653618047751</v>
      </c>
      <c r="CT74" s="106">
        <v>7.0451189713220854</v>
      </c>
      <c r="CU74" s="106">
        <v>2840.5919692370649</v>
      </c>
    </row>
    <row r="75" spans="2:99" x14ac:dyDescent="0.2">
      <c r="C75" s="105" t="s">
        <v>241</v>
      </c>
      <c r="D75" s="106">
        <v>8.08699466490601</v>
      </c>
      <c r="E75" s="106">
        <v>5201.5549684675452</v>
      </c>
      <c r="F75" s="106">
        <v>10</v>
      </c>
      <c r="G75" s="106">
        <v>6431.9999999999991</v>
      </c>
      <c r="H75" s="106">
        <v>10.127422588549788</v>
      </c>
      <c r="I75" s="106">
        <v>6513.9582089552232</v>
      </c>
      <c r="J75" s="106">
        <v>7.0362411694345131</v>
      </c>
      <c r="K75" s="106">
        <v>4525.7103201802784</v>
      </c>
      <c r="L75" s="106">
        <v>6.0516733691291913</v>
      </c>
      <c r="M75" s="106">
        <v>3892.4363110238955</v>
      </c>
      <c r="N75" s="106">
        <v>3.0470887448187907</v>
      </c>
      <c r="O75" s="106">
        <v>1959.887480667446</v>
      </c>
      <c r="P75" s="106">
        <v>3.0509005601407577</v>
      </c>
      <c r="Q75" s="106">
        <v>1962.3392402825352</v>
      </c>
      <c r="R75" s="106">
        <v>3.0519774576497265</v>
      </c>
      <c r="S75" s="106">
        <v>1963.0319007603039</v>
      </c>
      <c r="T75" s="106">
        <v>22.021004684418145</v>
      </c>
      <c r="U75" s="106">
        <v>14163.910213017749</v>
      </c>
      <c r="V75" s="106">
        <v>34.026675297855867</v>
      </c>
      <c r="W75" s="106">
        <v>21885.95755158089</v>
      </c>
      <c r="X75" s="106">
        <v>20</v>
      </c>
      <c r="Y75" s="106">
        <v>12863.999999999998</v>
      </c>
      <c r="Z75" s="106">
        <v>32.051335722971906</v>
      </c>
      <c r="AA75" s="106">
        <v>20615.419137015528</v>
      </c>
      <c r="AB75" s="106">
        <v>9</v>
      </c>
      <c r="AC75" s="106">
        <v>5788.7999999999993</v>
      </c>
      <c r="AD75" s="106">
        <v>16.054969744636548</v>
      </c>
      <c r="AE75" s="106">
        <v>10326.556539750227</v>
      </c>
      <c r="AF75" s="106">
        <v>16.060891782106605</v>
      </c>
      <c r="AG75" s="106">
        <v>10330.365594250967</v>
      </c>
      <c r="AH75" s="106">
        <v>14.061655060893887</v>
      </c>
      <c r="AI75" s="106">
        <v>9044.456535166948</v>
      </c>
      <c r="AJ75" s="106">
        <v>11.026099383781624</v>
      </c>
      <c r="AK75" s="106">
        <v>7091.9871236483395</v>
      </c>
      <c r="AL75" s="106">
        <v>8.0497420615254356</v>
      </c>
      <c r="AM75" s="106">
        <v>5177.5940939731599</v>
      </c>
      <c r="AN75" s="106">
        <v>15.022614382232065</v>
      </c>
      <c r="AO75" s="106">
        <v>9662.5455706516641</v>
      </c>
      <c r="AP75" s="106">
        <v>10</v>
      </c>
      <c r="AQ75" s="106">
        <v>6431.9999999999991</v>
      </c>
      <c r="AR75" s="106">
        <v>15</v>
      </c>
      <c r="AS75" s="106">
        <v>9647.9999999999982</v>
      </c>
      <c r="AT75" s="106">
        <v>16.260736621057561</v>
      </c>
      <c r="AU75" s="106">
        <v>10458.905794664222</v>
      </c>
      <c r="AV75" s="106">
        <v>15</v>
      </c>
      <c r="AW75" s="106">
        <v>9647.9999999999982</v>
      </c>
      <c r="AX75" s="106">
        <v>16.091886615753175</v>
      </c>
      <c r="AY75" s="106">
        <v>10350.301471252442</v>
      </c>
      <c r="AZ75" s="106">
        <v>4.0519495229301326</v>
      </c>
      <c r="BA75" s="106">
        <v>2606.213933148661</v>
      </c>
      <c r="BB75" s="106">
        <v>6.038446751249519</v>
      </c>
      <c r="BC75" s="106">
        <v>3883.9289504036901</v>
      </c>
      <c r="BD75" s="106">
        <v>5.0447437015700434</v>
      </c>
      <c r="BE75" s="106">
        <v>3244.7791488498515</v>
      </c>
      <c r="BF75" s="106">
        <v>7.0430525049392392</v>
      </c>
      <c r="BG75" s="106">
        <v>4530.0913711769181</v>
      </c>
      <c r="BH75" s="106">
        <v>20.080221193439833</v>
      </c>
      <c r="BI75" s="106">
        <v>12915.5982716205</v>
      </c>
      <c r="BJ75" s="106">
        <v>16.072633521779789</v>
      </c>
      <c r="BK75" s="106">
        <v>10337.917881208759</v>
      </c>
      <c r="BL75" s="106">
        <v>14</v>
      </c>
      <c r="BM75" s="106">
        <v>9004.7999999999993</v>
      </c>
      <c r="BN75" s="106">
        <v>15.197311322419079</v>
      </c>
      <c r="BO75" s="106">
        <v>9774.9106425799509</v>
      </c>
      <c r="BP75" s="106">
        <v>5.0235556474480152</v>
      </c>
      <c r="BQ75" s="106">
        <v>3231.1509924385632</v>
      </c>
      <c r="BR75" s="106">
        <v>7</v>
      </c>
      <c r="BS75" s="106">
        <v>4502.3999999999996</v>
      </c>
      <c r="BT75" s="106">
        <v>7.0431582035516991</v>
      </c>
      <c r="BU75" s="106">
        <v>4530.1593565244521</v>
      </c>
      <c r="BV75" s="106">
        <v>6</v>
      </c>
      <c r="BW75" s="106">
        <v>3859.2</v>
      </c>
      <c r="BX75" s="106">
        <v>6.0169814283913743</v>
      </c>
      <c r="BY75" s="106">
        <v>3870.1224547413317</v>
      </c>
      <c r="BZ75" s="106">
        <v>5.0238710716843311</v>
      </c>
      <c r="CA75" s="106">
        <v>3231.3538733073615</v>
      </c>
      <c r="CB75" s="106">
        <v>5</v>
      </c>
      <c r="CC75" s="106">
        <v>3215.9999999999995</v>
      </c>
      <c r="CD75" s="106">
        <v>5.0309379594564492</v>
      </c>
      <c r="CE75" s="106">
        <v>3235.8992955223875</v>
      </c>
      <c r="CF75" s="106">
        <v>19.054194197069808</v>
      </c>
      <c r="CG75" s="106">
        <v>12255.6577075553</v>
      </c>
      <c r="CH75" s="106">
        <v>17</v>
      </c>
      <c r="CI75" s="106">
        <v>10934.4</v>
      </c>
      <c r="CJ75" s="106">
        <v>13.039910836762688</v>
      </c>
      <c r="CK75" s="106">
        <v>8387.2706502057608</v>
      </c>
      <c r="CL75" s="106">
        <v>13</v>
      </c>
      <c r="CM75" s="106">
        <v>8361.5999999999985</v>
      </c>
      <c r="CN75" s="106">
        <v>7.0381403352157683</v>
      </c>
      <c r="CO75" s="106">
        <v>4526.9318636107819</v>
      </c>
      <c r="CP75" s="106">
        <v>5.106273128477838</v>
      </c>
      <c r="CQ75" s="106">
        <v>3284.3548762369451</v>
      </c>
      <c r="CR75" s="106">
        <v>5.0454099394205203</v>
      </c>
      <c r="CS75" s="106">
        <v>3245.2076730352783</v>
      </c>
      <c r="CT75" s="106">
        <v>7.0451189713220854</v>
      </c>
      <c r="CU75" s="106">
        <v>4531.4205223543649</v>
      </c>
    </row>
    <row r="76" spans="2:99" x14ac:dyDescent="0.2">
      <c r="C76" s="105" t="s">
        <v>242</v>
      </c>
      <c r="D76" s="106">
        <v>8.0945594183760967</v>
      </c>
      <c r="E76" s="106">
        <v>6304.042875031304</v>
      </c>
      <c r="F76" s="106">
        <v>9</v>
      </c>
      <c r="G76" s="106">
        <v>7009.2</v>
      </c>
      <c r="H76" s="106">
        <v>10.127422588549788</v>
      </c>
      <c r="I76" s="106">
        <v>7887.2367119625742</v>
      </c>
      <c r="J76" s="106">
        <v>6.0362411694345131</v>
      </c>
      <c r="K76" s="106">
        <v>4701.0246227555981</v>
      </c>
      <c r="L76" s="106">
        <v>6.055364324066991</v>
      </c>
      <c r="M76" s="106">
        <v>4715.9177355833726</v>
      </c>
      <c r="N76" s="106">
        <v>3.0448464236369435</v>
      </c>
      <c r="O76" s="106">
        <v>2371.3263947284513</v>
      </c>
      <c r="P76" s="106">
        <v>3.0509005601407577</v>
      </c>
      <c r="Q76" s="106">
        <v>2376.041356237622</v>
      </c>
      <c r="R76" s="106">
        <v>3.0580924526673416</v>
      </c>
      <c r="S76" s="106">
        <v>2381.6424021373255</v>
      </c>
      <c r="T76" s="106">
        <v>21.023805309007233</v>
      </c>
      <c r="U76" s="106">
        <v>16373.339574654832</v>
      </c>
      <c r="V76" s="106">
        <v>35.026675297855867</v>
      </c>
      <c r="W76" s="106">
        <v>27278.774721970149</v>
      </c>
      <c r="X76" s="106">
        <v>20</v>
      </c>
      <c r="Y76" s="106">
        <v>15576</v>
      </c>
      <c r="Z76" s="106">
        <v>32.054544205657649</v>
      </c>
      <c r="AA76" s="106">
        <v>24964.079027366177</v>
      </c>
      <c r="AB76" s="106">
        <v>10</v>
      </c>
      <c r="AC76" s="106">
        <v>7788</v>
      </c>
      <c r="AD76" s="106">
        <v>14.05496974463655</v>
      </c>
      <c r="AE76" s="106">
        <v>10946.010437122944</v>
      </c>
      <c r="AF76" s="106">
        <v>16.060891782106605</v>
      </c>
      <c r="AG76" s="106">
        <v>12508.222519904622</v>
      </c>
      <c r="AH76" s="106">
        <v>15.061655060893887</v>
      </c>
      <c r="AI76" s="106">
        <v>11730.016961424159</v>
      </c>
      <c r="AJ76" s="106">
        <v>12.024235142082937</v>
      </c>
      <c r="AK76" s="106">
        <v>9364.4743286541907</v>
      </c>
      <c r="AL76" s="106">
        <v>9.0455968897316499</v>
      </c>
      <c r="AM76" s="106">
        <v>7044.7108577230083</v>
      </c>
      <c r="AN76" s="106">
        <v>16.022614382232067</v>
      </c>
      <c r="AO76" s="106">
        <v>12478.412080882334</v>
      </c>
      <c r="AP76" s="106">
        <v>8</v>
      </c>
      <c r="AQ76" s="106">
        <v>6230.4</v>
      </c>
      <c r="AR76" s="106">
        <v>16</v>
      </c>
      <c r="AS76" s="106">
        <v>12460.8</v>
      </c>
      <c r="AT76" s="106">
        <v>15.264875297582284</v>
      </c>
      <c r="AU76" s="106">
        <v>11888.284881757083</v>
      </c>
      <c r="AV76" s="106">
        <v>16</v>
      </c>
      <c r="AW76" s="106">
        <v>12460.8</v>
      </c>
      <c r="AX76" s="106">
        <v>16.089749717712401</v>
      </c>
      <c r="AY76" s="106">
        <v>12530.697080154418</v>
      </c>
      <c r="AZ76" s="106">
        <v>4.0519495229301326</v>
      </c>
      <c r="BA76" s="106">
        <v>3155.6582884579871</v>
      </c>
      <c r="BB76" s="106">
        <v>5.038446751249519</v>
      </c>
      <c r="BC76" s="106">
        <v>3923.9423298731253</v>
      </c>
      <c r="BD76" s="106">
        <v>5.041301878372348</v>
      </c>
      <c r="BE76" s="106">
        <v>3926.1659028763843</v>
      </c>
      <c r="BF76" s="106">
        <v>6.0394647961943022</v>
      </c>
      <c r="BG76" s="106">
        <v>4703.5351832761226</v>
      </c>
      <c r="BH76" s="106">
        <v>19.078110109401944</v>
      </c>
      <c r="BI76" s="106">
        <v>14858.032153202234</v>
      </c>
      <c r="BJ76" s="106">
        <v>14.07470876525921</v>
      </c>
      <c r="BK76" s="106">
        <v>10961.383186383871</v>
      </c>
      <c r="BL76" s="106">
        <v>12</v>
      </c>
      <c r="BM76" s="106">
        <v>9345.5999999999985</v>
      </c>
      <c r="BN76" s="106">
        <v>14.163292128898549</v>
      </c>
      <c r="BO76" s="106">
        <v>11030.37190998619</v>
      </c>
      <c r="BP76" s="106">
        <v>5.0235556474480152</v>
      </c>
      <c r="BQ76" s="106">
        <v>3912.3451382325138</v>
      </c>
      <c r="BR76" s="106">
        <v>8</v>
      </c>
      <c r="BS76" s="106">
        <v>6230.4</v>
      </c>
      <c r="BT76" s="106">
        <v>7.038362847601511</v>
      </c>
      <c r="BU76" s="106">
        <v>5481.4769857120564</v>
      </c>
      <c r="BV76" s="106">
        <v>7</v>
      </c>
      <c r="BW76" s="106">
        <v>5451.5999999999995</v>
      </c>
      <c r="BX76" s="106">
        <v>6.0185251946087721</v>
      </c>
      <c r="BY76" s="106">
        <v>4687.2274215613115</v>
      </c>
      <c r="BZ76" s="106">
        <v>4.0220348354009205</v>
      </c>
      <c r="CA76" s="106">
        <v>3132.3607298102365</v>
      </c>
      <c r="CB76" s="106">
        <v>5</v>
      </c>
      <c r="CC76" s="106">
        <v>3894</v>
      </c>
      <c r="CD76" s="106">
        <v>5.0341945867676543</v>
      </c>
      <c r="CE76" s="106">
        <v>3920.630744174649</v>
      </c>
      <c r="CF76" s="106">
        <v>17.060215774522007</v>
      </c>
      <c r="CG76" s="106">
        <v>13286.496045197739</v>
      </c>
      <c r="CH76" s="106">
        <v>18</v>
      </c>
      <c r="CI76" s="106">
        <v>14018.4</v>
      </c>
      <c r="CJ76" s="106">
        <v>14.03591975308642</v>
      </c>
      <c r="CK76" s="106">
        <v>10931.174303703703</v>
      </c>
      <c r="CL76" s="106">
        <v>12</v>
      </c>
      <c r="CM76" s="106">
        <v>9345.5999999999985</v>
      </c>
      <c r="CN76" s="106">
        <v>7.0349619739477873</v>
      </c>
      <c r="CO76" s="106">
        <v>5478.8283853105368</v>
      </c>
      <c r="CP76" s="106">
        <v>6.1006798059263723</v>
      </c>
      <c r="CQ76" s="106">
        <v>4751.2094328554585</v>
      </c>
      <c r="CR76" s="106">
        <v>5.0425718182067376</v>
      </c>
      <c r="CS76" s="106">
        <v>3927.1549320194072</v>
      </c>
      <c r="CT76" s="106">
        <v>7.0422990356144552</v>
      </c>
      <c r="CU76" s="106">
        <v>5484.5424889365377</v>
      </c>
    </row>
    <row r="77" spans="2:99" x14ac:dyDescent="0.2">
      <c r="C77" s="105" t="s">
        <v>243</v>
      </c>
      <c r="D77" s="106">
        <v>8.0907770416410543</v>
      </c>
      <c r="E77" s="106">
        <v>2252.4723283928693</v>
      </c>
      <c r="F77" s="106">
        <v>10</v>
      </c>
      <c r="G77" s="106">
        <v>2784</v>
      </c>
      <c r="H77" s="106">
        <v>10.144798396079304</v>
      </c>
      <c r="I77" s="106">
        <v>2824.3118734684781</v>
      </c>
      <c r="J77" s="106">
        <v>6.0418167339629001</v>
      </c>
      <c r="K77" s="106">
        <v>1682.0417787352712</v>
      </c>
      <c r="L77" s="106">
        <v>6.0535188465980907</v>
      </c>
      <c r="M77" s="106">
        <v>1685.2996468929084</v>
      </c>
      <c r="N77" s="106">
        <v>3.0470887448187907</v>
      </c>
      <c r="O77" s="106">
        <v>848.30950655755123</v>
      </c>
      <c r="P77" s="106">
        <v>3.0477192751319602</v>
      </c>
      <c r="Q77" s="106">
        <v>848.4850461967377</v>
      </c>
      <c r="R77" s="106">
        <v>3.059621201421745</v>
      </c>
      <c r="S77" s="106">
        <v>851.79854247581375</v>
      </c>
      <c r="T77" s="106">
        <v>26.023805309007233</v>
      </c>
      <c r="U77" s="106">
        <v>7245.0273980276133</v>
      </c>
      <c r="V77" s="106">
        <v>37.024896944665471</v>
      </c>
      <c r="W77" s="106">
        <v>10307.731309394867</v>
      </c>
      <c r="X77" s="106">
        <v>22</v>
      </c>
      <c r="Y77" s="106">
        <v>6124.7999999999993</v>
      </c>
      <c r="Z77" s="106">
        <v>38.051335722971906</v>
      </c>
      <c r="AA77" s="106">
        <v>10593.491865275379</v>
      </c>
      <c r="AB77" s="106">
        <v>9</v>
      </c>
      <c r="AC77" s="106">
        <v>2505.6</v>
      </c>
      <c r="AD77" s="106">
        <v>17.06413136874264</v>
      </c>
      <c r="AE77" s="106">
        <v>4750.6541730579502</v>
      </c>
      <c r="AF77" s="106">
        <v>14.064473651642286</v>
      </c>
      <c r="AG77" s="106">
        <v>3915.5494646172124</v>
      </c>
      <c r="AH77" s="106">
        <v>16.057544723500961</v>
      </c>
      <c r="AI77" s="106">
        <v>4470.4204510226673</v>
      </c>
      <c r="AJ77" s="106">
        <v>13.026099383781624</v>
      </c>
      <c r="AK77" s="106">
        <v>3626.4660684448036</v>
      </c>
      <c r="AL77" s="106">
        <v>10.04559688973165</v>
      </c>
      <c r="AM77" s="106">
        <v>2796.6941741012911</v>
      </c>
      <c r="AN77" s="106">
        <v>16.022614382232067</v>
      </c>
      <c r="AO77" s="106">
        <v>4460.6958440134067</v>
      </c>
      <c r="AP77" s="106">
        <v>10</v>
      </c>
      <c r="AQ77" s="106">
        <v>2784</v>
      </c>
      <c r="AR77" s="106">
        <v>15</v>
      </c>
      <c r="AS77" s="106">
        <v>4176</v>
      </c>
      <c r="AT77" s="106">
        <v>17.269013974107008</v>
      </c>
      <c r="AU77" s="106">
        <v>4807.6934903913907</v>
      </c>
      <c r="AV77" s="106">
        <v>15</v>
      </c>
      <c r="AW77" s="106">
        <v>4176</v>
      </c>
      <c r="AX77" s="106">
        <v>17.100434207916258</v>
      </c>
      <c r="AY77" s="106">
        <v>4760.7608834838857</v>
      </c>
      <c r="AZ77" s="106">
        <v>5.0519495229301326</v>
      </c>
      <c r="BA77" s="106">
        <v>1406.4627471837489</v>
      </c>
      <c r="BB77" s="106">
        <v>5.0422914263744714</v>
      </c>
      <c r="BC77" s="106">
        <v>1403.7739331026528</v>
      </c>
      <c r="BD77" s="106">
        <v>6.041301878372348</v>
      </c>
      <c r="BE77" s="106">
        <v>1681.8984429388615</v>
      </c>
      <c r="BF77" s="106">
        <v>6.0394647961943022</v>
      </c>
      <c r="BG77" s="106">
        <v>1681.3869992604937</v>
      </c>
      <c r="BH77" s="106">
        <v>21.078110109401944</v>
      </c>
      <c r="BI77" s="106">
        <v>5868.1458544575007</v>
      </c>
      <c r="BJ77" s="106">
        <v>17.07470876525921</v>
      </c>
      <c r="BK77" s="106">
        <v>4753.5989202481633</v>
      </c>
      <c r="BL77" s="106">
        <v>15</v>
      </c>
      <c r="BM77" s="106">
        <v>4176</v>
      </c>
      <c r="BN77" s="106">
        <v>17.180301725658815</v>
      </c>
      <c r="BO77" s="106">
        <v>4782.9960004234135</v>
      </c>
      <c r="BP77" s="106">
        <v>6.0235556474480152</v>
      </c>
      <c r="BQ77" s="106">
        <v>1676.9578922495273</v>
      </c>
      <c r="BR77" s="106">
        <v>7</v>
      </c>
      <c r="BS77" s="106">
        <v>1948.7999999999997</v>
      </c>
      <c r="BT77" s="106">
        <v>8.0431582035517</v>
      </c>
      <c r="BU77" s="106">
        <v>2239.2152438687931</v>
      </c>
      <c r="BV77" s="106">
        <v>7</v>
      </c>
      <c r="BW77" s="106">
        <v>1948.7999999999997</v>
      </c>
      <c r="BX77" s="106">
        <v>6.0185251946087721</v>
      </c>
      <c r="BY77" s="106">
        <v>1675.5574141790821</v>
      </c>
      <c r="BZ77" s="106">
        <v>5.0257073079677408</v>
      </c>
      <c r="CA77" s="106">
        <v>1399.1569145382189</v>
      </c>
      <c r="CB77" s="106">
        <v>5</v>
      </c>
      <c r="CC77" s="106">
        <v>1392</v>
      </c>
      <c r="CD77" s="106">
        <v>5.0341945867676543</v>
      </c>
      <c r="CE77" s="106">
        <v>1401.5197729561148</v>
      </c>
      <c r="CF77" s="106">
        <v>17.066237351974209</v>
      </c>
      <c r="CG77" s="106">
        <v>4751.2404787896194</v>
      </c>
      <c r="CH77" s="106">
        <v>18</v>
      </c>
      <c r="CI77" s="106">
        <v>5011.2</v>
      </c>
      <c r="CJ77" s="106">
        <v>14.03591975308642</v>
      </c>
      <c r="CK77" s="106">
        <v>3907.6000592592591</v>
      </c>
      <c r="CL77" s="106">
        <v>15</v>
      </c>
      <c r="CM77" s="106">
        <v>4176</v>
      </c>
      <c r="CN77" s="106">
        <v>8.0381403352157683</v>
      </c>
      <c r="CO77" s="106">
        <v>2237.8182693240697</v>
      </c>
      <c r="CP77" s="106">
        <v>6.1006798059263723</v>
      </c>
      <c r="CQ77" s="106">
        <v>1698.429257969902</v>
      </c>
      <c r="CR77" s="106">
        <v>5.0454099394205203</v>
      </c>
      <c r="CS77" s="106">
        <v>1404.6421271346728</v>
      </c>
      <c r="CT77" s="106">
        <v>7.0422990356144552</v>
      </c>
      <c r="CU77" s="106">
        <v>1960.5760515150641</v>
      </c>
    </row>
    <row r="78" spans="2:99" x14ac:dyDescent="0.2">
      <c r="C78" s="105" t="s">
        <v>244</v>
      </c>
      <c r="D78" s="106">
        <v>8.0832122881709658</v>
      </c>
      <c r="E78" s="106">
        <v>4461.9331830703732</v>
      </c>
      <c r="F78" s="106">
        <v>10</v>
      </c>
      <c r="G78" s="106">
        <v>5520</v>
      </c>
      <c r="H78" s="106">
        <v>10.139006460236132</v>
      </c>
      <c r="I78" s="106">
        <v>5596.7315660503446</v>
      </c>
      <c r="J78" s="106">
        <v>6.0390289516987066</v>
      </c>
      <c r="K78" s="106">
        <v>3333.5439813376861</v>
      </c>
      <c r="L78" s="106">
        <v>5.0572098015358904</v>
      </c>
      <c r="M78" s="106">
        <v>2791.5798104478117</v>
      </c>
      <c r="N78" s="106">
        <v>4.0403617812732486</v>
      </c>
      <c r="O78" s="106">
        <v>2230.2797032628332</v>
      </c>
      <c r="P78" s="106">
        <v>3.0556724876539536</v>
      </c>
      <c r="Q78" s="106">
        <v>1686.7312131849824</v>
      </c>
      <c r="R78" s="106">
        <v>3.0565637039129379</v>
      </c>
      <c r="S78" s="106">
        <v>1687.2231645599418</v>
      </c>
      <c r="T78" s="106">
        <v>21.023805309007233</v>
      </c>
      <c r="U78" s="106">
        <v>11605.140530571993</v>
      </c>
      <c r="V78" s="106">
        <v>33.030232004236645</v>
      </c>
      <c r="W78" s="106">
        <v>18232.688066338629</v>
      </c>
      <c r="X78" s="106">
        <v>23</v>
      </c>
      <c r="Y78" s="106">
        <v>12696</v>
      </c>
      <c r="Z78" s="106">
        <v>38.044918757600421</v>
      </c>
      <c r="AA78" s="106">
        <v>21000.795154195432</v>
      </c>
      <c r="AB78" s="106">
        <v>9</v>
      </c>
      <c r="AC78" s="106">
        <v>4968</v>
      </c>
      <c r="AD78" s="106">
        <v>16.06413136874264</v>
      </c>
      <c r="AE78" s="106">
        <v>8867.4005155459363</v>
      </c>
      <c r="AF78" s="106">
        <v>16.060891782106605</v>
      </c>
      <c r="AG78" s="106">
        <v>8865.6122637228455</v>
      </c>
      <c r="AH78" s="106">
        <v>15.061655060893887</v>
      </c>
      <c r="AI78" s="106">
        <v>8314.0335936134252</v>
      </c>
      <c r="AJ78" s="106">
        <v>11.024235142082937</v>
      </c>
      <c r="AK78" s="106">
        <v>6085.3777984297813</v>
      </c>
      <c r="AL78" s="106">
        <v>8.0497420615254356</v>
      </c>
      <c r="AM78" s="106">
        <v>4443.4576179620408</v>
      </c>
      <c r="AN78" s="106">
        <v>15.020558529301878</v>
      </c>
      <c r="AO78" s="106">
        <v>8291.3483081746363</v>
      </c>
      <c r="AP78" s="106">
        <v>9</v>
      </c>
      <c r="AQ78" s="106">
        <v>4968</v>
      </c>
      <c r="AR78" s="106">
        <v>15</v>
      </c>
      <c r="AS78" s="106">
        <v>8280</v>
      </c>
      <c r="AT78" s="106">
        <v>17.260736621057561</v>
      </c>
      <c r="AU78" s="106">
        <v>9527.926614823773</v>
      </c>
      <c r="AV78" s="106">
        <v>14</v>
      </c>
      <c r="AW78" s="106">
        <v>7728</v>
      </c>
      <c r="AX78" s="106">
        <v>15.086544370651245</v>
      </c>
      <c r="AY78" s="106">
        <v>8327.7724925994862</v>
      </c>
      <c r="AZ78" s="106">
        <v>4.0593708833487225</v>
      </c>
      <c r="BA78" s="106">
        <v>2240.7727276084947</v>
      </c>
      <c r="BB78" s="106">
        <v>6.038446751249519</v>
      </c>
      <c r="BC78" s="106">
        <v>3333.2226066897347</v>
      </c>
      <c r="BD78" s="106">
        <v>5.0378600551746517</v>
      </c>
      <c r="BE78" s="106">
        <v>2780.8987504564079</v>
      </c>
      <c r="BF78" s="106">
        <v>7.0430525049392392</v>
      </c>
      <c r="BG78" s="106">
        <v>3887.7649827264599</v>
      </c>
      <c r="BH78" s="106">
        <v>22.082332277477725</v>
      </c>
      <c r="BI78" s="106">
        <v>12189.447417167705</v>
      </c>
      <c r="BJ78" s="106">
        <v>17.068483034820943</v>
      </c>
      <c r="BK78" s="106">
        <v>9421.80263522116</v>
      </c>
      <c r="BL78" s="106">
        <v>13</v>
      </c>
      <c r="BM78" s="106">
        <v>7176</v>
      </c>
      <c r="BN78" s="106">
        <v>16.200713241771133</v>
      </c>
      <c r="BO78" s="106">
        <v>8942.7937094576664</v>
      </c>
      <c r="BP78" s="106">
        <v>6.0235556474480152</v>
      </c>
      <c r="BQ78" s="106">
        <v>3325.0027173913045</v>
      </c>
      <c r="BR78" s="106">
        <v>6</v>
      </c>
      <c r="BS78" s="106">
        <v>3312</v>
      </c>
      <c r="BT78" s="106">
        <v>7.0431582035516991</v>
      </c>
      <c r="BU78" s="106">
        <v>3887.8233283605377</v>
      </c>
      <c r="BV78" s="106">
        <v>7</v>
      </c>
      <c r="BW78" s="106">
        <v>3864</v>
      </c>
      <c r="BX78" s="106">
        <v>7.0169814283913743</v>
      </c>
      <c r="BY78" s="106">
        <v>3873.3737484720386</v>
      </c>
      <c r="BZ78" s="106">
        <v>4.0238710716843311</v>
      </c>
      <c r="CA78" s="106">
        <v>2221.1768315697509</v>
      </c>
      <c r="CB78" s="106">
        <v>5</v>
      </c>
      <c r="CC78" s="106">
        <v>2760</v>
      </c>
      <c r="CD78" s="106">
        <v>6.0341945867676543</v>
      </c>
      <c r="CE78" s="106">
        <v>3330.8754118957449</v>
      </c>
      <c r="CF78" s="106">
        <v>19.060215774522007</v>
      </c>
      <c r="CG78" s="106">
        <v>10521.239107536148</v>
      </c>
      <c r="CH78" s="106">
        <v>18</v>
      </c>
      <c r="CI78" s="106">
        <v>9936</v>
      </c>
      <c r="CJ78" s="106">
        <v>14.039910836762688</v>
      </c>
      <c r="CK78" s="106">
        <v>7750.0307818930041</v>
      </c>
      <c r="CL78" s="106">
        <v>12</v>
      </c>
      <c r="CM78" s="106">
        <v>6624</v>
      </c>
      <c r="CN78" s="106">
        <v>8.0349619739477873</v>
      </c>
      <c r="CO78" s="106">
        <v>4435.2990096191788</v>
      </c>
      <c r="CP78" s="106">
        <v>6.1118664510293028</v>
      </c>
      <c r="CQ78" s="106">
        <v>3373.750280968175</v>
      </c>
      <c r="CR78" s="106">
        <v>5.0425718182067376</v>
      </c>
      <c r="CS78" s="106">
        <v>2783.4996436501192</v>
      </c>
      <c r="CT78" s="106">
        <v>7.0394790999068251</v>
      </c>
      <c r="CU78" s="106">
        <v>3885.7924631485675</v>
      </c>
    </row>
    <row r="79" spans="2:99" x14ac:dyDescent="0.2">
      <c r="C79" s="105" t="s">
        <v>245</v>
      </c>
      <c r="D79" s="106">
        <v>7.0907770416410534</v>
      </c>
      <c r="E79" s="106">
        <v>5369.136375930605</v>
      </c>
      <c r="F79" s="106">
        <v>10</v>
      </c>
      <c r="G79" s="106">
        <v>7571.9999999999991</v>
      </c>
      <c r="H79" s="106">
        <v>10.127422588549788</v>
      </c>
      <c r="I79" s="106">
        <v>7668.4843840498988</v>
      </c>
      <c r="J79" s="106">
        <v>6.0362411694345131</v>
      </c>
      <c r="K79" s="106">
        <v>4570.641813495813</v>
      </c>
      <c r="L79" s="106">
        <v>5.0535188465980907</v>
      </c>
      <c r="M79" s="106">
        <v>3826.524470644074</v>
      </c>
      <c r="N79" s="106">
        <v>3.0493310660006379</v>
      </c>
      <c r="O79" s="106">
        <v>2308.9534831756828</v>
      </c>
      <c r="P79" s="106">
        <v>3.0493099176363589</v>
      </c>
      <c r="Q79" s="106">
        <v>2308.9374696342506</v>
      </c>
      <c r="R79" s="106">
        <v>3.0550349551585341</v>
      </c>
      <c r="S79" s="106">
        <v>2313.2724680460419</v>
      </c>
      <c r="T79" s="106">
        <v>23.022404996712687</v>
      </c>
      <c r="U79" s="106">
        <v>17432.565063510847</v>
      </c>
      <c r="V79" s="106">
        <v>29.024896944665471</v>
      </c>
      <c r="W79" s="106">
        <v>21977.651966500693</v>
      </c>
      <c r="X79" s="106">
        <v>23</v>
      </c>
      <c r="Y79" s="106">
        <v>17415.599999999999</v>
      </c>
      <c r="Z79" s="106">
        <v>33.048127240286163</v>
      </c>
      <c r="AA79" s="106">
        <v>25024.041946344681</v>
      </c>
      <c r="AB79" s="106">
        <v>10</v>
      </c>
      <c r="AC79" s="106">
        <v>7571.9999999999991</v>
      </c>
      <c r="AD79" s="106">
        <v>16.054969744636548</v>
      </c>
      <c r="AE79" s="106">
        <v>12156.823090638793</v>
      </c>
      <c r="AF79" s="106">
        <v>15.064473651642286</v>
      </c>
      <c r="AG79" s="106">
        <v>11406.819449023538</v>
      </c>
      <c r="AH79" s="106">
        <v>13.061655060893887</v>
      </c>
      <c r="AI79" s="106">
        <v>9890.2852121088508</v>
      </c>
      <c r="AJ79" s="106">
        <v>13.022370900384249</v>
      </c>
      <c r="AK79" s="106">
        <v>9860.5392457709531</v>
      </c>
      <c r="AL79" s="106">
        <v>8.0455968897316499</v>
      </c>
      <c r="AM79" s="106">
        <v>6092.1259649048052</v>
      </c>
      <c r="AN79" s="106">
        <v>15.020558529301878</v>
      </c>
      <c r="AO79" s="106">
        <v>11373.566918387382</v>
      </c>
      <c r="AP79" s="106">
        <v>9</v>
      </c>
      <c r="AQ79" s="106">
        <v>6814.7999999999993</v>
      </c>
      <c r="AR79" s="106">
        <v>16</v>
      </c>
      <c r="AS79" s="106">
        <v>12115.199999999999</v>
      </c>
      <c r="AT79" s="106">
        <v>15.269013974107008</v>
      </c>
      <c r="AU79" s="106">
        <v>11561.697381193826</v>
      </c>
      <c r="AV79" s="106">
        <v>15</v>
      </c>
      <c r="AW79" s="106">
        <v>11357.999999999998</v>
      </c>
      <c r="AX79" s="106">
        <v>17.086544370651247</v>
      </c>
      <c r="AY79" s="106">
        <v>12937.931397457123</v>
      </c>
      <c r="AZ79" s="106">
        <v>4.0519495229301326</v>
      </c>
      <c r="BA79" s="106">
        <v>3068.1361787626961</v>
      </c>
      <c r="BB79" s="106">
        <v>5.0422914263744714</v>
      </c>
      <c r="BC79" s="106">
        <v>3818.0230680507493</v>
      </c>
      <c r="BD79" s="106">
        <v>5.041301878372348</v>
      </c>
      <c r="BE79" s="106">
        <v>3817.2737823035413</v>
      </c>
      <c r="BF79" s="106">
        <v>7.0430525049392392</v>
      </c>
      <c r="BG79" s="106">
        <v>5332.9993567399915</v>
      </c>
      <c r="BH79" s="106">
        <v>19.084443361515614</v>
      </c>
      <c r="BI79" s="106">
        <v>14450.740513339622</v>
      </c>
      <c r="BJ79" s="106">
        <v>15.072633521779787</v>
      </c>
      <c r="BK79" s="106">
        <v>11412.998102691654</v>
      </c>
      <c r="BL79" s="106">
        <v>14</v>
      </c>
      <c r="BM79" s="106">
        <v>10600.8</v>
      </c>
      <c r="BN79" s="106">
        <v>14.18710556436292</v>
      </c>
      <c r="BO79" s="106">
        <v>10742.476333335602</v>
      </c>
      <c r="BP79" s="106">
        <v>5.0235556474480152</v>
      </c>
      <c r="BQ79" s="106">
        <v>3803.8363362476366</v>
      </c>
      <c r="BR79" s="106">
        <v>7</v>
      </c>
      <c r="BS79" s="106">
        <v>5300.4</v>
      </c>
      <c r="BT79" s="106">
        <v>7.0431582035516991</v>
      </c>
      <c r="BU79" s="106">
        <v>5333.0793917293458</v>
      </c>
      <c r="BV79" s="106">
        <v>6</v>
      </c>
      <c r="BW79" s="106">
        <v>4543.2</v>
      </c>
      <c r="BX79" s="106">
        <v>7.0169814283913743</v>
      </c>
      <c r="BY79" s="106">
        <v>5313.2583375779477</v>
      </c>
      <c r="BZ79" s="106">
        <v>5.0220348354009205</v>
      </c>
      <c r="CA79" s="106">
        <v>3802.6847773655768</v>
      </c>
      <c r="CB79" s="106">
        <v>5</v>
      </c>
      <c r="CC79" s="106">
        <v>3785.9999999999995</v>
      </c>
      <c r="CD79" s="106">
        <v>5.0341945867676543</v>
      </c>
      <c r="CE79" s="106">
        <v>3811.8921411004676</v>
      </c>
      <c r="CF79" s="106">
        <v>18.060215774522007</v>
      </c>
      <c r="CG79" s="106">
        <v>13675.195384468063</v>
      </c>
      <c r="CH79" s="106">
        <v>17</v>
      </c>
      <c r="CI79" s="106">
        <v>12872.4</v>
      </c>
      <c r="CJ79" s="106">
        <v>14.039910836762688</v>
      </c>
      <c r="CK79" s="106">
        <v>10631.020485596706</v>
      </c>
      <c r="CL79" s="106">
        <v>13</v>
      </c>
      <c r="CM79" s="106">
        <v>9843.5999999999985</v>
      </c>
      <c r="CN79" s="106">
        <v>7.0349619739477873</v>
      </c>
      <c r="CO79" s="106">
        <v>5326.8732066732637</v>
      </c>
      <c r="CP79" s="106">
        <v>6.1006798059263723</v>
      </c>
      <c r="CQ79" s="106">
        <v>4619.4347490474483</v>
      </c>
      <c r="CR79" s="106">
        <v>5.0425718182067376</v>
      </c>
      <c r="CS79" s="106">
        <v>3818.2353807461413</v>
      </c>
      <c r="CT79" s="106">
        <v>7.0422990356144552</v>
      </c>
      <c r="CU79" s="106">
        <v>5332.4288297672647</v>
      </c>
    </row>
    <row r="80" spans="2:99" x14ac:dyDescent="0.2">
      <c r="C80" s="105" t="s">
        <v>246</v>
      </c>
      <c r="D80" s="106">
        <v>8.0907770416410543</v>
      </c>
      <c r="E80" s="106">
        <v>6514.693673929376</v>
      </c>
      <c r="F80" s="106">
        <v>9</v>
      </c>
      <c r="G80" s="106">
        <v>7246.7999999999993</v>
      </c>
      <c r="H80" s="106">
        <v>9.1332145243929599</v>
      </c>
      <c r="I80" s="106">
        <v>7354.0643350412111</v>
      </c>
      <c r="J80" s="106">
        <v>6.0362411694345131</v>
      </c>
      <c r="K80" s="106">
        <v>4860.3813896286692</v>
      </c>
      <c r="L80" s="106">
        <v>5.0572098015358904</v>
      </c>
      <c r="M80" s="106">
        <v>4072.0653321966988</v>
      </c>
      <c r="N80" s="106">
        <v>4.0470887448187902</v>
      </c>
      <c r="O80" s="106">
        <v>3258.7158573280894</v>
      </c>
      <c r="P80" s="106">
        <v>3.0524912026451565</v>
      </c>
      <c r="Q80" s="106">
        <v>2457.8659163698799</v>
      </c>
      <c r="R80" s="106">
        <v>3.0519774576497265</v>
      </c>
      <c r="S80" s="106">
        <v>2457.4522488995594</v>
      </c>
      <c r="T80" s="106">
        <v>21.022404996712687</v>
      </c>
      <c r="U80" s="106">
        <v>16927.240503353056</v>
      </c>
      <c r="V80" s="106">
        <v>34.028453651046256</v>
      </c>
      <c r="W80" s="106">
        <v>27399.710879822444</v>
      </c>
      <c r="X80" s="106">
        <v>21</v>
      </c>
      <c r="Y80" s="106">
        <v>16909.199999999997</v>
      </c>
      <c r="Z80" s="106">
        <v>31.048127240286163</v>
      </c>
      <c r="AA80" s="106">
        <v>24999.952053878416</v>
      </c>
      <c r="AB80" s="106">
        <v>10</v>
      </c>
      <c r="AC80" s="106">
        <v>8051.9999999999991</v>
      </c>
      <c r="AD80" s="106">
        <v>16.059550556689594</v>
      </c>
      <c r="AE80" s="106">
        <v>12931.15010824646</v>
      </c>
      <c r="AF80" s="106">
        <v>15.05730991257092</v>
      </c>
      <c r="AG80" s="106">
        <v>12124.145941602104</v>
      </c>
      <c r="AH80" s="106">
        <v>13.057544723500962</v>
      </c>
      <c r="AI80" s="106">
        <v>10513.935011362973</v>
      </c>
      <c r="AJ80" s="106">
        <v>12.024235142082937</v>
      </c>
      <c r="AK80" s="106">
        <v>9681.9141364051793</v>
      </c>
      <c r="AL80" s="106">
        <v>10.049742061525436</v>
      </c>
      <c r="AM80" s="106">
        <v>8092.0523079402801</v>
      </c>
      <c r="AN80" s="106">
        <v>17.02055852930188</v>
      </c>
      <c r="AO80" s="106">
        <v>13704.953727793873</v>
      </c>
      <c r="AP80" s="106">
        <v>9</v>
      </c>
      <c r="AQ80" s="106">
        <v>7246.7999999999993</v>
      </c>
      <c r="AR80" s="106">
        <v>16</v>
      </c>
      <c r="AS80" s="106">
        <v>12883.199999999999</v>
      </c>
      <c r="AT80" s="106">
        <v>14.248320591483392</v>
      </c>
      <c r="AU80" s="106">
        <v>11472.747740262426</v>
      </c>
      <c r="AV80" s="106">
        <v>14</v>
      </c>
      <c r="AW80" s="106">
        <v>11272.8</v>
      </c>
      <c r="AX80" s="106">
        <v>15.089749717712403</v>
      </c>
      <c r="AY80" s="106">
        <v>12150.266472702026</v>
      </c>
      <c r="AZ80" s="106">
        <v>4.0593708833487225</v>
      </c>
      <c r="BA80" s="106">
        <v>3268.6054352723913</v>
      </c>
      <c r="BB80" s="106">
        <v>6.0461361014994237</v>
      </c>
      <c r="BC80" s="106">
        <v>4868.3487889273356</v>
      </c>
      <c r="BD80" s="106">
        <v>6.0378600551746517</v>
      </c>
      <c r="BE80" s="106">
        <v>4861.6849164266296</v>
      </c>
      <c r="BF80" s="106">
        <v>6.0430525049392392</v>
      </c>
      <c r="BG80" s="106">
        <v>4865.8658769770745</v>
      </c>
      <c r="BH80" s="106">
        <v>20.073887941326163</v>
      </c>
      <c r="BI80" s="106">
        <v>16163.494570355824</v>
      </c>
      <c r="BJ80" s="106">
        <v>17.066407791341518</v>
      </c>
      <c r="BK80" s="106">
        <v>13741.871553588189</v>
      </c>
      <c r="BL80" s="106">
        <v>12</v>
      </c>
      <c r="BM80" s="106">
        <v>9662.4</v>
      </c>
      <c r="BN80" s="106">
        <v>15.197311322419079</v>
      </c>
      <c r="BO80" s="106">
        <v>12236.875076811841</v>
      </c>
      <c r="BP80" s="106">
        <v>5.0206111915170135</v>
      </c>
      <c r="BQ80" s="106">
        <v>4042.5961314094989</v>
      </c>
      <c r="BR80" s="106">
        <v>7</v>
      </c>
      <c r="BS80" s="106">
        <v>5636.4</v>
      </c>
      <c r="BT80" s="106">
        <v>6.0431582035516991</v>
      </c>
      <c r="BU80" s="106">
        <v>4865.9509854998278</v>
      </c>
      <c r="BV80" s="106">
        <v>6</v>
      </c>
      <c r="BW80" s="106">
        <v>4831.2</v>
      </c>
      <c r="BX80" s="106">
        <v>6.0185251946087721</v>
      </c>
      <c r="BY80" s="106">
        <v>4846.116486698983</v>
      </c>
      <c r="BZ80" s="106">
        <v>4.0238710716843311</v>
      </c>
      <c r="CA80" s="106">
        <v>3240.0209869202231</v>
      </c>
      <c r="CB80" s="106">
        <v>5</v>
      </c>
      <c r="CC80" s="106">
        <v>4025.9999999999995</v>
      </c>
      <c r="CD80" s="106">
        <v>6.0341945867676543</v>
      </c>
      <c r="CE80" s="106">
        <v>4858.7334812653153</v>
      </c>
      <c r="CF80" s="106">
        <v>18.054194197069808</v>
      </c>
      <c r="CG80" s="106">
        <v>14537.237167480609</v>
      </c>
      <c r="CH80" s="106">
        <v>17</v>
      </c>
      <c r="CI80" s="106">
        <v>13688.4</v>
      </c>
      <c r="CJ80" s="106">
        <v>13.03591975308642</v>
      </c>
      <c r="CK80" s="106">
        <v>10496.522585185185</v>
      </c>
      <c r="CL80" s="106">
        <v>12</v>
      </c>
      <c r="CM80" s="106">
        <v>9662.4</v>
      </c>
      <c r="CN80" s="106">
        <v>7.0381403352157683</v>
      </c>
      <c r="CO80" s="106">
        <v>5667.1105979157364</v>
      </c>
      <c r="CP80" s="106">
        <v>6.0950864833749074</v>
      </c>
      <c r="CQ80" s="106">
        <v>4907.7636364134751</v>
      </c>
      <c r="CR80" s="106">
        <v>5.0454099394205203</v>
      </c>
      <c r="CS80" s="106">
        <v>4062.5640832214026</v>
      </c>
      <c r="CT80" s="106">
        <v>7.0394790999068251</v>
      </c>
      <c r="CU80" s="106">
        <v>5668.1885712449748</v>
      </c>
    </row>
    <row r="81" spans="2:99" x14ac:dyDescent="0.2">
      <c r="C81" s="105" t="s">
        <v>247</v>
      </c>
      <c r="D81" s="106">
        <v>8.0907770416410543</v>
      </c>
      <c r="E81" s="106">
        <v>6097.2095785806987</v>
      </c>
      <c r="F81" s="106">
        <v>10</v>
      </c>
      <c r="G81" s="106">
        <v>7536</v>
      </c>
      <c r="H81" s="106">
        <v>10.139006460236132</v>
      </c>
      <c r="I81" s="106">
        <v>7640.7552684339489</v>
      </c>
      <c r="J81" s="106">
        <v>6.0390289516987066</v>
      </c>
      <c r="K81" s="106">
        <v>4551.0122180001454</v>
      </c>
      <c r="L81" s="106">
        <v>5.0498278916602919</v>
      </c>
      <c r="M81" s="106">
        <v>3805.5502991551962</v>
      </c>
      <c r="N81" s="106">
        <v>3.0448464236369435</v>
      </c>
      <c r="O81" s="106">
        <v>2294.5962648528007</v>
      </c>
      <c r="P81" s="106">
        <v>3.0540818451495548</v>
      </c>
      <c r="Q81" s="106">
        <v>2301.5560785047046</v>
      </c>
      <c r="R81" s="106">
        <v>3.0519774576497265</v>
      </c>
      <c r="S81" s="106">
        <v>2299.9702120848337</v>
      </c>
      <c r="T81" s="106">
        <v>23.023805309007233</v>
      </c>
      <c r="U81" s="106">
        <v>17350.739680867853</v>
      </c>
      <c r="V81" s="106">
        <v>30.026675297855864</v>
      </c>
      <c r="W81" s="106">
        <v>22628.102504464179</v>
      </c>
      <c r="X81" s="106">
        <v>19</v>
      </c>
      <c r="Y81" s="106">
        <v>14318.4</v>
      </c>
      <c r="Z81" s="106">
        <v>37.048127240286163</v>
      </c>
      <c r="AA81" s="106">
        <v>27919.468688279652</v>
      </c>
      <c r="AB81" s="106">
        <v>10</v>
      </c>
      <c r="AC81" s="106">
        <v>7536</v>
      </c>
      <c r="AD81" s="106">
        <v>16.054969744636548</v>
      </c>
      <c r="AE81" s="106">
        <v>12099.025199558102</v>
      </c>
      <c r="AF81" s="106">
        <v>15.060891782106603</v>
      </c>
      <c r="AG81" s="106">
        <v>11349.888046995537</v>
      </c>
      <c r="AH81" s="106">
        <v>13.057544723500962</v>
      </c>
      <c r="AI81" s="106">
        <v>9840.1657036303259</v>
      </c>
      <c r="AJ81" s="106">
        <v>12.024235142082937</v>
      </c>
      <c r="AK81" s="106">
        <v>9061.463603073702</v>
      </c>
      <c r="AL81" s="106">
        <v>9.0414517179378624</v>
      </c>
      <c r="AM81" s="106">
        <v>6813.6380146379734</v>
      </c>
      <c r="AN81" s="106">
        <v>16.022614382232067</v>
      </c>
      <c r="AO81" s="106">
        <v>12074.642198450087</v>
      </c>
      <c r="AP81" s="106">
        <v>10</v>
      </c>
      <c r="AQ81" s="106">
        <v>7536</v>
      </c>
      <c r="AR81" s="106">
        <v>17</v>
      </c>
      <c r="AS81" s="106">
        <v>12811.2</v>
      </c>
      <c r="AT81" s="106">
        <v>14.277291327156453</v>
      </c>
      <c r="AU81" s="106">
        <v>10759.366744145103</v>
      </c>
      <c r="AV81" s="106">
        <v>16</v>
      </c>
      <c r="AW81" s="106">
        <v>12057.6</v>
      </c>
      <c r="AX81" s="106">
        <v>15.07799677848816</v>
      </c>
      <c r="AY81" s="106">
        <v>11362.778372268678</v>
      </c>
      <c r="AZ81" s="106">
        <v>4.0593708833487225</v>
      </c>
      <c r="BA81" s="106">
        <v>3059.1418976915975</v>
      </c>
      <c r="BB81" s="106">
        <v>5.038446751249519</v>
      </c>
      <c r="BC81" s="106">
        <v>3796.9734717416377</v>
      </c>
      <c r="BD81" s="106">
        <v>5.0447437015700434</v>
      </c>
      <c r="BE81" s="106">
        <v>3801.7188535031846</v>
      </c>
      <c r="BF81" s="106">
        <v>7.0394647961943022</v>
      </c>
      <c r="BG81" s="106">
        <v>5304.9406704120265</v>
      </c>
      <c r="BH81" s="106">
        <v>20.073887941326163</v>
      </c>
      <c r="BI81" s="106">
        <v>15127.681952583396</v>
      </c>
      <c r="BJ81" s="106">
        <v>16.076784008738631</v>
      </c>
      <c r="BK81" s="106">
        <v>12115.464428985433</v>
      </c>
      <c r="BL81" s="106">
        <v>12</v>
      </c>
      <c r="BM81" s="106">
        <v>9043.2000000000007</v>
      </c>
      <c r="BN81" s="106">
        <v>15.163292128898549</v>
      </c>
      <c r="BO81" s="106">
        <v>11427.056948337948</v>
      </c>
      <c r="BP81" s="106">
        <v>5.0235556474480152</v>
      </c>
      <c r="BQ81" s="106">
        <v>3785.7515359168242</v>
      </c>
      <c r="BR81" s="106">
        <v>7</v>
      </c>
      <c r="BS81" s="106">
        <v>5275.2</v>
      </c>
      <c r="BT81" s="106">
        <v>7.0431582035516991</v>
      </c>
      <c r="BU81" s="106">
        <v>5307.7240221965603</v>
      </c>
      <c r="BV81" s="106">
        <v>7</v>
      </c>
      <c r="BW81" s="106">
        <v>5275.2</v>
      </c>
      <c r="BX81" s="106">
        <v>7.0185251946087721</v>
      </c>
      <c r="BY81" s="106">
        <v>5289.1605866571708</v>
      </c>
      <c r="BZ81" s="106">
        <v>4.0220348354009205</v>
      </c>
      <c r="CA81" s="106">
        <v>3031.005451958134</v>
      </c>
      <c r="CB81" s="106">
        <v>5</v>
      </c>
      <c r="CC81" s="106">
        <v>3768</v>
      </c>
      <c r="CD81" s="106">
        <v>5.0358229004232564</v>
      </c>
      <c r="CE81" s="106">
        <v>3794.9961377589661</v>
      </c>
      <c r="CF81" s="106">
        <v>19.054194197069808</v>
      </c>
      <c r="CG81" s="106">
        <v>14359.240746911808</v>
      </c>
      <c r="CH81" s="106">
        <v>18</v>
      </c>
      <c r="CI81" s="106">
        <v>13564.800000000001</v>
      </c>
      <c r="CJ81" s="106">
        <v>12.03591975308642</v>
      </c>
      <c r="CK81" s="106">
        <v>9070.2691259259263</v>
      </c>
      <c r="CL81" s="106">
        <v>14</v>
      </c>
      <c r="CM81" s="106">
        <v>10550.4</v>
      </c>
      <c r="CN81" s="106">
        <v>7.0317836126798072</v>
      </c>
      <c r="CO81" s="106">
        <v>5299.1521305155029</v>
      </c>
      <c r="CP81" s="106">
        <v>5.1006798059263723</v>
      </c>
      <c r="CQ81" s="106">
        <v>3843.8723017461143</v>
      </c>
      <c r="CR81" s="106">
        <v>6.0510861818480857</v>
      </c>
      <c r="CS81" s="106">
        <v>4560.0985466407174</v>
      </c>
      <c r="CT81" s="106">
        <v>7.0394790999068251</v>
      </c>
      <c r="CU81" s="106">
        <v>5304.9514496897837</v>
      </c>
    </row>
    <row r="82" spans="2:99" x14ac:dyDescent="0.2">
      <c r="C82" s="105" t="s">
        <v>248</v>
      </c>
      <c r="D82" s="106">
        <v>7.08699466490601</v>
      </c>
      <c r="E82" s="106">
        <v>3605.862885504177</v>
      </c>
      <c r="F82" s="106">
        <v>9</v>
      </c>
      <c r="G82" s="106">
        <v>4579.1999999999989</v>
      </c>
      <c r="H82" s="106">
        <v>10.13321452439296</v>
      </c>
      <c r="I82" s="106">
        <v>5155.779550011137</v>
      </c>
      <c r="J82" s="106">
        <v>6.0362411694345131</v>
      </c>
      <c r="K82" s="106">
        <v>3071.2395070082798</v>
      </c>
      <c r="L82" s="106">
        <v>5.0535188465980907</v>
      </c>
      <c r="M82" s="106">
        <v>2571.2303891491079</v>
      </c>
      <c r="N82" s="106">
        <v>4.0426041024550958</v>
      </c>
      <c r="O82" s="106">
        <v>2056.8769673291522</v>
      </c>
      <c r="P82" s="106">
        <v>3.0540818451495548</v>
      </c>
      <c r="Q82" s="106">
        <v>1553.9168428120931</v>
      </c>
      <c r="R82" s="106">
        <v>3.0504487088953227</v>
      </c>
      <c r="S82" s="106">
        <v>1552.06830308594</v>
      </c>
      <c r="T82" s="106">
        <v>23.025205621301776</v>
      </c>
      <c r="U82" s="106">
        <v>11715.224620118341</v>
      </c>
      <c r="V82" s="106">
        <v>33.030232004236645</v>
      </c>
      <c r="W82" s="106">
        <v>16805.7820437556</v>
      </c>
      <c r="X82" s="106">
        <v>20</v>
      </c>
      <c r="Y82" s="106">
        <v>10175.999999999998</v>
      </c>
      <c r="Z82" s="106">
        <v>36.051335722971906</v>
      </c>
      <c r="AA82" s="106">
        <v>18342.919615848103</v>
      </c>
      <c r="AB82" s="106">
        <v>10</v>
      </c>
      <c r="AC82" s="106">
        <v>5087.9999999999991</v>
      </c>
      <c r="AD82" s="106">
        <v>17.06413136874264</v>
      </c>
      <c r="AE82" s="106">
        <v>8682.2300404162525</v>
      </c>
      <c r="AF82" s="106">
        <v>16.060891782106605</v>
      </c>
      <c r="AG82" s="106">
        <v>8171.7817387358391</v>
      </c>
      <c r="AH82" s="106">
        <v>15.065765398286812</v>
      </c>
      <c r="AI82" s="106">
        <v>7665.4614346483286</v>
      </c>
      <c r="AJ82" s="106">
        <v>12.026099383781624</v>
      </c>
      <c r="AK82" s="106">
        <v>6118.8793664680888</v>
      </c>
      <c r="AL82" s="106">
        <v>8.0455968897316499</v>
      </c>
      <c r="AM82" s="106">
        <v>4093.5996974954628</v>
      </c>
      <c r="AN82" s="106">
        <v>15.020558529301878</v>
      </c>
      <c r="AO82" s="106">
        <v>7642.4601797087944</v>
      </c>
      <c r="AP82" s="106">
        <v>10</v>
      </c>
      <c r="AQ82" s="106">
        <v>5087.9999999999991</v>
      </c>
      <c r="AR82" s="106">
        <v>15</v>
      </c>
      <c r="AS82" s="106">
        <v>7631.9999999999982</v>
      </c>
      <c r="AT82" s="106">
        <v>16.293846033255345</v>
      </c>
      <c r="AU82" s="106">
        <v>8290.3088617203175</v>
      </c>
      <c r="AV82" s="106">
        <v>14</v>
      </c>
      <c r="AW82" s="106">
        <v>7123.1999999999989</v>
      </c>
      <c r="AX82" s="106">
        <v>15.080133676528931</v>
      </c>
      <c r="AY82" s="106">
        <v>7672.7720146179181</v>
      </c>
      <c r="AZ82" s="106">
        <v>4.0593708833487225</v>
      </c>
      <c r="BA82" s="106">
        <v>2065.4079054478298</v>
      </c>
      <c r="BB82" s="106">
        <v>5.038446751249519</v>
      </c>
      <c r="BC82" s="106">
        <v>2563.5617070357548</v>
      </c>
      <c r="BD82" s="106">
        <v>6.041301878372348</v>
      </c>
      <c r="BE82" s="106">
        <v>3073.81439571585</v>
      </c>
      <c r="BF82" s="106">
        <v>6.0394647961943022</v>
      </c>
      <c r="BG82" s="106">
        <v>3072.8796883036603</v>
      </c>
      <c r="BH82" s="106">
        <v>20.080221193439833</v>
      </c>
      <c r="BI82" s="106">
        <v>10216.816543222185</v>
      </c>
      <c r="BJ82" s="106">
        <v>17.068483034820943</v>
      </c>
      <c r="BK82" s="106">
        <v>8684.4441681168937</v>
      </c>
      <c r="BL82" s="106">
        <v>12</v>
      </c>
      <c r="BM82" s="106">
        <v>6105.5999999999985</v>
      </c>
      <c r="BN82" s="106">
        <v>14.180301725658813</v>
      </c>
      <c r="BO82" s="106">
        <v>7214.9375180152028</v>
      </c>
      <c r="BP82" s="106">
        <v>5.0235556474480152</v>
      </c>
      <c r="BQ82" s="106">
        <v>2555.9851134215496</v>
      </c>
      <c r="BR82" s="106">
        <v>7</v>
      </c>
      <c r="BS82" s="106">
        <v>3561.5999999999995</v>
      </c>
      <c r="BT82" s="106">
        <v>7.038362847601511</v>
      </c>
      <c r="BU82" s="106">
        <v>3581.1190168596481</v>
      </c>
      <c r="BV82" s="106">
        <v>6</v>
      </c>
      <c r="BW82" s="106">
        <v>3052.7999999999993</v>
      </c>
      <c r="BX82" s="106">
        <v>7.0185251946087721</v>
      </c>
      <c r="BY82" s="106">
        <v>3571.0256190169425</v>
      </c>
      <c r="BZ82" s="106">
        <v>4.0220348354009205</v>
      </c>
      <c r="CA82" s="106">
        <v>2046.4113242519879</v>
      </c>
      <c r="CB82" s="106">
        <v>5</v>
      </c>
      <c r="CC82" s="106">
        <v>2543.9999999999995</v>
      </c>
      <c r="CD82" s="106">
        <v>6.0358229004232564</v>
      </c>
      <c r="CE82" s="106">
        <v>3071.0266917353524</v>
      </c>
      <c r="CF82" s="106">
        <v>17.054194197069808</v>
      </c>
      <c r="CG82" s="106">
        <v>8677.174007469117</v>
      </c>
      <c r="CH82" s="106">
        <v>18</v>
      </c>
      <c r="CI82" s="106">
        <v>9158.3999999999978</v>
      </c>
      <c r="CJ82" s="106">
        <v>14.03591975308642</v>
      </c>
      <c r="CK82" s="106">
        <v>7141.4759703703685</v>
      </c>
      <c r="CL82" s="106">
        <v>13</v>
      </c>
      <c r="CM82" s="106">
        <v>6614.3999999999987</v>
      </c>
      <c r="CN82" s="106">
        <v>8.0317836126798063</v>
      </c>
      <c r="CO82" s="106">
        <v>4086.5715021314845</v>
      </c>
      <c r="CP82" s="106">
        <v>5.0950864833749074</v>
      </c>
      <c r="CQ82" s="106">
        <v>2592.3800027411526</v>
      </c>
      <c r="CR82" s="106">
        <v>5.0454099394205203</v>
      </c>
      <c r="CS82" s="106">
        <v>2567.1045771771601</v>
      </c>
      <c r="CT82" s="106">
        <v>7.0394790999068251</v>
      </c>
      <c r="CU82" s="106">
        <v>3581.686966032592</v>
      </c>
    </row>
    <row r="83" spans="2:99" x14ac:dyDescent="0.2">
      <c r="C83" s="105" t="s">
        <v>249</v>
      </c>
      <c r="D83" s="106">
        <v>8.0794299114359216</v>
      </c>
      <c r="E83" s="106">
        <v>6951.5414957994672</v>
      </c>
      <c r="F83" s="106">
        <v>9</v>
      </c>
      <c r="G83" s="106">
        <v>7743.5999999999995</v>
      </c>
      <c r="H83" s="106">
        <v>9.1390064602361321</v>
      </c>
      <c r="I83" s="106">
        <v>7863.2011583871681</v>
      </c>
      <c r="J83" s="106">
        <v>7.0390289516987066</v>
      </c>
      <c r="K83" s="106">
        <v>6056.3805100415666</v>
      </c>
      <c r="L83" s="106">
        <v>5.0572098015358904</v>
      </c>
      <c r="M83" s="106">
        <v>4351.2233132414804</v>
      </c>
      <c r="N83" s="106">
        <v>3.0426041024550963</v>
      </c>
      <c r="O83" s="106">
        <v>2617.856569752365</v>
      </c>
      <c r="P83" s="106">
        <v>3.0524912026451565</v>
      </c>
      <c r="Q83" s="106">
        <v>2626.3634307558928</v>
      </c>
      <c r="R83" s="106">
        <v>3.0519774576497265</v>
      </c>
      <c r="S83" s="106">
        <v>2625.9214045618246</v>
      </c>
      <c r="T83" s="106">
        <v>22.021004684418145</v>
      </c>
      <c r="U83" s="106">
        <v>18946.87243047337</v>
      </c>
      <c r="V83" s="106">
        <v>30.026675297855864</v>
      </c>
      <c r="W83" s="106">
        <v>25834.951426275184</v>
      </c>
      <c r="X83" s="106">
        <v>21</v>
      </c>
      <c r="Y83" s="106">
        <v>18068.399999999998</v>
      </c>
      <c r="Z83" s="106">
        <v>35.051335722971906</v>
      </c>
      <c r="AA83" s="106">
        <v>30158.169256045028</v>
      </c>
      <c r="AB83" s="106">
        <v>9</v>
      </c>
      <c r="AC83" s="106">
        <v>7743.5999999999995</v>
      </c>
      <c r="AD83" s="106">
        <v>14.059550556689596</v>
      </c>
      <c r="AE83" s="106">
        <v>12096.837298975728</v>
      </c>
      <c r="AF83" s="106">
        <v>13.064473651642286</v>
      </c>
      <c r="AG83" s="106">
        <v>11240.673129873023</v>
      </c>
      <c r="AH83" s="106">
        <v>13.061655060893887</v>
      </c>
      <c r="AI83" s="106">
        <v>11238.248014393101</v>
      </c>
      <c r="AJ83" s="106">
        <v>12.024235142082937</v>
      </c>
      <c r="AK83" s="106">
        <v>10345.651916248158</v>
      </c>
      <c r="AL83" s="106">
        <v>8.0414517179378624</v>
      </c>
      <c r="AM83" s="106">
        <v>6918.8650581137363</v>
      </c>
      <c r="AN83" s="106">
        <v>15.022614382232065</v>
      </c>
      <c r="AO83" s="106">
        <v>12925.457414472468</v>
      </c>
      <c r="AP83" s="106">
        <v>9</v>
      </c>
      <c r="AQ83" s="106">
        <v>7743.5999999999995</v>
      </c>
      <c r="AR83" s="106">
        <v>15</v>
      </c>
      <c r="AS83" s="106">
        <v>12906</v>
      </c>
      <c r="AT83" s="106">
        <v>15.269013974107008</v>
      </c>
      <c r="AU83" s="106">
        <v>13137.459623321669</v>
      </c>
      <c r="AV83" s="106">
        <v>14</v>
      </c>
      <c r="AW83" s="106">
        <v>12045.6</v>
      </c>
      <c r="AX83" s="106">
        <v>16.07799677848816</v>
      </c>
      <c r="AY83" s="106">
        <v>13833.508428211213</v>
      </c>
      <c r="AZ83" s="106">
        <v>4.0519495229301326</v>
      </c>
      <c r="BA83" s="106">
        <v>3486.2973695290862</v>
      </c>
      <c r="BB83" s="106">
        <v>5.0422914263744714</v>
      </c>
      <c r="BC83" s="106">
        <v>4338.3875432525947</v>
      </c>
      <c r="BD83" s="106">
        <v>5.041301878372348</v>
      </c>
      <c r="BE83" s="106">
        <v>4337.5361361515679</v>
      </c>
      <c r="BF83" s="106">
        <v>6.0394647961943022</v>
      </c>
      <c r="BG83" s="106">
        <v>5196.3555106455779</v>
      </c>
      <c r="BH83" s="106">
        <v>19.080221193439833</v>
      </c>
      <c r="BI83" s="106">
        <v>16416.622314835633</v>
      </c>
      <c r="BJ83" s="106">
        <v>14.068483034820943</v>
      </c>
      <c r="BK83" s="106">
        <v>12104.52280315994</v>
      </c>
      <c r="BL83" s="106">
        <v>13</v>
      </c>
      <c r="BM83" s="106">
        <v>11185.199999999999</v>
      </c>
      <c r="BN83" s="106">
        <v>16.170095967602656</v>
      </c>
      <c r="BO83" s="106">
        <v>13912.750570525324</v>
      </c>
      <c r="BP83" s="106">
        <v>5.0235556474480152</v>
      </c>
      <c r="BQ83" s="106">
        <v>4322.2672790642719</v>
      </c>
      <c r="BR83" s="106">
        <v>7</v>
      </c>
      <c r="BS83" s="106">
        <v>6022.8</v>
      </c>
      <c r="BT83" s="106">
        <v>7.0431582035516991</v>
      </c>
      <c r="BU83" s="106">
        <v>6059.9333183358822</v>
      </c>
      <c r="BV83" s="106">
        <v>7</v>
      </c>
      <c r="BW83" s="106">
        <v>6022.8</v>
      </c>
      <c r="BX83" s="106">
        <v>6.0185251946087721</v>
      </c>
      <c r="BY83" s="106">
        <v>5178.3390774413874</v>
      </c>
      <c r="BZ83" s="106">
        <v>4.0220348354009205</v>
      </c>
      <c r="CA83" s="106">
        <v>3460.5587723789517</v>
      </c>
      <c r="CB83" s="106">
        <v>5</v>
      </c>
      <c r="CC83" s="106">
        <v>4302</v>
      </c>
      <c r="CD83" s="106">
        <v>6.0325662731120513</v>
      </c>
      <c r="CE83" s="106">
        <v>5190.4200213856084</v>
      </c>
      <c r="CF83" s="106">
        <v>16.054194197069808</v>
      </c>
      <c r="CG83" s="106">
        <v>13813.028687158863</v>
      </c>
      <c r="CH83" s="106">
        <v>17</v>
      </c>
      <c r="CI83" s="106">
        <v>14626.8</v>
      </c>
      <c r="CJ83" s="106">
        <v>13.03591975308642</v>
      </c>
      <c r="CK83" s="106">
        <v>11216.105355555555</v>
      </c>
      <c r="CL83" s="106">
        <v>13</v>
      </c>
      <c r="CM83" s="106">
        <v>11185.199999999999</v>
      </c>
      <c r="CN83" s="106">
        <v>7.0381403352157683</v>
      </c>
      <c r="CO83" s="106">
        <v>6055.6159444196473</v>
      </c>
      <c r="CP83" s="106">
        <v>6.1006798059263723</v>
      </c>
      <c r="CQ83" s="106">
        <v>5249.0249050190505</v>
      </c>
      <c r="CR83" s="106">
        <v>5.048248060634303</v>
      </c>
      <c r="CS83" s="106">
        <v>4343.5126313697538</v>
      </c>
      <c r="CT83" s="106">
        <v>7.0366591641991949</v>
      </c>
      <c r="CU83" s="106">
        <v>6054.3415448769874</v>
      </c>
    </row>
    <row r="84" spans="2:99" x14ac:dyDescent="0.2">
      <c r="C84" s="105" t="s">
        <v>250</v>
      </c>
      <c r="D84" s="106">
        <v>8.0832122881709658</v>
      </c>
      <c r="E84" s="106">
        <v>6314.6054395191577</v>
      </c>
      <c r="F84" s="106">
        <v>9</v>
      </c>
      <c r="G84" s="106">
        <v>7030.7999999999993</v>
      </c>
      <c r="H84" s="106">
        <v>10.139006460236132</v>
      </c>
      <c r="I84" s="106">
        <v>7920.5918467364654</v>
      </c>
      <c r="J84" s="106">
        <v>6.0362411694345131</v>
      </c>
      <c r="K84" s="106">
        <v>4715.5116015622416</v>
      </c>
      <c r="L84" s="106">
        <v>5.0516733691291913</v>
      </c>
      <c r="M84" s="106">
        <v>3946.3672359637239</v>
      </c>
      <c r="N84" s="106">
        <v>3.0426041024550963</v>
      </c>
      <c r="O84" s="106">
        <v>2376.8823248379208</v>
      </c>
      <c r="P84" s="106">
        <v>3.0461286326275618</v>
      </c>
      <c r="Q84" s="106">
        <v>2379.6356878086513</v>
      </c>
      <c r="R84" s="106">
        <v>3.0504487088953227</v>
      </c>
      <c r="S84" s="106">
        <v>2383.0105313890258</v>
      </c>
      <c r="T84" s="106">
        <v>23.023805309007233</v>
      </c>
      <c r="U84" s="106">
        <v>17986.196707396448</v>
      </c>
      <c r="V84" s="106">
        <v>30.026675297855864</v>
      </c>
      <c r="W84" s="106">
        <v>23456.838742684999</v>
      </c>
      <c r="X84" s="106">
        <v>20</v>
      </c>
      <c r="Y84" s="106">
        <v>15623.999999999998</v>
      </c>
      <c r="Z84" s="106">
        <v>31.048127240286163</v>
      </c>
      <c r="AA84" s="106">
        <v>24254.79700011155</v>
      </c>
      <c r="AB84" s="106">
        <v>9</v>
      </c>
      <c r="AC84" s="106">
        <v>7030.7999999999993</v>
      </c>
      <c r="AD84" s="106">
        <v>15.059550556689596</v>
      </c>
      <c r="AE84" s="106">
        <v>11764.520894885911</v>
      </c>
      <c r="AF84" s="106">
        <v>15.068055521177969</v>
      </c>
      <c r="AG84" s="106">
        <v>11771.164973144228</v>
      </c>
      <c r="AH84" s="106">
        <v>15.065765398286812</v>
      </c>
      <c r="AI84" s="106">
        <v>11769.375929141657</v>
      </c>
      <c r="AJ84" s="106">
        <v>12.024235142082937</v>
      </c>
      <c r="AK84" s="106">
        <v>9393.3324929951887</v>
      </c>
      <c r="AL84" s="106">
        <v>9.0497420615254356</v>
      </c>
      <c r="AM84" s="106">
        <v>7069.6584984636693</v>
      </c>
      <c r="AN84" s="106">
        <v>16.02055852930188</v>
      </c>
      <c r="AO84" s="106">
        <v>12515.260323090628</v>
      </c>
      <c r="AP84" s="106">
        <v>9</v>
      </c>
      <c r="AQ84" s="106">
        <v>7030.7999999999993</v>
      </c>
      <c r="AR84" s="106">
        <v>15</v>
      </c>
      <c r="AS84" s="106">
        <v>11717.999999999998</v>
      </c>
      <c r="AT84" s="106">
        <v>13.289707356730624</v>
      </c>
      <c r="AU84" s="106">
        <v>10381.919387077962</v>
      </c>
      <c r="AV84" s="106">
        <v>14</v>
      </c>
      <c r="AW84" s="106">
        <v>10936.8</v>
      </c>
      <c r="AX84" s="106">
        <v>15.079065227508545</v>
      </c>
      <c r="AY84" s="106">
        <v>11779.765755729675</v>
      </c>
      <c r="AZ84" s="106">
        <v>4.0593708833487225</v>
      </c>
      <c r="BA84" s="106">
        <v>3171.1805340720216</v>
      </c>
      <c r="BB84" s="106">
        <v>5.0422914263744714</v>
      </c>
      <c r="BC84" s="106">
        <v>3939.0380622837365</v>
      </c>
      <c r="BD84" s="106">
        <v>6.0447437015700434</v>
      </c>
      <c r="BE84" s="106">
        <v>4722.153779666517</v>
      </c>
      <c r="BF84" s="106">
        <v>7.0394647961943022</v>
      </c>
      <c r="BG84" s="106">
        <v>5499.2298987869881</v>
      </c>
      <c r="BH84" s="106">
        <v>19.080221193439833</v>
      </c>
      <c r="BI84" s="106">
        <v>14905.468796315196</v>
      </c>
      <c r="BJ84" s="106">
        <v>14.06640779134152</v>
      </c>
      <c r="BK84" s="106">
        <v>10988.677766595994</v>
      </c>
      <c r="BL84" s="106">
        <v>12</v>
      </c>
      <c r="BM84" s="106">
        <v>9374.4</v>
      </c>
      <c r="BN84" s="106">
        <v>16.180301725658815</v>
      </c>
      <c r="BO84" s="106">
        <v>12640.051708084666</v>
      </c>
      <c r="BP84" s="106">
        <v>6.0206111915170135</v>
      </c>
      <c r="BQ84" s="106">
        <v>4703.3014628130904</v>
      </c>
      <c r="BR84" s="106">
        <v>6</v>
      </c>
      <c r="BS84" s="106">
        <v>4687.2</v>
      </c>
      <c r="BT84" s="106">
        <v>7.038362847601511</v>
      </c>
      <c r="BU84" s="106">
        <v>5498.3690565463003</v>
      </c>
      <c r="BV84" s="106">
        <v>6</v>
      </c>
      <c r="BW84" s="106">
        <v>4687.2</v>
      </c>
      <c r="BX84" s="106">
        <v>7.0154376621739765</v>
      </c>
      <c r="BY84" s="106">
        <v>5480.4599016903103</v>
      </c>
      <c r="BZ84" s="106">
        <v>4.0220348354009205</v>
      </c>
      <c r="CA84" s="106">
        <v>3142.013613415199</v>
      </c>
      <c r="CB84" s="106">
        <v>5</v>
      </c>
      <c r="CC84" s="106">
        <v>3905.9999999999995</v>
      </c>
      <c r="CD84" s="106">
        <v>5.0358229004232564</v>
      </c>
      <c r="CE84" s="106">
        <v>3933.9848498106476</v>
      </c>
      <c r="CF84" s="106">
        <v>18.060215774522007</v>
      </c>
      <c r="CG84" s="106">
        <v>14108.640563056591</v>
      </c>
      <c r="CH84" s="106">
        <v>16</v>
      </c>
      <c r="CI84" s="106">
        <v>12499.199999999999</v>
      </c>
      <c r="CJ84" s="106">
        <v>14.03591975308642</v>
      </c>
      <c r="CK84" s="106">
        <v>10964.86051111111</v>
      </c>
      <c r="CL84" s="106">
        <v>13</v>
      </c>
      <c r="CM84" s="106">
        <v>10155.599999999999</v>
      </c>
      <c r="CN84" s="106">
        <v>8.0381403352157683</v>
      </c>
      <c r="CO84" s="106">
        <v>6279.3952298705581</v>
      </c>
      <c r="CP84" s="106">
        <v>6.0950864833749074</v>
      </c>
      <c r="CQ84" s="106">
        <v>4761.4815608124773</v>
      </c>
      <c r="CR84" s="106">
        <v>5.048248060634303</v>
      </c>
      <c r="CS84" s="106">
        <v>3943.691384967517</v>
      </c>
      <c r="CT84" s="106">
        <v>7.0422990356144552</v>
      </c>
      <c r="CU84" s="106">
        <v>5501.4440066220122</v>
      </c>
    </row>
    <row r="85" spans="2:99" x14ac:dyDescent="0.2">
      <c r="C85" s="105" t="s">
        <v>251</v>
      </c>
      <c r="D85" s="106">
        <v>9.0945594183760967</v>
      </c>
      <c r="E85" s="106">
        <v>1364.1839127564144</v>
      </c>
      <c r="F85" s="106">
        <v>11</v>
      </c>
      <c r="G85" s="106">
        <v>1650</v>
      </c>
      <c r="H85" s="106">
        <v>10.13321452439296</v>
      </c>
      <c r="I85" s="106">
        <v>1519.9821786589439</v>
      </c>
      <c r="J85" s="106">
        <v>6.0362411694345131</v>
      </c>
      <c r="K85" s="106">
        <v>905.43617541517699</v>
      </c>
      <c r="L85" s="106">
        <v>6.0609007564736901</v>
      </c>
      <c r="M85" s="106">
        <v>909.1351134710535</v>
      </c>
      <c r="N85" s="106">
        <v>3.0493310660006379</v>
      </c>
      <c r="O85" s="106">
        <v>457.39965990009568</v>
      </c>
      <c r="P85" s="106">
        <v>3.0556724876539536</v>
      </c>
      <c r="Q85" s="106">
        <v>458.35087314809306</v>
      </c>
      <c r="R85" s="106">
        <v>3.0535062064041303</v>
      </c>
      <c r="S85" s="106">
        <v>458.02593096061952</v>
      </c>
      <c r="T85" s="106">
        <v>25.023805309007233</v>
      </c>
      <c r="U85" s="106">
        <v>3753.5707963510849</v>
      </c>
      <c r="V85" s="106">
        <v>32.028453651046256</v>
      </c>
      <c r="W85" s="106">
        <v>4804.2680476569385</v>
      </c>
      <c r="X85" s="106">
        <v>23</v>
      </c>
      <c r="Y85" s="106">
        <v>3450</v>
      </c>
      <c r="Z85" s="106">
        <v>40.048127240286163</v>
      </c>
      <c r="AA85" s="106">
        <v>6007.2190860429246</v>
      </c>
      <c r="AB85" s="106">
        <v>10</v>
      </c>
      <c r="AC85" s="106">
        <v>1500</v>
      </c>
      <c r="AD85" s="106">
        <v>16.06413136874264</v>
      </c>
      <c r="AE85" s="106">
        <v>2409.619705311396</v>
      </c>
      <c r="AF85" s="106">
        <v>15.068055521177969</v>
      </c>
      <c r="AG85" s="106">
        <v>2260.2083281766954</v>
      </c>
      <c r="AH85" s="106">
        <v>15.065765398286812</v>
      </c>
      <c r="AI85" s="106">
        <v>2259.8648097430219</v>
      </c>
      <c r="AJ85" s="106">
        <v>13.026099383781624</v>
      </c>
      <c r="AK85" s="106">
        <v>1953.9149075672435</v>
      </c>
      <c r="AL85" s="106">
        <v>9.0497420615254356</v>
      </c>
      <c r="AM85" s="106">
        <v>1357.4613092288153</v>
      </c>
      <c r="AN85" s="106">
        <v>15.022614382232065</v>
      </c>
      <c r="AO85" s="106">
        <v>2253.3921573348098</v>
      </c>
      <c r="AP85" s="106">
        <v>10</v>
      </c>
      <c r="AQ85" s="106">
        <v>1500</v>
      </c>
      <c r="AR85" s="106">
        <v>16</v>
      </c>
      <c r="AS85" s="106">
        <v>2400</v>
      </c>
      <c r="AT85" s="106">
        <v>17.318678092403687</v>
      </c>
      <c r="AU85" s="106">
        <v>2597.8017138605528</v>
      </c>
      <c r="AV85" s="106">
        <v>15</v>
      </c>
      <c r="AW85" s="106">
        <v>2250</v>
      </c>
      <c r="AX85" s="106">
        <v>16.085475921630859</v>
      </c>
      <c r="AY85" s="106">
        <v>2412.8213882446289</v>
      </c>
      <c r="AZ85" s="106">
        <v>4.0667922437673134</v>
      </c>
      <c r="BA85" s="106">
        <v>610.01883656509699</v>
      </c>
      <c r="BB85" s="106">
        <v>5.0461361014994237</v>
      </c>
      <c r="BC85" s="106">
        <v>756.92041522491354</v>
      </c>
      <c r="BD85" s="106">
        <v>5.0447437015700434</v>
      </c>
      <c r="BE85" s="106">
        <v>756.71155523550647</v>
      </c>
      <c r="BF85" s="106">
        <v>6.0394647961943022</v>
      </c>
      <c r="BG85" s="106">
        <v>905.91971942914529</v>
      </c>
      <c r="BH85" s="106">
        <v>19.084443361515614</v>
      </c>
      <c r="BI85" s="106">
        <v>2862.6665042273421</v>
      </c>
      <c r="BJ85" s="106">
        <v>16.083009739176902</v>
      </c>
      <c r="BK85" s="106">
        <v>2412.4514608765353</v>
      </c>
      <c r="BL85" s="106">
        <v>15</v>
      </c>
      <c r="BM85" s="106">
        <v>2250</v>
      </c>
      <c r="BN85" s="106">
        <v>16.210918999827292</v>
      </c>
      <c r="BO85" s="106">
        <v>2431.637849974094</v>
      </c>
      <c r="BP85" s="106">
        <v>6.0235556474480152</v>
      </c>
      <c r="BQ85" s="106">
        <v>903.53334711720231</v>
      </c>
      <c r="BR85" s="106">
        <v>7</v>
      </c>
      <c r="BS85" s="106">
        <v>1050</v>
      </c>
      <c r="BT85" s="106">
        <v>7.0431582035516991</v>
      </c>
      <c r="BU85" s="106">
        <v>1056.4737305327549</v>
      </c>
      <c r="BV85" s="106">
        <v>6</v>
      </c>
      <c r="BW85" s="106">
        <v>900</v>
      </c>
      <c r="BX85" s="106">
        <v>8.0169814283913734</v>
      </c>
      <c r="BY85" s="106">
        <v>1202.5472142587059</v>
      </c>
      <c r="BZ85" s="106">
        <v>4.0220348354009205</v>
      </c>
      <c r="CA85" s="106">
        <v>603.3052253101381</v>
      </c>
      <c r="CB85" s="106">
        <v>5</v>
      </c>
      <c r="CC85" s="106">
        <v>750</v>
      </c>
      <c r="CD85" s="106">
        <v>6.0374512140788594</v>
      </c>
      <c r="CE85" s="106">
        <v>905.61768211182891</v>
      </c>
      <c r="CF85" s="106">
        <v>18.060215774522007</v>
      </c>
      <c r="CG85" s="106">
        <v>2709.0323661783009</v>
      </c>
      <c r="CH85" s="106">
        <v>17</v>
      </c>
      <c r="CI85" s="106">
        <v>2550</v>
      </c>
      <c r="CJ85" s="106">
        <v>14.043901920438957</v>
      </c>
      <c r="CK85" s="106">
        <v>2106.5852880658435</v>
      </c>
      <c r="CL85" s="106">
        <v>15</v>
      </c>
      <c r="CM85" s="106">
        <v>2250</v>
      </c>
      <c r="CN85" s="106">
        <v>8.0349619739477873</v>
      </c>
      <c r="CO85" s="106">
        <v>1205.244296092168</v>
      </c>
      <c r="CP85" s="106">
        <v>6.106273128477838</v>
      </c>
      <c r="CQ85" s="106">
        <v>915.94096927167573</v>
      </c>
      <c r="CR85" s="106">
        <v>6.048248060634303</v>
      </c>
      <c r="CS85" s="106">
        <v>907.23720909514543</v>
      </c>
      <c r="CT85" s="106">
        <v>7.0451189713220854</v>
      </c>
      <c r="CU85" s="106">
        <v>1056.7678456983128</v>
      </c>
    </row>
    <row r="86" spans="2:99" x14ac:dyDescent="0.2">
      <c r="C86" s="105" t="s">
        <v>252</v>
      </c>
      <c r="D86" s="106">
        <v>9.08699466490601</v>
      </c>
      <c r="E86" s="106">
        <v>4906.9771190492456</v>
      </c>
      <c r="F86" s="106">
        <v>10</v>
      </c>
      <c r="G86" s="106">
        <v>5400</v>
      </c>
      <c r="H86" s="106">
        <v>11.127422588549788</v>
      </c>
      <c r="I86" s="106">
        <v>6008.8081978168857</v>
      </c>
      <c r="J86" s="106">
        <v>6.0362411694345131</v>
      </c>
      <c r="K86" s="106">
        <v>3259.570231494637</v>
      </c>
      <c r="L86" s="106">
        <v>6.0572098015358904</v>
      </c>
      <c r="M86" s="106">
        <v>3270.8932928293807</v>
      </c>
      <c r="N86" s="106">
        <v>3.0448464236369435</v>
      </c>
      <c r="O86" s="106">
        <v>1644.2170687639496</v>
      </c>
      <c r="P86" s="106">
        <v>3.0493099176363589</v>
      </c>
      <c r="Q86" s="106">
        <v>1646.6273555236339</v>
      </c>
      <c r="R86" s="106">
        <v>3.0565637039129379</v>
      </c>
      <c r="S86" s="106">
        <v>1650.5444001129865</v>
      </c>
      <c r="T86" s="106">
        <v>22.023805309007233</v>
      </c>
      <c r="U86" s="106">
        <v>11892.854866863907</v>
      </c>
      <c r="V86" s="106">
        <v>34.024896944665471</v>
      </c>
      <c r="W86" s="106">
        <v>18373.444350119353</v>
      </c>
      <c r="X86" s="106">
        <v>23</v>
      </c>
      <c r="Y86" s="106">
        <v>12420</v>
      </c>
      <c r="Z86" s="106">
        <v>38.048127240286163</v>
      </c>
      <c r="AA86" s="106">
        <v>20545.988709754529</v>
      </c>
      <c r="AB86" s="106">
        <v>10</v>
      </c>
      <c r="AC86" s="106">
        <v>5400</v>
      </c>
      <c r="AD86" s="106">
        <v>16.054969744636548</v>
      </c>
      <c r="AE86" s="106">
        <v>8669.6836621037364</v>
      </c>
      <c r="AF86" s="106">
        <v>15.060891782106603</v>
      </c>
      <c r="AG86" s="106">
        <v>8132.8815623375658</v>
      </c>
      <c r="AH86" s="106">
        <v>14.057544723500962</v>
      </c>
      <c r="AI86" s="106">
        <v>7591.0741506905197</v>
      </c>
      <c r="AJ86" s="106">
        <v>11.026099383781624</v>
      </c>
      <c r="AK86" s="106">
        <v>5954.0936672420767</v>
      </c>
      <c r="AL86" s="106">
        <v>9.0414517179378624</v>
      </c>
      <c r="AM86" s="106">
        <v>4882.3839276864455</v>
      </c>
      <c r="AN86" s="106">
        <v>16.022614382232067</v>
      </c>
      <c r="AO86" s="106">
        <v>8652.2117664053167</v>
      </c>
      <c r="AP86" s="106">
        <v>9</v>
      </c>
      <c r="AQ86" s="106">
        <v>4860</v>
      </c>
      <c r="AR86" s="106">
        <v>17</v>
      </c>
      <c r="AS86" s="106">
        <v>9180</v>
      </c>
      <c r="AT86" s="106">
        <v>16.256597944532839</v>
      </c>
      <c r="AU86" s="106">
        <v>8778.5628900477332</v>
      </c>
      <c r="AV86" s="106">
        <v>17</v>
      </c>
      <c r="AW86" s="106">
        <v>9180</v>
      </c>
      <c r="AX86" s="106">
        <v>16.092955064773559</v>
      </c>
      <c r="AY86" s="106">
        <v>8690.1957349777222</v>
      </c>
      <c r="AZ86" s="106">
        <v>4.0519495229301326</v>
      </c>
      <c r="BA86" s="106">
        <v>2188.0527423822714</v>
      </c>
      <c r="BB86" s="106">
        <v>6.0422914263744714</v>
      </c>
      <c r="BC86" s="106">
        <v>3262.8373702422145</v>
      </c>
      <c r="BD86" s="106">
        <v>6.0447437015700434</v>
      </c>
      <c r="BE86" s="106">
        <v>3264.1615988478234</v>
      </c>
      <c r="BF86" s="106">
        <v>6.0430525049392392</v>
      </c>
      <c r="BG86" s="106">
        <v>3263.248352667189</v>
      </c>
      <c r="BH86" s="106">
        <v>19.078110109401944</v>
      </c>
      <c r="BI86" s="106">
        <v>10302.17945907705</v>
      </c>
      <c r="BJ86" s="106">
        <v>16.07470876525921</v>
      </c>
      <c r="BK86" s="106">
        <v>8680.3427332399733</v>
      </c>
      <c r="BL86" s="106">
        <v>13</v>
      </c>
      <c r="BM86" s="106">
        <v>7020</v>
      </c>
      <c r="BN86" s="106">
        <v>16.18710556436292</v>
      </c>
      <c r="BO86" s="106">
        <v>8741.0370047559773</v>
      </c>
      <c r="BP86" s="106">
        <v>6.0235556474480152</v>
      </c>
      <c r="BQ86" s="106">
        <v>3252.7200496219284</v>
      </c>
      <c r="BR86" s="106">
        <v>7</v>
      </c>
      <c r="BS86" s="106">
        <v>3780</v>
      </c>
      <c r="BT86" s="106">
        <v>7.038362847601511</v>
      </c>
      <c r="BU86" s="106">
        <v>3800.715937704816</v>
      </c>
      <c r="BV86" s="106">
        <v>7</v>
      </c>
      <c r="BW86" s="106">
        <v>3780</v>
      </c>
      <c r="BX86" s="106">
        <v>7.0200689608261699</v>
      </c>
      <c r="BY86" s="106">
        <v>3790.8372388461316</v>
      </c>
      <c r="BZ86" s="106">
        <v>4.0238710716843311</v>
      </c>
      <c r="CA86" s="106">
        <v>2172.8903787095387</v>
      </c>
      <c r="CB86" s="106">
        <v>6</v>
      </c>
      <c r="CC86" s="106">
        <v>3240</v>
      </c>
      <c r="CD86" s="106">
        <v>5.0325662731120513</v>
      </c>
      <c r="CE86" s="106">
        <v>2717.5857874805079</v>
      </c>
      <c r="CF86" s="106">
        <v>17.060215774522007</v>
      </c>
      <c r="CG86" s="106">
        <v>9212.5165182418841</v>
      </c>
      <c r="CH86" s="106">
        <v>16</v>
      </c>
      <c r="CI86" s="106">
        <v>8640</v>
      </c>
      <c r="CJ86" s="106">
        <v>13.03591975308642</v>
      </c>
      <c r="CK86" s="106">
        <v>7039.3966666666665</v>
      </c>
      <c r="CL86" s="106">
        <v>14</v>
      </c>
      <c r="CM86" s="106">
        <v>7560</v>
      </c>
      <c r="CN86" s="106">
        <v>8.0317836126798063</v>
      </c>
      <c r="CO86" s="106">
        <v>4337.1631508470955</v>
      </c>
      <c r="CP86" s="106">
        <v>5.1118664510293028</v>
      </c>
      <c r="CQ86" s="106">
        <v>2760.4078835558234</v>
      </c>
      <c r="CR86" s="106">
        <v>6.048248060634303</v>
      </c>
      <c r="CS86" s="106">
        <v>3266.0539527425235</v>
      </c>
      <c r="CT86" s="106">
        <v>7.0422990356144552</v>
      </c>
      <c r="CU86" s="106">
        <v>3802.8414792318058</v>
      </c>
    </row>
    <row r="87" spans="2:99" x14ac:dyDescent="0.2">
      <c r="B87" s="105" t="s">
        <v>131</v>
      </c>
      <c r="C87" s="105" t="s">
        <v>253</v>
      </c>
      <c r="D87" s="106">
        <v>5.0453885208205271</v>
      </c>
      <c r="E87" s="106">
        <v>9862.7254804999666</v>
      </c>
      <c r="F87" s="106">
        <v>6</v>
      </c>
      <c r="G87" s="106">
        <v>11728.8</v>
      </c>
      <c r="H87" s="106">
        <v>5.0579193584317217</v>
      </c>
      <c r="I87" s="106">
        <v>9887.2207618623288</v>
      </c>
      <c r="J87" s="106">
        <v>4.0306656049061269</v>
      </c>
      <c r="K87" s="106">
        <v>7879.1451244704967</v>
      </c>
      <c r="L87" s="106">
        <v>19.079355531162687</v>
      </c>
      <c r="M87" s="106">
        <v>37296.324192316817</v>
      </c>
      <c r="N87" s="106">
        <v>18.103146774364969</v>
      </c>
      <c r="O87" s="106">
        <v>35388.031314528642</v>
      </c>
      <c r="P87" s="106">
        <v>14.057263130158352</v>
      </c>
      <c r="Q87" s="106">
        <v>27479.137966833547</v>
      </c>
      <c r="R87" s="106">
        <v>22.05350620640413</v>
      </c>
      <c r="S87" s="106">
        <v>43110.193932278795</v>
      </c>
      <c r="T87" s="106">
        <v>33.088219674556214</v>
      </c>
      <c r="U87" s="106">
        <v>64680.851819822485</v>
      </c>
      <c r="V87" s="106">
        <v>22.074690833996417</v>
      </c>
      <c r="W87" s="106">
        <v>43151.605642296192</v>
      </c>
      <c r="X87" s="106">
        <v>40</v>
      </c>
      <c r="Y87" s="106">
        <v>78192</v>
      </c>
      <c r="Z87" s="106">
        <v>26.24384468411656</v>
      </c>
      <c r="AA87" s="106">
        <v>51301.467588511048</v>
      </c>
      <c r="AB87" s="106">
        <v>8</v>
      </c>
      <c r="AC87" s="106">
        <v>15638.4</v>
      </c>
      <c r="AD87" s="106">
        <v>10.077873804901778</v>
      </c>
      <c r="AE87" s="106">
        <v>19700.227713821994</v>
      </c>
      <c r="AF87" s="106">
        <v>10.085964868856381</v>
      </c>
      <c r="AG87" s="106">
        <v>19716.044125640452</v>
      </c>
      <c r="AH87" s="106">
        <v>11.082206747858516</v>
      </c>
      <c r="AI87" s="106">
        <v>21663.497750713825</v>
      </c>
      <c r="AJ87" s="106">
        <v>15.147275094196308</v>
      </c>
      <c r="AK87" s="106">
        <v>29609.893354134943</v>
      </c>
      <c r="AL87" s="106">
        <v>16.186532730720383</v>
      </c>
      <c r="AM87" s="106">
        <v>31641.434182012206</v>
      </c>
      <c r="AN87" s="106">
        <v>12.148021410973525</v>
      </c>
      <c r="AO87" s="106">
        <v>23746.952254171047</v>
      </c>
      <c r="AP87" s="106">
        <v>10</v>
      </c>
      <c r="AQ87" s="106">
        <v>19548</v>
      </c>
      <c r="AR87" s="106">
        <v>6</v>
      </c>
      <c r="AS87" s="106">
        <v>11728.8</v>
      </c>
      <c r="AT87" s="106">
        <v>7.0579414713461244</v>
      </c>
      <c r="AU87" s="106">
        <v>13796.863988187404</v>
      </c>
      <c r="AV87" s="106">
        <v>7</v>
      </c>
      <c r="AW87" s="106">
        <v>13683.6</v>
      </c>
      <c r="AX87" s="106">
        <v>7.0192320823669432</v>
      </c>
      <c r="AY87" s="106">
        <v>13721.194874610901</v>
      </c>
      <c r="AZ87" s="106">
        <v>8.2226408125577102</v>
      </c>
      <c r="BA87" s="106">
        <v>16073.618260387811</v>
      </c>
      <c r="BB87" s="106">
        <v>9.0884275278738951</v>
      </c>
      <c r="BC87" s="106">
        <v>17766.058131487891</v>
      </c>
      <c r="BD87" s="106">
        <v>9.1066965191285654</v>
      </c>
      <c r="BE87" s="106">
        <v>17801.770355592518</v>
      </c>
      <c r="BF87" s="106">
        <v>6.0861050098784784</v>
      </c>
      <c r="BG87" s="106">
        <v>11897.118073310448</v>
      </c>
      <c r="BH87" s="106">
        <v>14.037999512682028</v>
      </c>
      <c r="BI87" s="106">
        <v>27441.481447390826</v>
      </c>
      <c r="BJ87" s="106">
        <v>16.05810681742383</v>
      </c>
      <c r="BK87" s="106">
        <v>31390.387206700103</v>
      </c>
      <c r="BL87" s="106">
        <v>16</v>
      </c>
      <c r="BM87" s="106">
        <v>31276.799999999999</v>
      </c>
      <c r="BN87" s="106">
        <v>20.047626870928742</v>
      </c>
      <c r="BO87" s="106">
        <v>39189.101007291501</v>
      </c>
      <c r="BP87" s="106">
        <v>44.097167045723062</v>
      </c>
      <c r="BQ87" s="106">
        <v>86201.142140979442</v>
      </c>
      <c r="BR87" s="106">
        <v>45</v>
      </c>
      <c r="BS87" s="106">
        <v>87966</v>
      </c>
      <c r="BT87" s="106">
        <v>35.139065322555474</v>
      </c>
      <c r="BU87" s="106">
        <v>68689.844892531444</v>
      </c>
      <c r="BV87" s="106">
        <v>46</v>
      </c>
      <c r="BW87" s="106">
        <v>89920.8</v>
      </c>
      <c r="BX87" s="106">
        <v>24.020068960826169</v>
      </c>
      <c r="BY87" s="106">
        <v>46954.430804622993</v>
      </c>
      <c r="BZ87" s="106">
        <v>37.03856096195161</v>
      </c>
      <c r="CA87" s="106">
        <v>72402.978968423005</v>
      </c>
      <c r="CB87" s="106">
        <v>22</v>
      </c>
      <c r="CC87" s="106">
        <v>43005.599999999999</v>
      </c>
      <c r="CD87" s="106">
        <v>29.02442470483404</v>
      </c>
      <c r="CE87" s="106">
        <v>56736.945413009576</v>
      </c>
      <c r="CF87" s="106">
        <v>10.276992562801238</v>
      </c>
      <c r="CG87" s="106">
        <v>20089.465061763862</v>
      </c>
      <c r="CH87" s="106">
        <v>8</v>
      </c>
      <c r="CI87" s="106">
        <v>15638.4</v>
      </c>
      <c r="CJ87" s="106">
        <v>14.119732510288065</v>
      </c>
      <c r="CK87" s="106">
        <v>27601.253111111109</v>
      </c>
      <c r="CL87" s="106">
        <v>8</v>
      </c>
      <c r="CM87" s="106">
        <v>15638.4</v>
      </c>
      <c r="CN87" s="106">
        <v>5.0349619739477873</v>
      </c>
      <c r="CO87" s="106">
        <v>9842.3436666731341</v>
      </c>
      <c r="CP87" s="106">
        <v>5.0671198706175815</v>
      </c>
      <c r="CQ87" s="106">
        <v>9905.2059230832474</v>
      </c>
      <c r="CR87" s="106">
        <v>7.0198668484964779</v>
      </c>
      <c r="CS87" s="106">
        <v>13722.435715440915</v>
      </c>
      <c r="CT87" s="106">
        <v>7.0338392284915647</v>
      </c>
      <c r="CU87" s="106">
        <v>13749.74892385531</v>
      </c>
    </row>
    <row r="88" spans="2:99" x14ac:dyDescent="0.2">
      <c r="C88" s="105" t="s">
        <v>254</v>
      </c>
      <c r="D88" s="106">
        <v>5.0453885208205271</v>
      </c>
      <c r="E88" s="106">
        <v>9547.8932368007645</v>
      </c>
      <c r="F88" s="106">
        <v>5</v>
      </c>
      <c r="G88" s="106">
        <v>9462</v>
      </c>
      <c r="H88" s="106">
        <v>4.0521274225885495</v>
      </c>
      <c r="I88" s="106">
        <v>7668.2459345065708</v>
      </c>
      <c r="J88" s="106">
        <v>4.0278778226419334</v>
      </c>
      <c r="K88" s="106">
        <v>7622.3559915675942</v>
      </c>
      <c r="L88" s="106">
        <v>22.083046486100486</v>
      </c>
      <c r="M88" s="106">
        <v>41789.957170296555</v>
      </c>
      <c r="N88" s="106">
        <v>19.089692847273888</v>
      </c>
      <c r="O88" s="106">
        <v>36125.334744181106</v>
      </c>
      <c r="P88" s="106">
        <v>12.069988270193543</v>
      </c>
      <c r="Q88" s="106">
        <v>22841.245802514259</v>
      </c>
      <c r="R88" s="106">
        <v>19.05350620640413</v>
      </c>
      <c r="S88" s="106">
        <v>36056.855144999172</v>
      </c>
      <c r="T88" s="106">
        <v>39.079817800788952</v>
      </c>
      <c r="U88" s="106">
        <v>73954.647206213005</v>
      </c>
      <c r="V88" s="106">
        <v>26.067577421234855</v>
      </c>
      <c r="W88" s="106">
        <v>49330.283511944835</v>
      </c>
      <c r="X88" s="106">
        <v>40</v>
      </c>
      <c r="Y88" s="106">
        <v>75696</v>
      </c>
      <c r="Z88" s="106">
        <v>28.224593788002096</v>
      </c>
      <c r="AA88" s="106">
        <v>53412.221284415165</v>
      </c>
      <c r="AB88" s="106">
        <v>9</v>
      </c>
      <c r="AC88" s="106">
        <v>17031.599999999999</v>
      </c>
      <c r="AD88" s="106">
        <v>11.087035429007869</v>
      </c>
      <c r="AE88" s="106">
        <v>20981.10584585449</v>
      </c>
      <c r="AF88" s="106">
        <v>10.078801129785017</v>
      </c>
      <c r="AG88" s="106">
        <v>19073.123258005166</v>
      </c>
      <c r="AH88" s="106">
        <v>11.078096410465591</v>
      </c>
      <c r="AI88" s="106">
        <v>20964.189647165083</v>
      </c>
      <c r="AJ88" s="106">
        <v>16.124904193812057</v>
      </c>
      <c r="AK88" s="106">
        <v>30514.768696369934</v>
      </c>
      <c r="AL88" s="106">
        <v>16.186532730720383</v>
      </c>
      <c r="AM88" s="106">
        <v>30631.394539615252</v>
      </c>
      <c r="AN88" s="106">
        <v>10.129518734601834</v>
      </c>
      <c r="AO88" s="106">
        <v>19169.10125336051</v>
      </c>
      <c r="AP88" s="106">
        <v>10</v>
      </c>
      <c r="AQ88" s="106">
        <v>18924</v>
      </c>
      <c r="AR88" s="106">
        <v>8</v>
      </c>
      <c r="AS88" s="106">
        <v>15139.199999999999</v>
      </c>
      <c r="AT88" s="106">
        <v>6.0703575009202941</v>
      </c>
      <c r="AU88" s="106">
        <v>11487.544534741564</v>
      </c>
      <c r="AV88" s="106">
        <v>7</v>
      </c>
      <c r="AW88" s="106">
        <v>13246.8</v>
      </c>
      <c r="AX88" s="106">
        <v>7.0181636333465578</v>
      </c>
      <c r="AY88" s="106">
        <v>13281.172859745026</v>
      </c>
      <c r="AZ88" s="106">
        <v>8.2226408125577102</v>
      </c>
      <c r="BA88" s="106">
        <v>15560.525473684209</v>
      </c>
      <c r="BB88" s="106">
        <v>10.084582852748943</v>
      </c>
      <c r="BC88" s="106">
        <v>19084.064590542097</v>
      </c>
      <c r="BD88" s="106">
        <v>10.092929226337782</v>
      </c>
      <c r="BE88" s="106">
        <v>19099.859267921616</v>
      </c>
      <c r="BF88" s="106">
        <v>6.0861050098784784</v>
      </c>
      <c r="BG88" s="106">
        <v>11517.345120694032</v>
      </c>
      <c r="BH88" s="106">
        <v>16.037999512682028</v>
      </c>
      <c r="BI88" s="106">
        <v>30350.310277799468</v>
      </c>
      <c r="BJ88" s="106">
        <v>16.060182060903252</v>
      </c>
      <c r="BK88" s="106">
        <v>30392.28853205331</v>
      </c>
      <c r="BL88" s="106">
        <v>13</v>
      </c>
      <c r="BM88" s="106">
        <v>24601.199999999997</v>
      </c>
      <c r="BN88" s="106">
        <v>18.047626870928742</v>
      </c>
      <c r="BO88" s="106">
        <v>34153.329090545551</v>
      </c>
      <c r="BP88" s="106">
        <v>43.103055957585063</v>
      </c>
      <c r="BQ88" s="106">
        <v>81568.223094133966</v>
      </c>
      <c r="BR88" s="106">
        <v>48</v>
      </c>
      <c r="BS88" s="106">
        <v>90835.199999999997</v>
      </c>
      <c r="BT88" s="106">
        <v>33.158246746356234</v>
      </c>
      <c r="BU88" s="106">
        <v>62748.666142804534</v>
      </c>
      <c r="BV88" s="106">
        <v>44</v>
      </c>
      <c r="BW88" s="106">
        <v>83265.599999999991</v>
      </c>
      <c r="BX88" s="106">
        <v>27.020068960826169</v>
      </c>
      <c r="BY88" s="106">
        <v>51132.778501467437</v>
      </c>
      <c r="BZ88" s="106">
        <v>39.04039719823502</v>
      </c>
      <c r="CA88" s="106">
        <v>73880.04765793994</v>
      </c>
      <c r="CB88" s="106">
        <v>22</v>
      </c>
      <c r="CC88" s="106">
        <v>41632.799999999996</v>
      </c>
      <c r="CD88" s="106">
        <v>28.02442470483404</v>
      </c>
      <c r="CE88" s="106">
        <v>53033.421311427934</v>
      </c>
      <c r="CF88" s="106">
        <v>9.2408630980880329</v>
      </c>
      <c r="CG88" s="106">
        <v>17487.409326821791</v>
      </c>
      <c r="CH88" s="106">
        <v>9</v>
      </c>
      <c r="CI88" s="106">
        <v>17031.599999999999</v>
      </c>
      <c r="CJ88" s="106">
        <v>15.127714677640604</v>
      </c>
      <c r="CK88" s="106">
        <v>28627.687255967077</v>
      </c>
      <c r="CL88" s="106">
        <v>8</v>
      </c>
      <c r="CM88" s="106">
        <v>15139.199999999999</v>
      </c>
      <c r="CN88" s="106">
        <v>5.0349619739477873</v>
      </c>
      <c r="CO88" s="106">
        <v>9528.1620394987913</v>
      </c>
      <c r="CP88" s="106">
        <v>6.0727131931690472</v>
      </c>
      <c r="CQ88" s="106">
        <v>11492.002446753104</v>
      </c>
      <c r="CR88" s="106">
        <v>7.0227049697102597</v>
      </c>
      <c r="CS88" s="106">
        <v>13289.766884679695</v>
      </c>
      <c r="CT88" s="106">
        <v>7.0338392284915647</v>
      </c>
      <c r="CU88" s="106">
        <v>13310.837355997437</v>
      </c>
    </row>
    <row r="89" spans="2:99" x14ac:dyDescent="0.2">
      <c r="C89" s="105" t="s">
        <v>255</v>
      </c>
      <c r="D89" s="106">
        <v>5.0453885208205271</v>
      </c>
      <c r="E89" s="106">
        <v>12096.823517519295</v>
      </c>
      <c r="F89" s="106">
        <v>5</v>
      </c>
      <c r="G89" s="106">
        <v>11988</v>
      </c>
      <c r="H89" s="106">
        <v>4.0579193584317217</v>
      </c>
      <c r="I89" s="106">
        <v>9729.2674537758958</v>
      </c>
      <c r="J89" s="106">
        <v>4.0306656049061269</v>
      </c>
      <c r="K89" s="106">
        <v>9663.9238543229294</v>
      </c>
      <c r="L89" s="106">
        <v>19.083046486100486</v>
      </c>
      <c r="M89" s="106">
        <v>45753.512255074522</v>
      </c>
      <c r="N89" s="106">
        <v>18.091935168455734</v>
      </c>
      <c r="O89" s="106">
        <v>43377.223759889464</v>
      </c>
      <c r="P89" s="106">
        <v>11.060444415167149</v>
      </c>
      <c r="Q89" s="106">
        <v>26518.521529804755</v>
      </c>
      <c r="R89" s="106">
        <v>19.056563703912939</v>
      </c>
      <c r="S89" s="106">
        <v>45690.017136501658</v>
      </c>
      <c r="T89" s="106">
        <v>34.079817800788952</v>
      </c>
      <c r="U89" s="106">
        <v>81709.771159171592</v>
      </c>
      <c r="V89" s="106">
        <v>21.072912480806028</v>
      </c>
      <c r="W89" s="106">
        <v>50524.414963980533</v>
      </c>
      <c r="X89" s="106">
        <v>36</v>
      </c>
      <c r="Y89" s="106">
        <v>86313.599999999991</v>
      </c>
      <c r="Z89" s="106">
        <v>27.218176822630607</v>
      </c>
      <c r="AA89" s="106">
        <v>65258.300749939139</v>
      </c>
      <c r="AB89" s="106">
        <v>9</v>
      </c>
      <c r="AC89" s="106">
        <v>21578.399999999998</v>
      </c>
      <c r="AD89" s="106">
        <v>11.082454616954823</v>
      </c>
      <c r="AE89" s="106">
        <v>26571.293189610882</v>
      </c>
      <c r="AF89" s="106">
        <v>9.0859648688563812</v>
      </c>
      <c r="AG89" s="106">
        <v>21784.50936957006</v>
      </c>
      <c r="AH89" s="106">
        <v>11.073986073072664</v>
      </c>
      <c r="AI89" s="106">
        <v>26550.989008799017</v>
      </c>
      <c r="AJ89" s="106">
        <v>17.137953885702871</v>
      </c>
      <c r="AK89" s="106">
        <v>41089.958236361199</v>
      </c>
      <c r="AL89" s="106">
        <v>14.178242387132812</v>
      </c>
      <c r="AM89" s="106">
        <v>33993.753947389632</v>
      </c>
      <c r="AN89" s="106">
        <v>11.141853852182962</v>
      </c>
      <c r="AO89" s="106">
        <v>26713.708795993869</v>
      </c>
      <c r="AP89" s="106">
        <v>9</v>
      </c>
      <c r="AQ89" s="106">
        <v>21578.399999999998</v>
      </c>
      <c r="AR89" s="106">
        <v>7</v>
      </c>
      <c r="AS89" s="106">
        <v>16783.2</v>
      </c>
      <c r="AT89" s="106">
        <v>6.0703575009202941</v>
      </c>
      <c r="AU89" s="106">
        <v>14554.289144206497</v>
      </c>
      <c r="AV89" s="106">
        <v>7</v>
      </c>
      <c r="AW89" s="106">
        <v>16783.2</v>
      </c>
      <c r="AX89" s="106">
        <v>6.0192320823669432</v>
      </c>
      <c r="AY89" s="106">
        <v>14431.710840682983</v>
      </c>
      <c r="AZ89" s="106">
        <v>7.1781126500461685</v>
      </c>
      <c r="BA89" s="106">
        <v>17210.242889750694</v>
      </c>
      <c r="BB89" s="106">
        <v>8.0730488273740875</v>
      </c>
      <c r="BC89" s="106">
        <v>19355.941868512113</v>
      </c>
      <c r="BD89" s="106">
        <v>10.099812872733175</v>
      </c>
      <c r="BE89" s="106">
        <v>24215.31134366506</v>
      </c>
      <c r="BF89" s="106">
        <v>6.0932804273683514</v>
      </c>
      <c r="BG89" s="106">
        <v>14609.249152658358</v>
      </c>
      <c r="BH89" s="106">
        <v>15.040110596719916</v>
      </c>
      <c r="BI89" s="106">
        <v>36060.169166695669</v>
      </c>
      <c r="BJ89" s="106">
        <v>15.062257304382674</v>
      </c>
      <c r="BK89" s="106">
        <v>36113.268112987898</v>
      </c>
      <c r="BL89" s="106">
        <v>13</v>
      </c>
      <c r="BM89" s="106">
        <v>31168.799999999999</v>
      </c>
      <c r="BN89" s="106">
        <v>18.051028790280796</v>
      </c>
      <c r="BO89" s="106">
        <v>43279.146627577233</v>
      </c>
      <c r="BP89" s="106">
        <v>44.085389221999051</v>
      </c>
      <c r="BQ89" s="106">
        <v>105699.12919866492</v>
      </c>
      <c r="BR89" s="106">
        <v>44</v>
      </c>
      <c r="BS89" s="106">
        <v>105494.39999999999</v>
      </c>
      <c r="BT89" s="106">
        <v>32.143860678505668</v>
      </c>
      <c r="BU89" s="106">
        <v>77068.120362785179</v>
      </c>
      <c r="BV89" s="106">
        <v>42</v>
      </c>
      <c r="BW89" s="106">
        <v>100699.2</v>
      </c>
      <c r="BX89" s="106">
        <v>22.020068960826169</v>
      </c>
      <c r="BY89" s="106">
        <v>52795.317340476824</v>
      </c>
      <c r="BZ89" s="106">
        <v>38.04223343451843</v>
      </c>
      <c r="CA89" s="106">
        <v>91210.058882601385</v>
      </c>
      <c r="CB89" s="106">
        <v>21</v>
      </c>
      <c r="CC89" s="106">
        <v>50349.599999999999</v>
      </c>
      <c r="CD89" s="106">
        <v>31.019539763867233</v>
      </c>
      <c r="CE89" s="106">
        <v>74372.448537848075</v>
      </c>
      <c r="CF89" s="106">
        <v>9.2408630980880329</v>
      </c>
      <c r="CG89" s="106">
        <v>22155.893363975865</v>
      </c>
      <c r="CH89" s="106">
        <v>8</v>
      </c>
      <c r="CI89" s="106">
        <v>19180.8</v>
      </c>
      <c r="CJ89" s="106">
        <v>14.111750342935528</v>
      </c>
      <c r="CK89" s="106">
        <v>33834.332622222217</v>
      </c>
      <c r="CL89" s="106">
        <v>8</v>
      </c>
      <c r="CM89" s="106">
        <v>19180.8</v>
      </c>
      <c r="CN89" s="106">
        <v>5.0317836126798072</v>
      </c>
      <c r="CO89" s="106">
        <v>12064.204389761106</v>
      </c>
      <c r="CP89" s="106">
        <v>5.0671198706175815</v>
      </c>
      <c r="CQ89" s="106">
        <v>12148.926601792713</v>
      </c>
      <c r="CR89" s="106">
        <v>7.0198668484964779</v>
      </c>
      <c r="CS89" s="106">
        <v>16830.832755955154</v>
      </c>
      <c r="CT89" s="106">
        <v>7.0310192927839337</v>
      </c>
      <c r="CU89" s="106">
        <v>16857.57185637876</v>
      </c>
    </row>
    <row r="90" spans="2:99" x14ac:dyDescent="0.2">
      <c r="C90" s="105" t="s">
        <v>256</v>
      </c>
      <c r="D90" s="106">
        <v>5.0416061440854829</v>
      </c>
      <c r="E90" s="106">
        <v>11077.417019784622</v>
      </c>
      <c r="F90" s="106">
        <v>6</v>
      </c>
      <c r="G90" s="106">
        <v>13183.199999999999</v>
      </c>
      <c r="H90" s="106">
        <v>4.0579193584317217</v>
      </c>
      <c r="I90" s="106">
        <v>8916.0604143461787</v>
      </c>
      <c r="J90" s="106">
        <v>4.0334533871703204</v>
      </c>
      <c r="K90" s="106">
        <v>8862.3037822906281</v>
      </c>
      <c r="L90" s="106">
        <v>20.084891963569387</v>
      </c>
      <c r="M90" s="106">
        <v>44130.524622354656</v>
      </c>
      <c r="N90" s="106">
        <v>17.085208204910192</v>
      </c>
      <c r="O90" s="106">
        <v>37539.61946782867</v>
      </c>
      <c r="P90" s="106">
        <v>13.065216342680346</v>
      </c>
      <c r="Q90" s="106">
        <v>28706.893348137255</v>
      </c>
      <c r="R90" s="106">
        <v>20.051977457649727</v>
      </c>
      <c r="S90" s="106">
        <v>44058.204869947978</v>
      </c>
      <c r="T90" s="106">
        <v>31.078417488494413</v>
      </c>
      <c r="U90" s="106">
        <v>68285.498905719913</v>
      </c>
      <c r="V90" s="106">
        <v>24.074690833996417</v>
      </c>
      <c r="W90" s="106">
        <v>52896.910700456923</v>
      </c>
      <c r="X90" s="106">
        <v>33</v>
      </c>
      <c r="Y90" s="106">
        <v>72507.599999999991</v>
      </c>
      <c r="Z90" s="106">
        <v>24.224593788002096</v>
      </c>
      <c r="AA90" s="106">
        <v>53226.277470998204</v>
      </c>
      <c r="AB90" s="106">
        <v>9</v>
      </c>
      <c r="AC90" s="106">
        <v>19774.8</v>
      </c>
      <c r="AD90" s="106">
        <v>11.073292992848732</v>
      </c>
      <c r="AE90" s="106">
        <v>24330.239363887231</v>
      </c>
      <c r="AF90" s="106">
        <v>9.0823829993206981</v>
      </c>
      <c r="AG90" s="106">
        <v>19955.811926107435</v>
      </c>
      <c r="AH90" s="106">
        <v>10.078096410465591</v>
      </c>
      <c r="AI90" s="106">
        <v>22143.593433074995</v>
      </c>
      <c r="AJ90" s="106">
        <v>16.132361160606809</v>
      </c>
      <c r="AK90" s="106">
        <v>35446.023942085281</v>
      </c>
      <c r="AL90" s="106">
        <v>15.190677902514171</v>
      </c>
      <c r="AM90" s="106">
        <v>33376.957487404135</v>
      </c>
      <c r="AN90" s="106">
        <v>11.125407028741458</v>
      </c>
      <c r="AO90" s="106">
        <v>24444.744323550731</v>
      </c>
      <c r="AP90" s="106">
        <v>10</v>
      </c>
      <c r="AQ90" s="106">
        <v>21972</v>
      </c>
      <c r="AR90" s="106">
        <v>7</v>
      </c>
      <c r="AS90" s="106">
        <v>15380.399999999998</v>
      </c>
      <c r="AT90" s="106">
        <v>6.0662188243955706</v>
      </c>
      <c r="AU90" s="106">
        <v>13328.696000961947</v>
      </c>
      <c r="AV90" s="106">
        <v>7</v>
      </c>
      <c r="AW90" s="106">
        <v>15380.399999999998</v>
      </c>
      <c r="AX90" s="106">
        <v>6.0170951843261715</v>
      </c>
      <c r="AY90" s="106">
        <v>13220.761539001463</v>
      </c>
      <c r="AZ90" s="106">
        <v>7.2003767313019393</v>
      </c>
      <c r="BA90" s="106">
        <v>15820.66775401662</v>
      </c>
      <c r="BB90" s="106">
        <v>9.076893502499038</v>
      </c>
      <c r="BC90" s="106">
        <v>19943.750403690883</v>
      </c>
      <c r="BD90" s="106">
        <v>9.0998128727331746</v>
      </c>
      <c r="BE90" s="106">
        <v>19994.10884396933</v>
      </c>
      <c r="BF90" s="106">
        <v>6.0861050098784784</v>
      </c>
      <c r="BG90" s="106">
        <v>13372.389927704991</v>
      </c>
      <c r="BH90" s="106">
        <v>14.042221680757807</v>
      </c>
      <c r="BI90" s="106">
        <v>30853.569476961053</v>
      </c>
      <c r="BJ90" s="106">
        <v>17.05810681742383</v>
      </c>
      <c r="BK90" s="106">
        <v>37480.072299243635</v>
      </c>
      <c r="BL90" s="106">
        <v>14</v>
      </c>
      <c r="BM90" s="106">
        <v>30760.799999999996</v>
      </c>
      <c r="BN90" s="106">
        <v>18.05443070963285</v>
      </c>
      <c r="BO90" s="106">
        <v>39669.195155205292</v>
      </c>
      <c r="BP90" s="106">
        <v>42.100111501654062</v>
      </c>
      <c r="BQ90" s="106">
        <v>92502.364991434297</v>
      </c>
      <c r="BR90" s="106">
        <v>47</v>
      </c>
      <c r="BS90" s="106">
        <v>103268.4</v>
      </c>
      <c r="BT90" s="106">
        <v>34.143860678505668</v>
      </c>
      <c r="BU90" s="106">
        <v>75020.890682812649</v>
      </c>
      <c r="BV90" s="106">
        <v>41</v>
      </c>
      <c r="BW90" s="106">
        <v>90085.2</v>
      </c>
      <c r="BX90" s="106">
        <v>25.01852519460877</v>
      </c>
      <c r="BY90" s="106">
        <v>54970.703557594388</v>
      </c>
      <c r="BZ90" s="106">
        <v>36.04039719823502</v>
      </c>
      <c r="CA90" s="106">
        <v>79187.96072396198</v>
      </c>
      <c r="CB90" s="106">
        <v>23</v>
      </c>
      <c r="CC90" s="106">
        <v>50535.6</v>
      </c>
      <c r="CD90" s="106">
        <v>31.022796391178435</v>
      </c>
      <c r="CE90" s="106">
        <v>68163.288230697246</v>
      </c>
      <c r="CF90" s="106">
        <v>8.264949407896836</v>
      </c>
      <c r="CG90" s="106">
        <v>18159.746839030926</v>
      </c>
      <c r="CH90" s="106">
        <v>8</v>
      </c>
      <c r="CI90" s="106">
        <v>17577.599999999999</v>
      </c>
      <c r="CJ90" s="106">
        <v>13.127714677640604</v>
      </c>
      <c r="CK90" s="106">
        <v>28844.214689711935</v>
      </c>
      <c r="CL90" s="106">
        <v>8</v>
      </c>
      <c r="CM90" s="106">
        <v>17577.599999999999</v>
      </c>
      <c r="CN90" s="106">
        <v>5.0349619739477873</v>
      </c>
      <c r="CO90" s="106">
        <v>11062.818449158078</v>
      </c>
      <c r="CP90" s="106">
        <v>6.0615265480661167</v>
      </c>
      <c r="CQ90" s="106">
        <v>13318.386131410871</v>
      </c>
      <c r="CR90" s="106">
        <v>7.0198668484964779</v>
      </c>
      <c r="CS90" s="106">
        <v>15424.051439516459</v>
      </c>
      <c r="CT90" s="106">
        <v>6.0310192927839337</v>
      </c>
      <c r="CU90" s="106">
        <v>13251.355590104858</v>
      </c>
    </row>
    <row r="91" spans="2:99" x14ac:dyDescent="0.2">
      <c r="C91" s="105" t="s">
        <v>257</v>
      </c>
      <c r="D91" s="106">
        <v>5.0491708975555705</v>
      </c>
      <c r="E91" s="106">
        <v>11596.935717505632</v>
      </c>
      <c r="F91" s="106">
        <v>5</v>
      </c>
      <c r="G91" s="106">
        <v>11483.999999999998</v>
      </c>
      <c r="H91" s="106">
        <v>4.0521274225885495</v>
      </c>
      <c r="I91" s="106">
        <v>9306.92626420138</v>
      </c>
      <c r="J91" s="106">
        <v>4.0306656049061269</v>
      </c>
      <c r="K91" s="106">
        <v>9257.6327613483918</v>
      </c>
      <c r="L91" s="106">
        <v>21.073819098755987</v>
      </c>
      <c r="M91" s="106">
        <v>48402.347706022745</v>
      </c>
      <c r="N91" s="106">
        <v>18.080723562546499</v>
      </c>
      <c r="O91" s="106">
        <v>41527.805878456791</v>
      </c>
      <c r="P91" s="106">
        <v>13.065216342680346</v>
      </c>
      <c r="Q91" s="106">
        <v>30008.188895868214</v>
      </c>
      <c r="R91" s="106">
        <v>20.050448708895324</v>
      </c>
      <c r="S91" s="106">
        <v>46051.870594590771</v>
      </c>
      <c r="T91" s="106">
        <v>36.079817800788952</v>
      </c>
      <c r="U91" s="106">
        <v>82868.125524852061</v>
      </c>
      <c r="V91" s="106">
        <v>22.071134127615636</v>
      </c>
      <c r="W91" s="106">
        <v>50692.980864307588</v>
      </c>
      <c r="X91" s="106">
        <v>37</v>
      </c>
      <c r="Y91" s="106">
        <v>84981.599999999991</v>
      </c>
      <c r="Z91" s="106">
        <v>26.211759857259118</v>
      </c>
      <c r="AA91" s="106">
        <v>60203.170040152734</v>
      </c>
      <c r="AB91" s="106">
        <v>8</v>
      </c>
      <c r="AC91" s="106">
        <v>18374.399999999998</v>
      </c>
      <c r="AD91" s="106">
        <v>10.087035429007869</v>
      </c>
      <c r="AE91" s="106">
        <v>23167.902973345273</v>
      </c>
      <c r="AF91" s="106">
        <v>10.078801129785017</v>
      </c>
      <c r="AG91" s="106">
        <v>23148.990434890224</v>
      </c>
      <c r="AH91" s="106">
        <v>11.082206747858516</v>
      </c>
      <c r="AI91" s="106">
        <v>25453.612458481435</v>
      </c>
      <c r="AJ91" s="106">
        <v>16.128632677209431</v>
      </c>
      <c r="AK91" s="106">
        <v>37044.243533014618</v>
      </c>
      <c r="AL91" s="106">
        <v>13.178242387132812</v>
      </c>
      <c r="AM91" s="106">
        <v>30267.787114766637</v>
      </c>
      <c r="AN91" s="106">
        <v>12.131574587532022</v>
      </c>
      <c r="AO91" s="106">
        <v>27863.800512643546</v>
      </c>
      <c r="AP91" s="106">
        <v>10</v>
      </c>
      <c r="AQ91" s="106">
        <v>22967.999999999996</v>
      </c>
      <c r="AR91" s="106">
        <v>6</v>
      </c>
      <c r="AS91" s="106">
        <v>13780.8</v>
      </c>
      <c r="AT91" s="106">
        <v>6.0662188243955706</v>
      </c>
      <c r="AU91" s="106">
        <v>13932.891395871746</v>
      </c>
      <c r="AV91" s="106">
        <v>6</v>
      </c>
      <c r="AW91" s="106">
        <v>13780.8</v>
      </c>
      <c r="AX91" s="106">
        <v>6.0170951843261715</v>
      </c>
      <c r="AY91" s="106">
        <v>13820.064219360349</v>
      </c>
      <c r="AZ91" s="106">
        <v>8.1855340104647585</v>
      </c>
      <c r="BA91" s="106">
        <v>18800.534515235457</v>
      </c>
      <c r="BB91" s="106">
        <v>9.0730488273740875</v>
      </c>
      <c r="BC91" s="106">
        <v>20838.978546712802</v>
      </c>
      <c r="BD91" s="106">
        <v>8.1066965191285654</v>
      </c>
      <c r="BE91" s="106">
        <v>18619.460565134486</v>
      </c>
      <c r="BF91" s="106">
        <v>7.0789295923886053</v>
      </c>
      <c r="BG91" s="106">
        <v>16258.885487798147</v>
      </c>
      <c r="BH91" s="106">
        <v>15.037999512682028</v>
      </c>
      <c r="BI91" s="106">
        <v>34539.277280728078</v>
      </c>
      <c r="BJ91" s="106">
        <v>18.051881086985563</v>
      </c>
      <c r="BK91" s="106">
        <v>41461.560480588436</v>
      </c>
      <c r="BL91" s="106">
        <v>14</v>
      </c>
      <c r="BM91" s="106">
        <v>32155.199999999997</v>
      </c>
      <c r="BN91" s="106">
        <v>17.047626870928742</v>
      </c>
      <c r="BO91" s="106">
        <v>39154.989397149133</v>
      </c>
      <c r="BP91" s="106">
        <v>44.100111501654062</v>
      </c>
      <c r="BQ91" s="106">
        <v>101289.13609699903</v>
      </c>
      <c r="BR91" s="106">
        <v>51</v>
      </c>
      <c r="BS91" s="106">
        <v>117136.79999999999</v>
      </c>
      <c r="BT91" s="106">
        <v>33.134269966605288</v>
      </c>
      <c r="BU91" s="106">
        <v>76102.791259299018</v>
      </c>
      <c r="BV91" s="106">
        <v>42</v>
      </c>
      <c r="BW91" s="106">
        <v>96465.599999999991</v>
      </c>
      <c r="BX91" s="106">
        <v>22.020068960826169</v>
      </c>
      <c r="BY91" s="106">
        <v>50575.694389225537</v>
      </c>
      <c r="BZ91" s="106">
        <v>33.04039719823502</v>
      </c>
      <c r="CA91" s="106">
        <v>75887.18428490618</v>
      </c>
      <c r="CB91" s="106">
        <v>23</v>
      </c>
      <c r="CC91" s="106">
        <v>52826.399999999994</v>
      </c>
      <c r="CD91" s="106">
        <v>31.022796391178435</v>
      </c>
      <c r="CE91" s="106">
        <v>71253.158751258627</v>
      </c>
      <c r="CF91" s="106">
        <v>9.246884675540235</v>
      </c>
      <c r="CG91" s="106">
        <v>21238.244722780808</v>
      </c>
      <c r="CH91" s="106">
        <v>8</v>
      </c>
      <c r="CI91" s="106">
        <v>18374.399999999998</v>
      </c>
      <c r="CJ91" s="106">
        <v>13.123723593964336</v>
      </c>
      <c r="CK91" s="106">
        <v>30142.568350617283</v>
      </c>
      <c r="CL91" s="106">
        <v>9</v>
      </c>
      <c r="CM91" s="106">
        <v>20671.199999999997</v>
      </c>
      <c r="CN91" s="106">
        <v>5.0317836126798072</v>
      </c>
      <c r="CO91" s="106">
        <v>11557.00060160298</v>
      </c>
      <c r="CP91" s="106">
        <v>6.0671198706175815</v>
      </c>
      <c r="CQ91" s="106">
        <v>13934.96091883446</v>
      </c>
      <c r="CR91" s="106">
        <v>7.0227049697102597</v>
      </c>
      <c r="CS91" s="106">
        <v>16129.748774430522</v>
      </c>
      <c r="CT91" s="106">
        <v>7.0310192927839337</v>
      </c>
      <c r="CU91" s="106">
        <v>16148.845111666136</v>
      </c>
    </row>
    <row r="92" spans="2:99" x14ac:dyDescent="0.2">
      <c r="C92" s="105" t="s">
        <v>258</v>
      </c>
      <c r="D92" s="106">
        <v>5.0453885208205271</v>
      </c>
      <c r="E92" s="106">
        <v>7168.488010381805</v>
      </c>
      <c r="F92" s="106">
        <v>5</v>
      </c>
      <c r="G92" s="106">
        <v>7104</v>
      </c>
      <c r="H92" s="106">
        <v>5.0521274225885495</v>
      </c>
      <c r="I92" s="106">
        <v>7178.0626420138105</v>
      </c>
      <c r="J92" s="106">
        <v>4.0362411694345131</v>
      </c>
      <c r="K92" s="106">
        <v>5734.6914535325559</v>
      </c>
      <c r="L92" s="106">
        <v>23.092273873444984</v>
      </c>
      <c r="M92" s="106">
        <v>32809.502719390635</v>
      </c>
      <c r="N92" s="106">
        <v>19.09417748963758</v>
      </c>
      <c r="O92" s="106">
        <v>27129.007377277074</v>
      </c>
      <c r="P92" s="106">
        <v>14.062035057671549</v>
      </c>
      <c r="Q92" s="106">
        <v>19979.339409939737</v>
      </c>
      <c r="R92" s="106">
        <v>22.056563703912939</v>
      </c>
      <c r="S92" s="106">
        <v>31337.965710519504</v>
      </c>
      <c r="T92" s="106">
        <v>36.081218113083494</v>
      </c>
      <c r="U92" s="106">
        <v>51264.194695069025</v>
      </c>
      <c r="V92" s="106">
        <v>26.081804246757983</v>
      </c>
      <c r="W92" s="106">
        <v>37057.027473793743</v>
      </c>
      <c r="X92" s="106">
        <v>42</v>
      </c>
      <c r="Y92" s="106">
        <v>59673.599999999999</v>
      </c>
      <c r="Z92" s="106">
        <v>26.227802270687839</v>
      </c>
      <c r="AA92" s="106">
        <v>37264.461466193279</v>
      </c>
      <c r="AB92" s="106">
        <v>9</v>
      </c>
      <c r="AC92" s="106">
        <v>12787.199999999999</v>
      </c>
      <c r="AD92" s="106">
        <v>12.087035429007869</v>
      </c>
      <c r="AE92" s="106">
        <v>17173.259937534382</v>
      </c>
      <c r="AF92" s="106">
        <v>11.089546738392064</v>
      </c>
      <c r="AG92" s="106">
        <v>15756.028005907445</v>
      </c>
      <c r="AH92" s="106">
        <v>12.098648097430219</v>
      </c>
      <c r="AI92" s="106">
        <v>17189.759216828854</v>
      </c>
      <c r="AJ92" s="106">
        <v>19.132361160606809</v>
      </c>
      <c r="AK92" s="106">
        <v>27183.258736990152</v>
      </c>
      <c r="AL92" s="106">
        <v>17.186532730720383</v>
      </c>
      <c r="AM92" s="106">
        <v>24418.62570380752</v>
      </c>
      <c r="AN92" s="106">
        <v>11.152133116833902</v>
      </c>
      <c r="AO92" s="106">
        <v>15844.950732397607</v>
      </c>
      <c r="AP92" s="106">
        <v>11</v>
      </c>
      <c r="AQ92" s="106">
        <v>15628.8</v>
      </c>
      <c r="AR92" s="106">
        <v>7</v>
      </c>
      <c r="AS92" s="106">
        <v>9945.6</v>
      </c>
      <c r="AT92" s="106">
        <v>7.0703575009202941</v>
      </c>
      <c r="AU92" s="106">
        <v>10045.563937307554</v>
      </c>
      <c r="AV92" s="106">
        <v>7</v>
      </c>
      <c r="AW92" s="106">
        <v>9945.6</v>
      </c>
      <c r="AX92" s="106">
        <v>6.0203005313873295</v>
      </c>
      <c r="AY92" s="106">
        <v>8553.642994995118</v>
      </c>
      <c r="AZ92" s="106">
        <v>9.2152194521391202</v>
      </c>
      <c r="BA92" s="106">
        <v>13092.983797599261</v>
      </c>
      <c r="BB92" s="106">
        <v>9.0845828527489427</v>
      </c>
      <c r="BC92" s="106">
        <v>12907.375317185697</v>
      </c>
      <c r="BD92" s="106">
        <v>10.113580165523956</v>
      </c>
      <c r="BE92" s="106">
        <v>14369.374699176436</v>
      </c>
      <c r="BF92" s="106">
        <v>7.0968681361132884</v>
      </c>
      <c r="BG92" s="106">
        <v>10083.230247789759</v>
      </c>
      <c r="BH92" s="106">
        <v>15.040110596719916</v>
      </c>
      <c r="BI92" s="106">
        <v>21368.989135819658</v>
      </c>
      <c r="BJ92" s="106">
        <v>19.066407791341518</v>
      </c>
      <c r="BK92" s="106">
        <v>27089.552189938029</v>
      </c>
      <c r="BL92" s="106">
        <v>15</v>
      </c>
      <c r="BM92" s="106">
        <v>21312</v>
      </c>
      <c r="BN92" s="106">
        <v>21.057832628984901</v>
      </c>
      <c r="BO92" s="106">
        <v>29918.968599261745</v>
      </c>
      <c r="BP92" s="106">
        <v>43.094222589792061</v>
      </c>
      <c r="BQ92" s="106">
        <v>61228.271455576556</v>
      </c>
      <c r="BR92" s="106">
        <v>52</v>
      </c>
      <c r="BS92" s="106">
        <v>73881.599999999991</v>
      </c>
      <c r="BT92" s="106">
        <v>36.148656034455854</v>
      </c>
      <c r="BU92" s="106">
        <v>51360.010493754875</v>
      </c>
      <c r="BV92" s="106">
        <v>50</v>
      </c>
      <c r="BW92" s="106">
        <v>71040</v>
      </c>
      <c r="BX92" s="106">
        <v>25.023156493260966</v>
      </c>
      <c r="BY92" s="106">
        <v>35552.900745625178</v>
      </c>
      <c r="BZ92" s="106">
        <v>42.045905907085249</v>
      </c>
      <c r="CA92" s="106">
        <v>59738.823112786718</v>
      </c>
      <c r="CB92" s="106">
        <v>22</v>
      </c>
      <c r="CC92" s="106">
        <v>31257.599999999999</v>
      </c>
      <c r="CD92" s="106">
        <v>35.02442470483404</v>
      </c>
      <c r="CE92" s="106">
        <v>49762.702620628203</v>
      </c>
      <c r="CF92" s="106">
        <v>10.252906252992435</v>
      </c>
      <c r="CG92" s="106">
        <v>14567.329204251651</v>
      </c>
      <c r="CH92" s="106">
        <v>8</v>
      </c>
      <c r="CI92" s="106">
        <v>11366.4</v>
      </c>
      <c r="CJ92" s="106">
        <v>16.135696844993141</v>
      </c>
      <c r="CK92" s="106">
        <v>22925.598077366256</v>
      </c>
      <c r="CL92" s="106">
        <v>9</v>
      </c>
      <c r="CM92" s="106">
        <v>12787.199999999999</v>
      </c>
      <c r="CN92" s="106">
        <v>6.0349619739477873</v>
      </c>
      <c r="CO92" s="106">
        <v>8574.4739725850159</v>
      </c>
      <c r="CP92" s="106">
        <v>6.0727131931690472</v>
      </c>
      <c r="CQ92" s="106">
        <v>8628.1109048545823</v>
      </c>
      <c r="CR92" s="106">
        <v>8.0227049697102597</v>
      </c>
      <c r="CS92" s="106">
        <v>11398.659220964337</v>
      </c>
      <c r="CT92" s="106">
        <v>7.0366591641991949</v>
      </c>
      <c r="CU92" s="106">
        <v>9997.6853404942158</v>
      </c>
    </row>
    <row r="93" spans="2:99" x14ac:dyDescent="0.2">
      <c r="C93" s="105" t="s">
        <v>259</v>
      </c>
      <c r="D93" s="106">
        <v>5.0453885208205271</v>
      </c>
      <c r="E93" s="106">
        <v>8942.4466143023019</v>
      </c>
      <c r="F93" s="106">
        <v>6</v>
      </c>
      <c r="G93" s="106">
        <v>10634.4</v>
      </c>
      <c r="H93" s="106">
        <v>4.0521274225885495</v>
      </c>
      <c r="I93" s="106">
        <v>7181.9906437959444</v>
      </c>
      <c r="J93" s="106">
        <v>4.0278778226419334</v>
      </c>
      <c r="K93" s="106">
        <v>7139.0106528505621</v>
      </c>
      <c r="L93" s="106">
        <v>19.075664576224888</v>
      </c>
      <c r="M93" s="106">
        <v>33809.707894900988</v>
      </c>
      <c r="N93" s="106">
        <v>16.103146774364969</v>
      </c>
      <c r="O93" s="106">
        <v>28541.217342884469</v>
      </c>
      <c r="P93" s="106">
        <v>13.065216342680346</v>
      </c>
      <c r="Q93" s="106">
        <v>23156.789445766644</v>
      </c>
      <c r="R93" s="106">
        <v>23.05350620640413</v>
      </c>
      <c r="S93" s="106">
        <v>40860.034400230674</v>
      </c>
      <c r="T93" s="106">
        <v>35.091020299145299</v>
      </c>
      <c r="U93" s="106">
        <v>62195.324378205121</v>
      </c>
      <c r="V93" s="106">
        <v>25.072912480806028</v>
      </c>
      <c r="W93" s="106">
        <v>44439.230080980604</v>
      </c>
      <c r="X93" s="106">
        <v>38</v>
      </c>
      <c r="Y93" s="106">
        <v>67351.199999999997</v>
      </c>
      <c r="Z93" s="106">
        <v>27.211759857259118</v>
      </c>
      <c r="AA93" s="106">
        <v>48230.12317100606</v>
      </c>
      <c r="AB93" s="106">
        <v>10</v>
      </c>
      <c r="AC93" s="106">
        <v>17724</v>
      </c>
      <c r="AD93" s="106">
        <v>11.077873804901778</v>
      </c>
      <c r="AE93" s="106">
        <v>19634.423531807908</v>
      </c>
      <c r="AF93" s="106">
        <v>9.0823829993206981</v>
      </c>
      <c r="AG93" s="106">
        <v>16097.615627996005</v>
      </c>
      <c r="AH93" s="106">
        <v>12.090427422644368</v>
      </c>
      <c r="AI93" s="106">
        <v>21429.073563894875</v>
      </c>
      <c r="AJ93" s="106">
        <v>15.151003577593682</v>
      </c>
      <c r="AK93" s="106">
        <v>26853.638740927039</v>
      </c>
      <c r="AL93" s="106">
        <v>15.20311341789553</v>
      </c>
      <c r="AM93" s="106">
        <v>26945.998221878035</v>
      </c>
      <c r="AN93" s="106">
        <v>12.152133116833902</v>
      </c>
      <c r="AO93" s="106">
        <v>21538.440736276407</v>
      </c>
      <c r="AP93" s="106">
        <v>9</v>
      </c>
      <c r="AQ93" s="106">
        <v>15951.599999999999</v>
      </c>
      <c r="AR93" s="106">
        <v>8</v>
      </c>
      <c r="AS93" s="106">
        <v>14179.199999999999</v>
      </c>
      <c r="AT93" s="106">
        <v>6.0662188243955706</v>
      </c>
      <c r="AU93" s="106">
        <v>10751.766244358709</v>
      </c>
      <c r="AV93" s="106">
        <v>8</v>
      </c>
      <c r="AW93" s="106">
        <v>14179.199999999999</v>
      </c>
      <c r="AX93" s="106">
        <v>6.0192320823669432</v>
      </c>
      <c r="AY93" s="106">
        <v>10668.486942787169</v>
      </c>
      <c r="AZ93" s="106">
        <v>9.2003767313019384</v>
      </c>
      <c r="BA93" s="106">
        <v>16306.747718559554</v>
      </c>
      <c r="BB93" s="106">
        <v>9.0884275278738951</v>
      </c>
      <c r="BC93" s="106">
        <v>16108.328950403691</v>
      </c>
      <c r="BD93" s="106">
        <v>10.10325469593087</v>
      </c>
      <c r="BE93" s="106">
        <v>17907.008623067872</v>
      </c>
      <c r="BF93" s="106">
        <v>7.0968681361132884</v>
      </c>
      <c r="BG93" s="106">
        <v>12578.489084447192</v>
      </c>
      <c r="BH93" s="106">
        <v>16.04644384883359</v>
      </c>
      <c r="BI93" s="106">
        <v>28440.717077672653</v>
      </c>
      <c r="BJ93" s="106">
        <v>17.062257304382676</v>
      </c>
      <c r="BK93" s="106">
        <v>30241.144846287854</v>
      </c>
      <c r="BL93" s="106">
        <v>14</v>
      </c>
      <c r="BM93" s="106">
        <v>24813.599999999999</v>
      </c>
      <c r="BN93" s="106">
        <v>20.05443070963285</v>
      </c>
      <c r="BO93" s="106">
        <v>35544.47298975326</v>
      </c>
      <c r="BP93" s="106">
        <v>48.106000413516071</v>
      </c>
      <c r="BQ93" s="106">
        <v>85263.075132915881</v>
      </c>
      <c r="BR93" s="106">
        <v>56</v>
      </c>
      <c r="BS93" s="106">
        <v>99254.399999999994</v>
      </c>
      <c r="BT93" s="106">
        <v>32.148656034455854</v>
      </c>
      <c r="BU93" s="106">
        <v>56980.277955469552</v>
      </c>
      <c r="BV93" s="106">
        <v>44</v>
      </c>
      <c r="BW93" s="106">
        <v>77985.599999999991</v>
      </c>
      <c r="BX93" s="106">
        <v>26.021612727043568</v>
      </c>
      <c r="BY93" s="106">
        <v>46120.706397412017</v>
      </c>
      <c r="BZ93" s="106">
        <v>34.036724725668201</v>
      </c>
      <c r="CA93" s="106">
        <v>60326.690903774317</v>
      </c>
      <c r="CB93" s="106">
        <v>25</v>
      </c>
      <c r="CC93" s="106">
        <v>44310</v>
      </c>
      <c r="CD93" s="106">
        <v>31.021168077522834</v>
      </c>
      <c r="CE93" s="106">
        <v>54981.918300601465</v>
      </c>
      <c r="CF93" s="106">
        <v>10.246884675540235</v>
      </c>
      <c r="CG93" s="106">
        <v>18161.578398927511</v>
      </c>
      <c r="CH93" s="106">
        <v>9</v>
      </c>
      <c r="CI93" s="106">
        <v>15951.599999999999</v>
      </c>
      <c r="CJ93" s="106">
        <v>16.11175034293553</v>
      </c>
      <c r="CK93" s="106">
        <v>28556.46630781893</v>
      </c>
      <c r="CL93" s="106">
        <v>8</v>
      </c>
      <c r="CM93" s="106">
        <v>14179.199999999999</v>
      </c>
      <c r="CN93" s="106">
        <v>6.0349619739477873</v>
      </c>
      <c r="CO93" s="106">
        <v>10696.366602625058</v>
      </c>
      <c r="CP93" s="106">
        <v>6.0671198706175815</v>
      </c>
      <c r="CQ93" s="106">
        <v>10753.363258682601</v>
      </c>
      <c r="CR93" s="106">
        <v>8.0227049697102597</v>
      </c>
      <c r="CS93" s="106">
        <v>14219.442288314463</v>
      </c>
      <c r="CT93" s="106">
        <v>7.0310192927839337</v>
      </c>
      <c r="CU93" s="106">
        <v>12461.778594530244</v>
      </c>
    </row>
    <row r="94" spans="2:99" x14ac:dyDescent="0.2">
      <c r="C94" s="105" t="s">
        <v>260</v>
      </c>
      <c r="D94" s="106">
        <v>5.0453885208205271</v>
      </c>
      <c r="E94" s="106">
        <v>12084.714585069325</v>
      </c>
      <c r="F94" s="106">
        <v>5</v>
      </c>
      <c r="G94" s="106">
        <v>11976</v>
      </c>
      <c r="H94" s="106">
        <v>4.0579193584317217</v>
      </c>
      <c r="I94" s="106">
        <v>9719.5284473156589</v>
      </c>
      <c r="J94" s="106">
        <v>4.0278778226419334</v>
      </c>
      <c r="K94" s="106">
        <v>9647.5729607919584</v>
      </c>
      <c r="L94" s="106">
        <v>17.070128143818188</v>
      </c>
      <c r="M94" s="106">
        <v>40886.370930073317</v>
      </c>
      <c r="N94" s="106">
        <v>18.082965883728345</v>
      </c>
      <c r="O94" s="106">
        <v>43312.319884706129</v>
      </c>
      <c r="P94" s="106">
        <v>12.063625700175947</v>
      </c>
      <c r="Q94" s="106">
        <v>28894.796277061429</v>
      </c>
      <c r="R94" s="106">
        <v>20.05350620640413</v>
      </c>
      <c r="S94" s="106">
        <v>48032.158065579169</v>
      </c>
      <c r="T94" s="106">
        <v>30.079817800788955</v>
      </c>
      <c r="U94" s="106">
        <v>72047.1795964497</v>
      </c>
      <c r="V94" s="106">
        <v>23.064020714854074</v>
      </c>
      <c r="W94" s="106">
        <v>55242.942416218473</v>
      </c>
      <c r="X94" s="106">
        <v>33</v>
      </c>
      <c r="Y94" s="106">
        <v>79041.599999999991</v>
      </c>
      <c r="Z94" s="106">
        <v>24.218176822630607</v>
      </c>
      <c r="AA94" s="106">
        <v>58007.377125564824</v>
      </c>
      <c r="AB94" s="106">
        <v>8</v>
      </c>
      <c r="AC94" s="106">
        <v>19161.599999999999</v>
      </c>
      <c r="AD94" s="106">
        <v>11.077873804901778</v>
      </c>
      <c r="AE94" s="106">
        <v>26533.723337500734</v>
      </c>
      <c r="AF94" s="106">
        <v>10.082382999320698</v>
      </c>
      <c r="AG94" s="106">
        <v>24149.323759972933</v>
      </c>
      <c r="AH94" s="106">
        <v>11.078096410465591</v>
      </c>
      <c r="AI94" s="106">
        <v>26534.256522347179</v>
      </c>
      <c r="AJ94" s="106">
        <v>17.113718743619934</v>
      </c>
      <c r="AK94" s="106">
        <v>40990.779134718461</v>
      </c>
      <c r="AL94" s="106">
        <v>15.165806871751453</v>
      </c>
      <c r="AM94" s="106">
        <v>36325.140619219077</v>
      </c>
      <c r="AN94" s="106">
        <v>12.135686293392398</v>
      </c>
      <c r="AO94" s="106">
        <v>29067.39580993347</v>
      </c>
      <c r="AP94" s="106">
        <v>9</v>
      </c>
      <c r="AQ94" s="106">
        <v>21556.799999999999</v>
      </c>
      <c r="AR94" s="106">
        <v>7</v>
      </c>
      <c r="AS94" s="106">
        <v>16766.399999999998</v>
      </c>
      <c r="AT94" s="106">
        <v>6.0620801478708479</v>
      </c>
      <c r="AU94" s="106">
        <v>14519.894370180255</v>
      </c>
      <c r="AV94" s="106">
        <v>7</v>
      </c>
      <c r="AW94" s="106">
        <v>16766.399999999998</v>
      </c>
      <c r="AX94" s="106">
        <v>6.0170951843261715</v>
      </c>
      <c r="AY94" s="106">
        <v>14412.146385498045</v>
      </c>
      <c r="AZ94" s="106">
        <v>7.2003767313019393</v>
      </c>
      <c r="BA94" s="106">
        <v>17246.342346814403</v>
      </c>
      <c r="BB94" s="106">
        <v>8.0807381776239904</v>
      </c>
      <c r="BC94" s="106">
        <v>19354.984083044979</v>
      </c>
      <c r="BD94" s="106">
        <v>10.096371049535477</v>
      </c>
      <c r="BE94" s="106">
        <v>24182.827937847374</v>
      </c>
      <c r="BF94" s="106">
        <v>6.0932804273683514</v>
      </c>
      <c r="BG94" s="106">
        <v>14594.625279632673</v>
      </c>
      <c r="BH94" s="106">
        <v>15.037999512682028</v>
      </c>
      <c r="BI94" s="106">
        <v>36019.016432775992</v>
      </c>
      <c r="BJ94" s="106">
        <v>15.051881086985562</v>
      </c>
      <c r="BK94" s="106">
        <v>36052.265579547813</v>
      </c>
      <c r="BL94" s="106">
        <v>15</v>
      </c>
      <c r="BM94" s="106">
        <v>35928</v>
      </c>
      <c r="BN94" s="106">
        <v>18.047626870928742</v>
      </c>
      <c r="BO94" s="106">
        <v>43227.67588124852</v>
      </c>
      <c r="BP94" s="106">
        <v>41.082444766068051</v>
      </c>
      <c r="BQ94" s="106">
        <v>98400.671703686181</v>
      </c>
      <c r="BR94" s="106">
        <v>43</v>
      </c>
      <c r="BS94" s="106">
        <v>102993.59999999999</v>
      </c>
      <c r="BT94" s="106">
        <v>30.153451390406044</v>
      </c>
      <c r="BU94" s="106">
        <v>72223.546770300556</v>
      </c>
      <c r="BV94" s="106">
        <v>41</v>
      </c>
      <c r="BW94" s="106">
        <v>98203.199999999997</v>
      </c>
      <c r="BX94" s="106">
        <v>25.020068960826169</v>
      </c>
      <c r="BY94" s="106">
        <v>59928.069174970835</v>
      </c>
      <c r="BZ94" s="106">
        <v>37.034888489384791</v>
      </c>
      <c r="CA94" s="106">
        <v>88705.96490977444</v>
      </c>
      <c r="CB94" s="106">
        <v>20</v>
      </c>
      <c r="CC94" s="106">
        <v>47904</v>
      </c>
      <c r="CD94" s="106">
        <v>29.02442470483404</v>
      </c>
      <c r="CE94" s="106">
        <v>69519.302053018488</v>
      </c>
      <c r="CF94" s="106">
        <v>8.2348415206358325</v>
      </c>
      <c r="CG94" s="106">
        <v>19724.092410226946</v>
      </c>
      <c r="CH94" s="106">
        <v>8</v>
      </c>
      <c r="CI94" s="106">
        <v>19161.599999999999</v>
      </c>
      <c r="CJ94" s="106">
        <v>14.111750342935528</v>
      </c>
      <c r="CK94" s="106">
        <v>33800.464421399171</v>
      </c>
      <c r="CL94" s="106">
        <v>9</v>
      </c>
      <c r="CM94" s="106">
        <v>21556.799999999999</v>
      </c>
      <c r="CN94" s="106">
        <v>5.0317836126798072</v>
      </c>
      <c r="CO94" s="106">
        <v>12052.128109090674</v>
      </c>
      <c r="CP94" s="106">
        <v>6.0671198706175815</v>
      </c>
      <c r="CQ94" s="106">
        <v>14531.965514103231</v>
      </c>
      <c r="CR94" s="106">
        <v>7.0227049697102597</v>
      </c>
      <c r="CS94" s="106">
        <v>16820.782943450013</v>
      </c>
      <c r="CT94" s="106">
        <v>6.0338392284915647</v>
      </c>
      <c r="CU94" s="106">
        <v>14452.251720082995</v>
      </c>
    </row>
    <row r="95" spans="2:99" x14ac:dyDescent="0.2">
      <c r="B95" s="105" t="s">
        <v>132</v>
      </c>
      <c r="C95" s="105" t="s">
        <v>261</v>
      </c>
      <c r="D95" s="106">
        <v>10.17398932981202</v>
      </c>
      <c r="E95" s="106">
        <v>17629.488710698268</v>
      </c>
      <c r="F95" s="106">
        <v>9</v>
      </c>
      <c r="G95" s="106">
        <v>15595.199999999999</v>
      </c>
      <c r="H95" s="106">
        <v>12.260637112942749</v>
      </c>
      <c r="I95" s="106">
        <v>21245.231989307194</v>
      </c>
      <c r="J95" s="106">
        <v>8.0808456856616075</v>
      </c>
      <c r="K95" s="106">
        <v>14002.489404114433</v>
      </c>
      <c r="L95" s="106">
        <v>9.0516733691291922</v>
      </c>
      <c r="M95" s="106">
        <v>15684.739614027063</v>
      </c>
      <c r="N95" s="106">
        <v>15.060542671909873</v>
      </c>
      <c r="O95" s="106">
        <v>26096.908341885428</v>
      </c>
      <c r="P95" s="106">
        <v>8.0683976276891425</v>
      </c>
      <c r="Q95" s="106">
        <v>13980.919409259746</v>
      </c>
      <c r="R95" s="106">
        <v>10.073379940211378</v>
      </c>
      <c r="S95" s="106">
        <v>17455.152760398276</v>
      </c>
      <c r="T95" s="106">
        <v>14.109224358974359</v>
      </c>
      <c r="U95" s="106">
        <v>24448.463969230768</v>
      </c>
      <c r="V95" s="106">
        <v>13.092474365900326</v>
      </c>
      <c r="W95" s="106">
        <v>22686.639581232084</v>
      </c>
      <c r="X95" s="106">
        <v>14</v>
      </c>
      <c r="Y95" s="106">
        <v>24259.200000000001</v>
      </c>
      <c r="Z95" s="106">
        <v>17.154007168915722</v>
      </c>
      <c r="AA95" s="106">
        <v>29724.463622297164</v>
      </c>
      <c r="AB95" s="106">
        <v>39</v>
      </c>
      <c r="AC95" s="106">
        <v>67579.199999999997</v>
      </c>
      <c r="AD95" s="106">
        <v>40.04122730847741</v>
      </c>
      <c r="AE95" s="106">
        <v>69383.43868012965</v>
      </c>
      <c r="AF95" s="106">
        <v>34.03940056489251</v>
      </c>
      <c r="AG95" s="106">
        <v>58983.47329884574</v>
      </c>
      <c r="AH95" s="106">
        <v>48.03699303653633</v>
      </c>
      <c r="AI95" s="106">
        <v>83238.50153371015</v>
      </c>
      <c r="AJ95" s="106">
        <v>5.0596557343579978</v>
      </c>
      <c r="AK95" s="106">
        <v>8767.371456495539</v>
      </c>
      <c r="AL95" s="106">
        <v>9.1616616999576657</v>
      </c>
      <c r="AM95" s="106">
        <v>15875.327393686643</v>
      </c>
      <c r="AN95" s="106">
        <v>6.0513963232546963</v>
      </c>
      <c r="AO95" s="106">
        <v>10485.859548935738</v>
      </c>
      <c r="AP95" s="106">
        <v>5</v>
      </c>
      <c r="AQ95" s="106">
        <v>8664</v>
      </c>
      <c r="AR95" s="106">
        <v>45</v>
      </c>
      <c r="AS95" s="106">
        <v>77976</v>
      </c>
      <c r="AT95" s="106">
        <v>41.107605589642802</v>
      </c>
      <c r="AU95" s="106">
        <v>71231.258965733039</v>
      </c>
      <c r="AV95" s="106">
        <v>47</v>
      </c>
      <c r="AW95" s="106">
        <v>81441.599999999991</v>
      </c>
      <c r="AX95" s="106">
        <v>41.053422451019287</v>
      </c>
      <c r="AY95" s="106">
        <v>71137.370423126224</v>
      </c>
      <c r="AZ95" s="106">
        <v>26.126163127116037</v>
      </c>
      <c r="BA95" s="106">
        <v>45271.415466666665</v>
      </c>
      <c r="BB95" s="106">
        <v>26.06151480199923</v>
      </c>
      <c r="BC95" s="106">
        <v>45159.392848904266</v>
      </c>
      <c r="BD95" s="106">
        <v>33.051627347965436</v>
      </c>
      <c r="BE95" s="106">
        <v>57271.859868554508</v>
      </c>
      <c r="BF95" s="106">
        <v>29.06457875740886</v>
      </c>
      <c r="BG95" s="106">
        <v>50363.102070838075</v>
      </c>
      <c r="BH95" s="106">
        <v>44.048554932871475</v>
      </c>
      <c r="BI95" s="106">
        <v>76327.335987679689</v>
      </c>
      <c r="BJ95" s="106">
        <v>35.035279139150184</v>
      </c>
      <c r="BK95" s="106">
        <v>60709.131692319439</v>
      </c>
      <c r="BL95" s="106">
        <v>28</v>
      </c>
      <c r="BM95" s="106">
        <v>48518.400000000001</v>
      </c>
      <c r="BN95" s="106">
        <v>38.074842225745165</v>
      </c>
      <c r="BO95" s="106">
        <v>65976.08660877122</v>
      </c>
      <c r="BP95" s="106">
        <v>25.073611398275048</v>
      </c>
      <c r="BQ95" s="106">
        <v>43447.553830931</v>
      </c>
      <c r="BR95" s="106">
        <v>22</v>
      </c>
      <c r="BS95" s="106">
        <v>38121.599999999999</v>
      </c>
      <c r="BT95" s="106">
        <v>25.230177085609064</v>
      </c>
      <c r="BU95" s="106">
        <v>43718.850853943382</v>
      </c>
      <c r="BV95" s="106">
        <v>32</v>
      </c>
      <c r="BW95" s="106">
        <v>55449.599999999999</v>
      </c>
      <c r="BX95" s="106">
        <v>37.154376621739765</v>
      </c>
      <c r="BY95" s="106">
        <v>64381.103810150664</v>
      </c>
      <c r="BZ95" s="106">
        <v>24.117519122138244</v>
      </c>
      <c r="CA95" s="106">
        <v>41790.837134841146</v>
      </c>
      <c r="CB95" s="106">
        <v>21</v>
      </c>
      <c r="CC95" s="106">
        <v>36388.799999999996</v>
      </c>
      <c r="CD95" s="106">
        <v>20.120495210514591</v>
      </c>
      <c r="CE95" s="106">
        <v>34864.794100779684</v>
      </c>
      <c r="CF95" s="106">
        <v>31.084302084330812</v>
      </c>
      <c r="CG95" s="106">
        <v>53862.878651728432</v>
      </c>
      <c r="CH95" s="106">
        <v>14</v>
      </c>
      <c r="CI95" s="106">
        <v>24259.200000000001</v>
      </c>
      <c r="CJ95" s="106">
        <v>27.031928669410149</v>
      </c>
      <c r="CK95" s="106">
        <v>46840.925998353909</v>
      </c>
      <c r="CL95" s="106">
        <v>25</v>
      </c>
      <c r="CM95" s="106">
        <v>43320</v>
      </c>
      <c r="CN95" s="106">
        <v>82.111242644379331</v>
      </c>
      <c r="CO95" s="106">
        <v>142282.36125418049</v>
      </c>
      <c r="CP95" s="106">
        <v>95.173392999095427</v>
      </c>
      <c r="CQ95" s="106">
        <v>164916.45538883255</v>
      </c>
      <c r="CR95" s="106">
        <v>74.113524848551307</v>
      </c>
      <c r="CS95" s="106">
        <v>128423.91585756971</v>
      </c>
      <c r="CT95" s="106">
        <v>68.107157556889959</v>
      </c>
      <c r="CU95" s="106">
        <v>118016.08261457892</v>
      </c>
    </row>
    <row r="96" spans="2:99" x14ac:dyDescent="0.2">
      <c r="C96" s="105" t="s">
        <v>262</v>
      </c>
      <c r="D96" s="106">
        <v>11.20424834369237</v>
      </c>
      <c r="E96" s="106">
        <v>9223.3372365275591</v>
      </c>
      <c r="F96" s="106">
        <v>10</v>
      </c>
      <c r="G96" s="106">
        <v>8232</v>
      </c>
      <c r="H96" s="106">
        <v>10.28959679215861</v>
      </c>
      <c r="I96" s="106">
        <v>8470.3960793049664</v>
      </c>
      <c r="J96" s="106">
        <v>8.0975723792467669</v>
      </c>
      <c r="K96" s="106">
        <v>6665.9215825959382</v>
      </c>
      <c r="L96" s="106">
        <v>10.05720980153589</v>
      </c>
      <c r="M96" s="106">
        <v>8279.095108624344</v>
      </c>
      <c r="N96" s="106">
        <v>16.069511956637264</v>
      </c>
      <c r="O96" s="106">
        <v>13228.422242703795</v>
      </c>
      <c r="P96" s="106">
        <v>9.0811227677243327</v>
      </c>
      <c r="Q96" s="106">
        <v>7475.5802623906702</v>
      </c>
      <c r="R96" s="106">
        <v>11.090196176509819</v>
      </c>
      <c r="S96" s="106">
        <v>9129.449492502883</v>
      </c>
      <c r="T96" s="106">
        <v>15.117626232741618</v>
      </c>
      <c r="U96" s="106">
        <v>12444.829914792899</v>
      </c>
      <c r="V96" s="106">
        <v>15.120928016946582</v>
      </c>
      <c r="W96" s="106">
        <v>12447.547943550426</v>
      </c>
      <c r="X96" s="106">
        <v>15</v>
      </c>
      <c r="Y96" s="106">
        <v>12347.999999999998</v>
      </c>
      <c r="Z96" s="106">
        <v>18.173258065030186</v>
      </c>
      <c r="AA96" s="106">
        <v>14960.226039132847</v>
      </c>
      <c r="AB96" s="106">
        <v>40</v>
      </c>
      <c r="AC96" s="106">
        <v>32928</v>
      </c>
      <c r="AD96" s="106">
        <v>46.04122730847741</v>
      </c>
      <c r="AE96" s="106">
        <v>37901.138320338599</v>
      </c>
      <c r="AF96" s="106">
        <v>42.035818695356824</v>
      </c>
      <c r="AG96" s="106">
        <v>34603.885950017735</v>
      </c>
      <c r="AH96" s="106">
        <v>52.041103373929261</v>
      </c>
      <c r="AI96" s="106">
        <v>42840.236297418567</v>
      </c>
      <c r="AJ96" s="106">
        <v>5.0615199760566858</v>
      </c>
      <c r="AK96" s="106">
        <v>4166.6432442898631</v>
      </c>
      <c r="AL96" s="106">
        <v>10.178242387132812</v>
      </c>
      <c r="AM96" s="106">
        <v>8378.7291330877306</v>
      </c>
      <c r="AN96" s="106">
        <v>6.0534521761848845</v>
      </c>
      <c r="AO96" s="106">
        <v>4983.2018314353963</v>
      </c>
      <c r="AP96" s="106">
        <v>6</v>
      </c>
      <c r="AQ96" s="106">
        <v>4939.2</v>
      </c>
      <c r="AR96" s="106">
        <v>53</v>
      </c>
      <c r="AS96" s="106">
        <v>43629.599999999999</v>
      </c>
      <c r="AT96" s="106">
        <v>46.115882942692252</v>
      </c>
      <c r="AU96" s="106">
        <v>37962.594838424258</v>
      </c>
      <c r="AV96" s="106">
        <v>61</v>
      </c>
      <c r="AW96" s="106">
        <v>50215.199999999997</v>
      </c>
      <c r="AX96" s="106">
        <v>45.055559349060061</v>
      </c>
      <c r="AY96" s="106">
        <v>37089.736456146238</v>
      </c>
      <c r="AZ96" s="106">
        <v>30.126163127116037</v>
      </c>
      <c r="BA96" s="106">
        <v>24799.857486241919</v>
      </c>
      <c r="BB96" s="106">
        <v>29.069204152249135</v>
      </c>
      <c r="BC96" s="106">
        <v>23929.768858131487</v>
      </c>
      <c r="BD96" s="106">
        <v>36.051627347965436</v>
      </c>
      <c r="BE96" s="106">
        <v>29677.699632845146</v>
      </c>
      <c r="BF96" s="106">
        <v>31.071754174898732</v>
      </c>
      <c r="BG96" s="106">
        <v>25578.268036776633</v>
      </c>
      <c r="BH96" s="106">
        <v>49.05277710094726</v>
      </c>
      <c r="BI96" s="106">
        <v>40380.246109499778</v>
      </c>
      <c r="BJ96" s="106">
        <v>39.041504869588451</v>
      </c>
      <c r="BK96" s="106">
        <v>32138.966808645211</v>
      </c>
      <c r="BL96" s="106">
        <v>31</v>
      </c>
      <c r="BM96" s="106">
        <v>25519.199999999997</v>
      </c>
      <c r="BN96" s="106">
        <v>46.074842225745165</v>
      </c>
      <c r="BO96" s="106">
        <v>37928.810120233415</v>
      </c>
      <c r="BP96" s="106">
        <v>28.082444766068054</v>
      </c>
      <c r="BQ96" s="106">
        <v>23117.468531427221</v>
      </c>
      <c r="BR96" s="106">
        <v>30</v>
      </c>
      <c r="BS96" s="106">
        <v>24695.999999999996</v>
      </c>
      <c r="BT96" s="106">
        <v>24.254153865360006</v>
      </c>
      <c r="BU96" s="106">
        <v>19966.019461964355</v>
      </c>
      <c r="BV96" s="106">
        <v>32</v>
      </c>
      <c r="BW96" s="106">
        <v>26342.399999999998</v>
      </c>
      <c r="BX96" s="106">
        <v>40.159007920391957</v>
      </c>
      <c r="BY96" s="106">
        <v>33058.895320066658</v>
      </c>
      <c r="BZ96" s="106">
        <v>31.150571375239625</v>
      </c>
      <c r="CA96" s="106">
        <v>25643.150356097256</v>
      </c>
      <c r="CB96" s="106">
        <v>24</v>
      </c>
      <c r="CC96" s="106">
        <v>19756.8</v>
      </c>
      <c r="CD96" s="106">
        <v>23.135150033415016</v>
      </c>
      <c r="CE96" s="106">
        <v>19044.85550750724</v>
      </c>
      <c r="CF96" s="106">
        <v>33.096345239235212</v>
      </c>
      <c r="CG96" s="106">
        <v>27244.911400938425</v>
      </c>
      <c r="CH96" s="106">
        <v>17</v>
      </c>
      <c r="CI96" s="106">
        <v>13994.4</v>
      </c>
      <c r="CJ96" s="106">
        <v>33.039910836762687</v>
      </c>
      <c r="CK96" s="106">
        <v>27198.454600823043</v>
      </c>
      <c r="CL96" s="106">
        <v>32</v>
      </c>
      <c r="CM96" s="106">
        <v>26342.399999999998</v>
      </c>
      <c r="CN96" s="106">
        <v>86.127134450719225</v>
      </c>
      <c r="CO96" s="106">
        <v>70899.857079832058</v>
      </c>
      <c r="CP96" s="106">
        <v>119.19576628930128</v>
      </c>
      <c r="CQ96" s="106">
        <v>98121.954809352799</v>
      </c>
      <c r="CR96" s="106">
        <v>78.110686727337523</v>
      </c>
      <c r="CS96" s="106">
        <v>64300.717313944246</v>
      </c>
      <c r="CT96" s="106">
        <v>80.10151768547469</v>
      </c>
      <c r="CU96" s="106">
        <v>65939.569358682755</v>
      </c>
    </row>
    <row r="97" spans="2:99" x14ac:dyDescent="0.2">
      <c r="C97" s="105" t="s">
        <v>263</v>
      </c>
      <c r="D97" s="106">
        <v>11.181554083282107</v>
      </c>
      <c r="E97" s="106">
        <v>20448.826107506316</v>
      </c>
      <c r="F97" s="106">
        <v>10</v>
      </c>
      <c r="G97" s="106">
        <v>18288</v>
      </c>
      <c r="H97" s="106">
        <v>10.249053241256405</v>
      </c>
      <c r="I97" s="106">
        <v>18743.468567609714</v>
      </c>
      <c r="J97" s="106">
        <v>8.0864212501899928</v>
      </c>
      <c r="K97" s="106">
        <v>14788.447182347458</v>
      </c>
      <c r="L97" s="106">
        <v>10.05720980153589</v>
      </c>
      <c r="M97" s="106">
        <v>18392.625285048834</v>
      </c>
      <c r="N97" s="106">
        <v>14.058300350728027</v>
      </c>
      <c r="O97" s="106">
        <v>25709.819681411416</v>
      </c>
      <c r="P97" s="106">
        <v>8.0731695552023393</v>
      </c>
      <c r="Q97" s="106">
        <v>14764.212482554038</v>
      </c>
      <c r="R97" s="106">
        <v>11.081023683983398</v>
      </c>
      <c r="S97" s="106">
        <v>20264.976113268836</v>
      </c>
      <c r="T97" s="106">
        <v>15.098021860618015</v>
      </c>
      <c r="U97" s="106">
        <v>27611.262378698226</v>
      </c>
      <c r="V97" s="106">
        <v>13.104922838233064</v>
      </c>
      <c r="W97" s="106">
        <v>23966.282886560624</v>
      </c>
      <c r="X97" s="106">
        <v>14</v>
      </c>
      <c r="Y97" s="106">
        <v>25603.200000000001</v>
      </c>
      <c r="Z97" s="106">
        <v>15.14438172085849</v>
      </c>
      <c r="AA97" s="106">
        <v>27696.045291106006</v>
      </c>
      <c r="AB97" s="106">
        <v>41</v>
      </c>
      <c r="AC97" s="106">
        <v>74980.800000000003</v>
      </c>
      <c r="AD97" s="106">
        <v>38.04122730847741</v>
      </c>
      <c r="AE97" s="106">
        <v>69569.796501743491</v>
      </c>
      <c r="AF97" s="106">
        <v>33.03940056489251</v>
      </c>
      <c r="AG97" s="106">
        <v>60422.455753075425</v>
      </c>
      <c r="AH97" s="106">
        <v>52.032882699143407</v>
      </c>
      <c r="AI97" s="106">
        <v>95157.735880193461</v>
      </c>
      <c r="AJ97" s="106">
        <v>5.0559272509606235</v>
      </c>
      <c r="AK97" s="106">
        <v>9246.2797565567871</v>
      </c>
      <c r="AL97" s="106">
        <v>9.1533713563700942</v>
      </c>
      <c r="AM97" s="106">
        <v>16739.685536529629</v>
      </c>
      <c r="AN97" s="106">
        <v>6.0452287644641327</v>
      </c>
      <c r="AO97" s="106">
        <v>11055.514364452005</v>
      </c>
      <c r="AP97" s="106">
        <v>5</v>
      </c>
      <c r="AQ97" s="106">
        <v>9144</v>
      </c>
      <c r="AR97" s="106">
        <v>48</v>
      </c>
      <c r="AS97" s="106">
        <v>87782.399999999994</v>
      </c>
      <c r="AT97" s="106">
        <v>40.107605589642802</v>
      </c>
      <c r="AU97" s="106">
        <v>73348.789102338749</v>
      </c>
      <c r="AV97" s="106">
        <v>47</v>
      </c>
      <c r="AW97" s="106">
        <v>85953.599999999991</v>
      </c>
      <c r="AX97" s="106">
        <v>36.055559349060061</v>
      </c>
      <c r="AY97" s="106">
        <v>65938.406937561042</v>
      </c>
      <c r="AZ97" s="106">
        <v>26.118741766697447</v>
      </c>
      <c r="BA97" s="106">
        <v>47765.954942936289</v>
      </c>
      <c r="BB97" s="106">
        <v>25.065359477124183</v>
      </c>
      <c r="BC97" s="106">
        <v>45839.529411764706</v>
      </c>
      <c r="BD97" s="106">
        <v>35.048185524767739</v>
      </c>
      <c r="BE97" s="106">
        <v>64096.121687695239</v>
      </c>
      <c r="BF97" s="106">
        <v>26.06457875740886</v>
      </c>
      <c r="BG97" s="106">
        <v>47666.901631549321</v>
      </c>
      <c r="BH97" s="106">
        <v>44.048554932871475</v>
      </c>
      <c r="BI97" s="106">
        <v>80555.997261235345</v>
      </c>
      <c r="BJ97" s="106">
        <v>35.035279139150184</v>
      </c>
      <c r="BK97" s="106">
        <v>64072.518489677852</v>
      </c>
      <c r="BL97" s="106">
        <v>28</v>
      </c>
      <c r="BM97" s="106">
        <v>51206.400000000001</v>
      </c>
      <c r="BN97" s="106">
        <v>39.071440306393114</v>
      </c>
      <c r="BO97" s="106">
        <v>71453.850032331728</v>
      </c>
      <c r="BP97" s="106">
        <v>28.082444766068054</v>
      </c>
      <c r="BQ97" s="106">
        <v>51357.174988185259</v>
      </c>
      <c r="BR97" s="106">
        <v>26</v>
      </c>
      <c r="BS97" s="106">
        <v>47548.799999999996</v>
      </c>
      <c r="BT97" s="106">
        <v>23.191814238007552</v>
      </c>
      <c r="BU97" s="106">
        <v>42413.189878468213</v>
      </c>
      <c r="BV97" s="106">
        <v>33</v>
      </c>
      <c r="BW97" s="106">
        <v>60350.400000000001</v>
      </c>
      <c r="BX97" s="106">
        <v>34.131220128478802</v>
      </c>
      <c r="BY97" s="106">
        <v>62419.175370962032</v>
      </c>
      <c r="BZ97" s="106">
        <v>28.119355358421654</v>
      </c>
      <c r="CA97" s="106">
        <v>51424.677079481517</v>
      </c>
      <c r="CB97" s="106">
        <v>22</v>
      </c>
      <c r="CC97" s="106">
        <v>40233.599999999999</v>
      </c>
      <c r="CD97" s="106">
        <v>20.127008465137003</v>
      </c>
      <c r="CE97" s="106">
        <v>36808.273081042549</v>
      </c>
      <c r="CF97" s="106">
        <v>29.090323661783014</v>
      </c>
      <c r="CG97" s="106">
        <v>53200.383912668774</v>
      </c>
      <c r="CH97" s="106">
        <v>17</v>
      </c>
      <c r="CI97" s="106">
        <v>31089.599999999999</v>
      </c>
      <c r="CJ97" s="106">
        <v>30.03991083676269</v>
      </c>
      <c r="CK97" s="106">
        <v>54936.988938271606</v>
      </c>
      <c r="CL97" s="106">
        <v>28</v>
      </c>
      <c r="CM97" s="106">
        <v>51206.400000000001</v>
      </c>
      <c r="CN97" s="106">
        <v>75.117599366915286</v>
      </c>
      <c r="CO97" s="106">
        <v>137375.06572221467</v>
      </c>
      <c r="CP97" s="106">
        <v>85.156613031441026</v>
      </c>
      <c r="CQ97" s="106">
        <v>155734.41391189935</v>
      </c>
      <c r="CR97" s="106">
        <v>66.099334242482385</v>
      </c>
      <c r="CS97" s="106">
        <v>120882.46246265178</v>
      </c>
      <c r="CT97" s="106">
        <v>74.10151768547469</v>
      </c>
      <c r="CU97" s="106">
        <v>135516.85554319611</v>
      </c>
    </row>
    <row r="98" spans="2:99" x14ac:dyDescent="0.2">
      <c r="C98" s="105" t="s">
        <v>264</v>
      </c>
      <c r="D98" s="106">
        <v>10.181554083282107</v>
      </c>
      <c r="E98" s="106">
        <v>12865.411739635269</v>
      </c>
      <c r="F98" s="106">
        <v>10</v>
      </c>
      <c r="G98" s="106">
        <v>12636</v>
      </c>
      <c r="H98" s="106">
        <v>12.278012920472266</v>
      </c>
      <c r="I98" s="106">
        <v>15514.497126308754</v>
      </c>
      <c r="J98" s="106">
        <v>7.0808456856616067</v>
      </c>
      <c r="K98" s="106">
        <v>8947.3566084020058</v>
      </c>
      <c r="L98" s="106">
        <v>11.051673369129192</v>
      </c>
      <c r="M98" s="106">
        <v>13964.894469231645</v>
      </c>
      <c r="N98" s="106">
        <v>14.056058029546179</v>
      </c>
      <c r="O98" s="106">
        <v>17761.234926134552</v>
      </c>
      <c r="P98" s="106">
        <v>10.073169555202339</v>
      </c>
      <c r="Q98" s="106">
        <v>12728.457049953675</v>
      </c>
      <c r="R98" s="106">
        <v>11.079494935228993</v>
      </c>
      <c r="S98" s="106">
        <v>14000.049800155355</v>
      </c>
      <c r="T98" s="106">
        <v>14.10502342209073</v>
      </c>
      <c r="U98" s="106">
        <v>17823.107596153844</v>
      </c>
      <c r="V98" s="106">
        <v>14.106701191423454</v>
      </c>
      <c r="W98" s="106">
        <v>17825.227625482676</v>
      </c>
      <c r="X98" s="106">
        <v>13</v>
      </c>
      <c r="Y98" s="106">
        <v>16426.8</v>
      </c>
      <c r="Z98" s="106">
        <v>16.166841099658701</v>
      </c>
      <c r="AA98" s="106">
        <v>20428.420413528733</v>
      </c>
      <c r="AB98" s="106">
        <v>38</v>
      </c>
      <c r="AC98" s="106">
        <v>48016.799999999996</v>
      </c>
      <c r="AD98" s="106">
        <v>44.036646496424368</v>
      </c>
      <c r="AE98" s="106">
        <v>55644.706512881829</v>
      </c>
      <c r="AF98" s="106">
        <v>42.03940056489251</v>
      </c>
      <c r="AG98" s="106">
        <v>53120.986553798175</v>
      </c>
      <c r="AH98" s="106">
        <v>54.03699303653633</v>
      </c>
      <c r="AI98" s="106">
        <v>68281.1444009673</v>
      </c>
      <c r="AJ98" s="106">
        <v>6.063384217755373</v>
      </c>
      <c r="AK98" s="106">
        <v>7661.692297555689</v>
      </c>
      <c r="AL98" s="106">
        <v>10.178242387132812</v>
      </c>
      <c r="AM98" s="106">
        <v>12861.227080381021</v>
      </c>
      <c r="AN98" s="106">
        <v>6.0493404703245082</v>
      </c>
      <c r="AO98" s="106">
        <v>7643.9466183020477</v>
      </c>
      <c r="AP98" s="106">
        <v>5</v>
      </c>
      <c r="AQ98" s="106">
        <v>6318</v>
      </c>
      <c r="AR98" s="106">
        <v>52</v>
      </c>
      <c r="AS98" s="106">
        <v>65707.199999999997</v>
      </c>
      <c r="AT98" s="106">
        <v>40.107605589642802</v>
      </c>
      <c r="AU98" s="106">
        <v>50679.970423072642</v>
      </c>
      <c r="AV98" s="106">
        <v>53</v>
      </c>
      <c r="AW98" s="106">
        <v>66970.799999999988</v>
      </c>
      <c r="AX98" s="106">
        <v>40.054490900039674</v>
      </c>
      <c r="AY98" s="106">
        <v>50612.854701290125</v>
      </c>
      <c r="AZ98" s="106">
        <v>31.133584487534627</v>
      </c>
      <c r="BA98" s="106">
        <v>39340.397358448754</v>
      </c>
      <c r="BB98" s="106">
        <v>27.065359477124183</v>
      </c>
      <c r="BC98" s="106">
        <v>34199.788235294116</v>
      </c>
      <c r="BD98" s="106">
        <v>35.044743701570042</v>
      </c>
      <c r="BE98" s="106">
        <v>44282.538141303899</v>
      </c>
      <c r="BF98" s="106">
        <v>27.057403339918984</v>
      </c>
      <c r="BG98" s="106">
        <v>34189.734860321623</v>
      </c>
      <c r="BH98" s="106">
        <v>47.044332764795698</v>
      </c>
      <c r="BI98" s="106">
        <v>59445.218881595836</v>
      </c>
      <c r="BJ98" s="106">
        <v>35.039429626109026</v>
      </c>
      <c r="BK98" s="106">
        <v>44275.82327555136</v>
      </c>
      <c r="BL98" s="106">
        <v>29</v>
      </c>
      <c r="BM98" s="106">
        <v>36644.399999999994</v>
      </c>
      <c r="BN98" s="106">
        <v>39.074842225745165</v>
      </c>
      <c r="BO98" s="106">
        <v>49374.970636451588</v>
      </c>
      <c r="BP98" s="106">
        <v>27.082444766068054</v>
      </c>
      <c r="BQ98" s="106">
        <v>34221.377206403587</v>
      </c>
      <c r="BR98" s="106">
        <v>24</v>
      </c>
      <c r="BS98" s="106">
        <v>30326.399999999998</v>
      </c>
      <c r="BT98" s="106">
        <v>24.24456315345963</v>
      </c>
      <c r="BU98" s="106">
        <v>30635.430000711585</v>
      </c>
      <c r="BV98" s="106">
        <v>35</v>
      </c>
      <c r="BW98" s="106">
        <v>44226</v>
      </c>
      <c r="BX98" s="106">
        <v>36.165182985261552</v>
      </c>
      <c r="BY98" s="106">
        <v>45698.325220176492</v>
      </c>
      <c r="BZ98" s="106">
        <v>29.130372776122115</v>
      </c>
      <c r="CA98" s="106">
        <v>36809.139039907903</v>
      </c>
      <c r="CB98" s="106">
        <v>26</v>
      </c>
      <c r="CC98" s="106">
        <v>32853.599999999999</v>
      </c>
      <c r="CD98" s="106">
        <v>22.120495210514591</v>
      </c>
      <c r="CE98" s="106">
        <v>27951.457748006236</v>
      </c>
      <c r="CF98" s="106">
        <v>27.07828050687861</v>
      </c>
      <c r="CG98" s="106">
        <v>34216.115248491806</v>
      </c>
      <c r="CH98" s="106">
        <v>15</v>
      </c>
      <c r="CI98" s="106">
        <v>18954</v>
      </c>
      <c r="CJ98" s="106">
        <v>32.035919753086418</v>
      </c>
      <c r="CK98" s="106">
        <v>40480.588199999998</v>
      </c>
      <c r="CL98" s="106">
        <v>29</v>
      </c>
      <c r="CM98" s="106">
        <v>36644.399999999994</v>
      </c>
      <c r="CN98" s="106">
        <v>75.111242644379331</v>
      </c>
      <c r="CO98" s="106">
        <v>94910.566205437717</v>
      </c>
      <c r="CP98" s="106">
        <v>102.17898632164689</v>
      </c>
      <c r="CQ98" s="106">
        <v>129113.367116033</v>
      </c>
      <c r="CR98" s="106">
        <v>86.116362969765078</v>
      </c>
      <c r="CS98" s="106">
        <v>108816.63624859514</v>
      </c>
      <c r="CT98" s="106">
        <v>78.109977492597579</v>
      </c>
      <c r="CU98" s="106">
        <v>98699.767559646294</v>
      </c>
    </row>
    <row r="99" spans="2:99" x14ac:dyDescent="0.2">
      <c r="C99" s="105" t="s">
        <v>265</v>
      </c>
      <c r="D99" s="106">
        <v>8.128600808991493</v>
      </c>
      <c r="E99" s="106">
        <v>44557.738194567763</v>
      </c>
      <c r="F99" s="106">
        <v>8</v>
      </c>
      <c r="G99" s="106">
        <v>43852.799999999996</v>
      </c>
      <c r="H99" s="106">
        <v>8.1679661394519929</v>
      </c>
      <c r="I99" s="106">
        <v>44773.523190020038</v>
      </c>
      <c r="J99" s="106">
        <v>6.0501800807554798</v>
      </c>
      <c r="K99" s="106">
        <v>33164.667130669237</v>
      </c>
      <c r="L99" s="106">
        <v>8.035064071909094</v>
      </c>
      <c r="M99" s="106">
        <v>44045.007216576887</v>
      </c>
      <c r="N99" s="106">
        <v>12.035877138909555</v>
      </c>
      <c r="O99" s="106">
        <v>65975.864124646614</v>
      </c>
      <c r="P99" s="106">
        <v>7.0493099176363589</v>
      </c>
      <c r="Q99" s="106">
        <v>38641.497244515464</v>
      </c>
      <c r="R99" s="106">
        <v>9.0535062064041298</v>
      </c>
      <c r="S99" s="106">
        <v>49627.699621024876</v>
      </c>
      <c r="T99" s="106">
        <v>12.060213428665351</v>
      </c>
      <c r="U99" s="106">
        <v>66109.265930571986</v>
      </c>
      <c r="V99" s="106">
        <v>10.056907302092508</v>
      </c>
      <c r="W99" s="106">
        <v>55127.943067150285</v>
      </c>
      <c r="X99" s="106">
        <v>11</v>
      </c>
      <c r="Y99" s="106">
        <v>60297.599999999991</v>
      </c>
      <c r="Z99" s="106">
        <v>12.09946296325807</v>
      </c>
      <c r="AA99" s="106">
        <v>66324.416179395426</v>
      </c>
      <c r="AB99" s="106">
        <v>21</v>
      </c>
      <c r="AC99" s="106">
        <v>115113.59999999999</v>
      </c>
      <c r="AD99" s="106">
        <v>26.032065684371322</v>
      </c>
      <c r="AE99" s="106">
        <v>142697.37125544983</v>
      </c>
      <c r="AF99" s="106">
        <v>21.028654956285461</v>
      </c>
      <c r="AG99" s="106">
        <v>115270.67500837437</v>
      </c>
      <c r="AH99" s="106">
        <v>29.02877236175048</v>
      </c>
      <c r="AI99" s="106">
        <v>159124.11857817142</v>
      </c>
      <c r="AJ99" s="106">
        <v>4.0410133173711236</v>
      </c>
      <c r="AK99" s="106">
        <v>22151.21860050155</v>
      </c>
      <c r="AL99" s="106">
        <v>8.1119196384322301</v>
      </c>
      <c r="AM99" s="106">
        <v>44466.298690030111</v>
      </c>
      <c r="AN99" s="106">
        <v>4.0349494998131936</v>
      </c>
      <c r="AO99" s="106">
        <v>22117.979178176</v>
      </c>
      <c r="AP99" s="106">
        <v>4</v>
      </c>
      <c r="AQ99" s="106">
        <v>21926.399999999998</v>
      </c>
      <c r="AR99" s="106">
        <v>30</v>
      </c>
      <c r="AS99" s="106">
        <v>164447.99999999997</v>
      </c>
      <c r="AT99" s="106">
        <v>27.078634853969742</v>
      </c>
      <c r="AU99" s="106">
        <v>148434.24481552053</v>
      </c>
      <c r="AV99" s="106">
        <v>35</v>
      </c>
      <c r="AW99" s="106">
        <v>191855.99999999997</v>
      </c>
      <c r="AX99" s="106">
        <v>28.03525881767273</v>
      </c>
      <c r="AY99" s="106">
        <v>153678.07473495483</v>
      </c>
      <c r="AZ99" s="106">
        <v>21.089056325023083</v>
      </c>
      <c r="BA99" s="106">
        <v>115601.77115124652</v>
      </c>
      <c r="BB99" s="106">
        <v>17.046136101499425</v>
      </c>
      <c r="BC99" s="106">
        <v>93440.09965397924</v>
      </c>
      <c r="BD99" s="106">
        <v>23.034418231976957</v>
      </c>
      <c r="BE99" s="106">
        <v>126265.46698040488</v>
      </c>
      <c r="BF99" s="106">
        <v>19.050227922429112</v>
      </c>
      <c r="BG99" s="106">
        <v>104425.72937958741</v>
      </c>
      <c r="BH99" s="106">
        <v>27.029555176530465</v>
      </c>
      <c r="BI99" s="106">
        <v>148165.20965566937</v>
      </c>
      <c r="BJ99" s="106">
        <v>25.029053408711913</v>
      </c>
      <c r="BK99" s="106">
        <v>137199.25916519522</v>
      </c>
      <c r="BL99" s="106">
        <v>17</v>
      </c>
      <c r="BM99" s="106">
        <v>93187.199999999997</v>
      </c>
      <c r="BN99" s="106">
        <v>27.051028790280796</v>
      </c>
      <c r="BO99" s="106">
        <v>148282.9194168032</v>
      </c>
      <c r="BP99" s="106">
        <v>17.050055750827031</v>
      </c>
      <c r="BQ99" s="106">
        <v>93461.585603733445</v>
      </c>
      <c r="BR99" s="106">
        <v>16</v>
      </c>
      <c r="BS99" s="106">
        <v>87705.599999999991</v>
      </c>
      <c r="BT99" s="106">
        <v>15.134269966605286</v>
      </c>
      <c r="BU99" s="106">
        <v>82960.014248943524</v>
      </c>
      <c r="BV99" s="106">
        <v>24</v>
      </c>
      <c r="BW99" s="106">
        <v>131558.39999999999</v>
      </c>
      <c r="BX99" s="106">
        <v>22.087994674391666</v>
      </c>
      <c r="BY99" s="106">
        <v>121077.55160714535</v>
      </c>
      <c r="BZ99" s="106">
        <v>17.077121923903224</v>
      </c>
      <c r="CA99" s="106">
        <v>93609.951538067908</v>
      </c>
      <c r="CB99" s="106">
        <v>16</v>
      </c>
      <c r="CC99" s="106">
        <v>87705.599999999991</v>
      </c>
      <c r="CD99" s="106">
        <v>13.076530741813322</v>
      </c>
      <c r="CE99" s="106">
        <v>71680.310914323898</v>
      </c>
      <c r="CF99" s="106">
        <v>20.072258929426411</v>
      </c>
      <c r="CG99" s="106">
        <v>110028.09454754381</v>
      </c>
      <c r="CH99" s="106">
        <v>11</v>
      </c>
      <c r="CI99" s="106">
        <v>60297.599999999991</v>
      </c>
      <c r="CJ99" s="106">
        <v>23.027937585733881</v>
      </c>
      <c r="CK99" s="106">
        <v>126229.94266995882</v>
      </c>
      <c r="CL99" s="106">
        <v>19</v>
      </c>
      <c r="CM99" s="106">
        <v>104150.39999999999</v>
      </c>
      <c r="CN99" s="106">
        <v>41.076280670431537</v>
      </c>
      <c r="CO99" s="106">
        <v>225163.74012303748</v>
      </c>
      <c r="CP99" s="106">
        <v>50.100679805926376</v>
      </c>
      <c r="CQ99" s="106">
        <v>274631.88642416598</v>
      </c>
      <c r="CR99" s="106">
        <v>40.076629272772131</v>
      </c>
      <c r="CS99" s="106">
        <v>219684.0510216277</v>
      </c>
      <c r="CT99" s="106">
        <v>42.064858521275497</v>
      </c>
      <c r="CU99" s="106">
        <v>230582.72847022375</v>
      </c>
    </row>
    <row r="100" spans="2:99" x14ac:dyDescent="0.2">
      <c r="C100" s="105" t="s">
        <v>266</v>
      </c>
      <c r="D100" s="106">
        <v>11.177771706547063</v>
      </c>
      <c r="E100" s="106">
        <v>18134.816816701954</v>
      </c>
      <c r="F100" s="106">
        <v>9</v>
      </c>
      <c r="G100" s="106">
        <v>14601.599999999999</v>
      </c>
      <c r="H100" s="106">
        <v>10.272220984629094</v>
      </c>
      <c r="I100" s="106">
        <v>16665.65132546224</v>
      </c>
      <c r="J100" s="106">
        <v>8.0780579033974131</v>
      </c>
      <c r="K100" s="106">
        <v>13105.841142471962</v>
      </c>
      <c r="L100" s="106">
        <v>10.053518846598092</v>
      </c>
      <c r="M100" s="106">
        <v>16310.828976720743</v>
      </c>
      <c r="N100" s="106">
        <v>14.058300350728027</v>
      </c>
      <c r="O100" s="106">
        <v>22808.186489021151</v>
      </c>
      <c r="P100" s="106">
        <v>9.0747601977067376</v>
      </c>
      <c r="Q100" s="106">
        <v>14722.890944759411</v>
      </c>
      <c r="R100" s="106">
        <v>12.081023683983398</v>
      </c>
      <c r="S100" s="106">
        <v>19600.252824894662</v>
      </c>
      <c r="T100" s="106">
        <v>15.114825608152531</v>
      </c>
      <c r="U100" s="106">
        <v>24522.293066666665</v>
      </c>
      <c r="V100" s="106">
        <v>15.112036250994628</v>
      </c>
      <c r="W100" s="106">
        <v>24517.767613613683</v>
      </c>
      <c r="X100" s="106">
        <v>13</v>
      </c>
      <c r="Y100" s="106">
        <v>21091.199999999997</v>
      </c>
      <c r="Z100" s="106">
        <v>16.154007168915722</v>
      </c>
      <c r="AA100" s="106">
        <v>26208.261230848864</v>
      </c>
      <c r="AB100" s="106">
        <v>41</v>
      </c>
      <c r="AC100" s="106">
        <v>66518.399999999994</v>
      </c>
      <c r="AD100" s="106">
        <v>44.036646496424368</v>
      </c>
      <c r="AE100" s="106">
        <v>71445.055275798892</v>
      </c>
      <c r="AF100" s="106">
        <v>39.035818695356824</v>
      </c>
      <c r="AG100" s="106">
        <v>63331.712251346908</v>
      </c>
      <c r="AH100" s="106">
        <v>55.041103373929261</v>
      </c>
      <c r="AI100" s="106">
        <v>89298.68611386283</v>
      </c>
      <c r="AJ100" s="106">
        <v>6.0503345258645611</v>
      </c>
      <c r="AK100" s="106">
        <v>9816.0627347626632</v>
      </c>
      <c r="AL100" s="106">
        <v>9.1740972153390246</v>
      </c>
      <c r="AM100" s="106">
        <v>14884.055322166032</v>
      </c>
      <c r="AN100" s="106">
        <v>5.0493404703245082</v>
      </c>
      <c r="AO100" s="106">
        <v>8192.0499790544818</v>
      </c>
      <c r="AP100" s="106">
        <v>5</v>
      </c>
      <c r="AQ100" s="106">
        <v>8111.9999999999991</v>
      </c>
      <c r="AR100" s="106">
        <v>54</v>
      </c>
      <c r="AS100" s="106">
        <v>87609.599999999991</v>
      </c>
      <c r="AT100" s="106">
        <v>41.111744266167527</v>
      </c>
      <c r="AU100" s="106">
        <v>66699.693897430188</v>
      </c>
      <c r="AV100" s="106">
        <v>49</v>
      </c>
      <c r="AW100" s="106">
        <v>79497.599999999991</v>
      </c>
      <c r="AX100" s="106">
        <v>42.053422451019287</v>
      </c>
      <c r="AY100" s="106">
        <v>68227.47258453368</v>
      </c>
      <c r="AZ100" s="106">
        <v>27.126163127116037</v>
      </c>
      <c r="BA100" s="106">
        <v>44009.487057433056</v>
      </c>
      <c r="BB100" s="106">
        <v>22.069204152249135</v>
      </c>
      <c r="BC100" s="106">
        <v>35805.076816608991</v>
      </c>
      <c r="BD100" s="106">
        <v>34.048185524767739</v>
      </c>
      <c r="BE100" s="106">
        <v>55239.776195383172</v>
      </c>
      <c r="BF100" s="106">
        <v>28.06457875740886</v>
      </c>
      <c r="BG100" s="106">
        <v>45531.972576020133</v>
      </c>
      <c r="BH100" s="106">
        <v>41.042221680757805</v>
      </c>
      <c r="BI100" s="106">
        <v>66586.900454861461</v>
      </c>
      <c r="BJ100" s="106">
        <v>36.035279139150184</v>
      </c>
      <c r="BK100" s="106">
        <v>58463.636875357253</v>
      </c>
      <c r="BL100" s="106">
        <v>25</v>
      </c>
      <c r="BM100" s="106">
        <v>40560</v>
      </c>
      <c r="BN100" s="106">
        <v>36.064636467689006</v>
      </c>
      <c r="BO100" s="106">
        <v>58511.266205178639</v>
      </c>
      <c r="BP100" s="106">
        <v>28.085389221999055</v>
      </c>
      <c r="BQ100" s="106">
        <v>45565.735473771259</v>
      </c>
      <c r="BR100" s="106">
        <v>26</v>
      </c>
      <c r="BS100" s="106">
        <v>42182.399999999994</v>
      </c>
      <c r="BT100" s="106">
        <v>22.196609593957742</v>
      </c>
      <c r="BU100" s="106">
        <v>36011.779405237037</v>
      </c>
      <c r="BV100" s="106">
        <v>29</v>
      </c>
      <c r="BW100" s="106">
        <v>47049.599999999999</v>
      </c>
      <c r="BX100" s="106">
        <v>31.148201556870173</v>
      </c>
      <c r="BY100" s="106">
        <v>50534.842205866167</v>
      </c>
      <c r="BZ100" s="106">
        <v>24.121191594705063</v>
      </c>
      <c r="CA100" s="106">
        <v>39134.221243249493</v>
      </c>
      <c r="CB100" s="106">
        <v>21</v>
      </c>
      <c r="CC100" s="106">
        <v>34070.399999999994</v>
      </c>
      <c r="CD100" s="106">
        <v>19.127008465137003</v>
      </c>
      <c r="CE100" s="106">
        <v>31031.658533838272</v>
      </c>
      <c r="CF100" s="106">
        <v>28.084302084330812</v>
      </c>
      <c r="CG100" s="106">
        <v>45563.971701618306</v>
      </c>
      <c r="CH100" s="106">
        <v>17</v>
      </c>
      <c r="CI100" s="106">
        <v>27580.799999999999</v>
      </c>
      <c r="CJ100" s="106">
        <v>29.03991083676269</v>
      </c>
      <c r="CK100" s="106">
        <v>47114.351341563786</v>
      </c>
      <c r="CL100" s="106">
        <v>29</v>
      </c>
      <c r="CM100" s="106">
        <v>47049.599999999999</v>
      </c>
      <c r="CN100" s="106">
        <v>71.108064283111347</v>
      </c>
      <c r="CO100" s="106">
        <v>115365.72349291985</v>
      </c>
      <c r="CP100" s="106">
        <v>89.162206353992488</v>
      </c>
      <c r="CQ100" s="106">
        <v>144656.76358871741</v>
      </c>
      <c r="CR100" s="106">
        <v>70.110686727337523</v>
      </c>
      <c r="CS100" s="106">
        <v>113747.57814643238</v>
      </c>
      <c r="CT100" s="106">
        <v>79.109977492597579</v>
      </c>
      <c r="CU100" s="106">
        <v>128348.0274839903</v>
      </c>
    </row>
    <row r="101" spans="2:99" x14ac:dyDescent="0.2">
      <c r="C101" s="105" t="s">
        <v>267</v>
      </c>
      <c r="D101" s="106">
        <v>11.208030720427415</v>
      </c>
      <c r="E101" s="106">
        <v>13342.039769596793</v>
      </c>
      <c r="F101" s="106">
        <v>11</v>
      </c>
      <c r="G101" s="106">
        <v>13094.399999999998</v>
      </c>
      <c r="H101" s="106">
        <v>12.28959679215861</v>
      </c>
      <c r="I101" s="106">
        <v>14629.536021385607</v>
      </c>
      <c r="J101" s="106">
        <v>7.0836334679258002</v>
      </c>
      <c r="K101" s="106">
        <v>8432.3572802188719</v>
      </c>
      <c r="L101" s="106">
        <v>11.060900756473689</v>
      </c>
      <c r="M101" s="106">
        <v>13166.896260506279</v>
      </c>
      <c r="N101" s="106">
        <v>15.056058029546179</v>
      </c>
      <c r="O101" s="106">
        <v>17922.73147837177</v>
      </c>
      <c r="P101" s="106">
        <v>10.071578912697941</v>
      </c>
      <c r="Q101" s="106">
        <v>11989.207537675627</v>
      </c>
      <c r="R101" s="106">
        <v>11.07796618647459</v>
      </c>
      <c r="S101" s="106">
        <v>13187.21094837935</v>
      </c>
      <c r="T101" s="106">
        <v>14.113425295857988</v>
      </c>
      <c r="U101" s="106">
        <v>16800.621472189348</v>
      </c>
      <c r="V101" s="106">
        <v>14.108479544613845</v>
      </c>
      <c r="W101" s="106">
        <v>16794.734049908318</v>
      </c>
      <c r="X101" s="106">
        <v>13</v>
      </c>
      <c r="Y101" s="106">
        <v>15475.199999999999</v>
      </c>
      <c r="Z101" s="106">
        <v>17.173258065030186</v>
      </c>
      <c r="AA101" s="106">
        <v>20443.046400611933</v>
      </c>
      <c r="AB101" s="106">
        <v>45</v>
      </c>
      <c r="AC101" s="106">
        <v>53567.999999999993</v>
      </c>
      <c r="AD101" s="106">
        <v>41.04122730847741</v>
      </c>
      <c r="AE101" s="106">
        <v>48855.476988011505</v>
      </c>
      <c r="AF101" s="106">
        <v>39.03940056489251</v>
      </c>
      <c r="AG101" s="106">
        <v>46472.50243244804</v>
      </c>
      <c r="AH101" s="106">
        <v>49.041103373929261</v>
      </c>
      <c r="AI101" s="106">
        <v>58378.529456325385</v>
      </c>
      <c r="AJ101" s="106">
        <v>5.0577914926593106</v>
      </c>
      <c r="AK101" s="106">
        <v>6020.7949928616426</v>
      </c>
      <c r="AL101" s="106">
        <v>9.1658068717514531</v>
      </c>
      <c r="AM101" s="106">
        <v>10910.976500132929</v>
      </c>
      <c r="AN101" s="106">
        <v>5.0555080291150718</v>
      </c>
      <c r="AO101" s="106">
        <v>6018.076757858581</v>
      </c>
      <c r="AP101" s="106">
        <v>5</v>
      </c>
      <c r="AQ101" s="106">
        <v>5951.9999999999991</v>
      </c>
      <c r="AR101" s="106">
        <v>52</v>
      </c>
      <c r="AS101" s="106">
        <v>61900.799999999996</v>
      </c>
      <c r="AT101" s="106">
        <v>43.128298972266421</v>
      </c>
      <c r="AU101" s="106">
        <v>51339.92709658594</v>
      </c>
      <c r="AV101" s="106">
        <v>52</v>
      </c>
      <c r="AW101" s="106">
        <v>61900.799999999996</v>
      </c>
      <c r="AX101" s="106">
        <v>42.055559349060061</v>
      </c>
      <c r="AY101" s="106">
        <v>50062.937849121088</v>
      </c>
      <c r="AZ101" s="106">
        <v>33.133584487534627</v>
      </c>
      <c r="BA101" s="106">
        <v>39442.218973961215</v>
      </c>
      <c r="BB101" s="106">
        <v>23.073048827374087</v>
      </c>
      <c r="BC101" s="106">
        <v>27466.157324106112</v>
      </c>
      <c r="BD101" s="106">
        <v>35.044743701570042</v>
      </c>
      <c r="BE101" s="106">
        <v>41717.262902348972</v>
      </c>
      <c r="BF101" s="106">
        <v>28.06457875740886</v>
      </c>
      <c r="BG101" s="106">
        <v>33408.074552819504</v>
      </c>
      <c r="BH101" s="106">
        <v>42.050666016909368</v>
      </c>
      <c r="BI101" s="106">
        <v>50057.112826528908</v>
      </c>
      <c r="BJ101" s="106">
        <v>37.041504869588451</v>
      </c>
      <c r="BK101" s="106">
        <v>44094.207396758087</v>
      </c>
      <c r="BL101" s="106">
        <v>26</v>
      </c>
      <c r="BM101" s="106">
        <v>30950.399999999998</v>
      </c>
      <c r="BN101" s="106">
        <v>40.071440306393114</v>
      </c>
      <c r="BO101" s="106">
        <v>47701.042540730356</v>
      </c>
      <c r="BP101" s="106">
        <v>31.07950031013705</v>
      </c>
      <c r="BQ101" s="106">
        <v>36997.037169187141</v>
      </c>
      <c r="BR101" s="106">
        <v>27</v>
      </c>
      <c r="BS101" s="106">
        <v>32140.799999999996</v>
      </c>
      <c r="BT101" s="106">
        <v>22.225381729658874</v>
      </c>
      <c r="BU101" s="106">
        <v>26457.094410985919</v>
      </c>
      <c r="BV101" s="106">
        <v>32</v>
      </c>
      <c r="BW101" s="106">
        <v>38092.799999999996</v>
      </c>
      <c r="BX101" s="106">
        <v>33.166726751478947</v>
      </c>
      <c r="BY101" s="106">
        <v>39481.671524960533</v>
      </c>
      <c r="BZ101" s="106">
        <v>30.150571375239625</v>
      </c>
      <c r="CA101" s="106">
        <v>35891.240165085248</v>
      </c>
      <c r="CB101" s="106">
        <v>22</v>
      </c>
      <c r="CC101" s="106">
        <v>26188.799999999996</v>
      </c>
      <c r="CD101" s="106">
        <v>21.13189340610381</v>
      </c>
      <c r="CE101" s="106">
        <v>25155.405910625974</v>
      </c>
      <c r="CF101" s="106">
        <v>31.084302084330812</v>
      </c>
      <c r="CG101" s="106">
        <v>37002.753201187392</v>
      </c>
      <c r="CH101" s="106">
        <v>17</v>
      </c>
      <c r="CI101" s="106">
        <v>20236.8</v>
      </c>
      <c r="CJ101" s="106">
        <v>30.035919753086421</v>
      </c>
      <c r="CK101" s="106">
        <v>35754.758874074068</v>
      </c>
      <c r="CL101" s="106">
        <v>30</v>
      </c>
      <c r="CM101" s="106">
        <v>35711.999999999993</v>
      </c>
      <c r="CN101" s="106">
        <v>77.123956089451241</v>
      </c>
      <c r="CO101" s="106">
        <v>91808.357328882747</v>
      </c>
      <c r="CP101" s="106">
        <v>97.190172966749813</v>
      </c>
      <c r="CQ101" s="106">
        <v>115695.18189961897</v>
      </c>
      <c r="CR101" s="106">
        <v>76.110686727337523</v>
      </c>
      <c r="CS101" s="106">
        <v>90602.161480222581</v>
      </c>
      <c r="CT101" s="106">
        <v>81.098697749767069</v>
      </c>
      <c r="CU101" s="106">
        <v>96539.889801322715</v>
      </c>
    </row>
    <row r="102" spans="2:99" x14ac:dyDescent="0.2">
      <c r="C102" s="105" t="s">
        <v>268</v>
      </c>
      <c r="D102" s="106">
        <v>10.181554083282107</v>
      </c>
      <c r="E102" s="106">
        <v>19744.069678300661</v>
      </c>
      <c r="F102" s="106">
        <v>9</v>
      </c>
      <c r="G102" s="106">
        <v>17452.8</v>
      </c>
      <c r="H102" s="106">
        <v>11.225885497883716</v>
      </c>
      <c r="I102" s="106">
        <v>21769.2371574961</v>
      </c>
      <c r="J102" s="106">
        <v>7.0780579033974131</v>
      </c>
      <c r="K102" s="106">
        <v>13725.769886268263</v>
      </c>
      <c r="L102" s="106">
        <v>10.051673369129192</v>
      </c>
      <c r="M102" s="106">
        <v>19492.204997415327</v>
      </c>
      <c r="N102" s="106">
        <v>16.058300350728025</v>
      </c>
      <c r="O102" s="106">
        <v>31140.256040131782</v>
      </c>
      <c r="P102" s="106">
        <v>8.0699882701935426</v>
      </c>
      <c r="Q102" s="106">
        <v>15649.321253559316</v>
      </c>
      <c r="R102" s="106">
        <v>11.070322442702571</v>
      </c>
      <c r="S102" s="106">
        <v>21467.569280888823</v>
      </c>
      <c r="T102" s="106">
        <v>13.106423734385272</v>
      </c>
      <c r="U102" s="106">
        <v>25415.976905719916</v>
      </c>
      <c r="V102" s="106">
        <v>14.096031072281109</v>
      </c>
      <c r="W102" s="106">
        <v>27335.023455367525</v>
      </c>
      <c r="X102" s="106">
        <v>14</v>
      </c>
      <c r="Y102" s="106">
        <v>27148.799999999996</v>
      </c>
      <c r="Z102" s="106">
        <v>18.14438172085849</v>
      </c>
      <c r="AA102" s="106">
        <v>35185.585033088784</v>
      </c>
      <c r="AB102" s="106">
        <v>39</v>
      </c>
      <c r="AC102" s="106">
        <v>75628.799999999988</v>
      </c>
      <c r="AD102" s="106">
        <v>37.04122730847741</v>
      </c>
      <c r="AE102" s="106">
        <v>71830.34799659939</v>
      </c>
      <c r="AF102" s="106">
        <v>34.032236825821144</v>
      </c>
      <c r="AG102" s="106">
        <v>65995.313652632351</v>
      </c>
      <c r="AH102" s="106">
        <v>49.032882699143407</v>
      </c>
      <c r="AI102" s="106">
        <v>95084.566130178893</v>
      </c>
      <c r="AJ102" s="106">
        <v>5.0577914926593106</v>
      </c>
      <c r="AK102" s="106">
        <v>9808.0692625649335</v>
      </c>
      <c r="AL102" s="106">
        <v>10.149226184576307</v>
      </c>
      <c r="AM102" s="106">
        <v>19681.379417130371</v>
      </c>
      <c r="AN102" s="106">
        <v>6.0513963232546963</v>
      </c>
      <c r="AO102" s="106">
        <v>11734.867750055506</v>
      </c>
      <c r="AP102" s="106">
        <v>5</v>
      </c>
      <c r="AQ102" s="106">
        <v>9696</v>
      </c>
      <c r="AR102" s="106">
        <v>45</v>
      </c>
      <c r="AS102" s="106">
        <v>87263.999999999985</v>
      </c>
      <c r="AT102" s="106">
        <v>35.107605589642802</v>
      </c>
      <c r="AU102" s="106">
        <v>68080.668759435313</v>
      </c>
      <c r="AV102" s="106">
        <v>45</v>
      </c>
      <c r="AW102" s="106">
        <v>87263.999999999985</v>
      </c>
      <c r="AX102" s="106">
        <v>38.049148654937746</v>
      </c>
      <c r="AY102" s="106">
        <v>73784.909071655275</v>
      </c>
      <c r="AZ102" s="106">
        <v>27.111320406278853</v>
      </c>
      <c r="BA102" s="106">
        <v>52574.272531855946</v>
      </c>
      <c r="BB102" s="106">
        <v>23.057670126874278</v>
      </c>
      <c r="BC102" s="106">
        <v>44713.433910034597</v>
      </c>
      <c r="BD102" s="106">
        <v>31.048185524767739</v>
      </c>
      <c r="BE102" s="106">
        <v>60208.641369629593</v>
      </c>
      <c r="BF102" s="106">
        <v>29.06457875740886</v>
      </c>
      <c r="BG102" s="106">
        <v>56362.031126367256</v>
      </c>
      <c r="BH102" s="106">
        <v>44.042221680757805</v>
      </c>
      <c r="BI102" s="106">
        <v>85406.676283325534</v>
      </c>
      <c r="BJ102" s="106">
        <v>32.039429626109026</v>
      </c>
      <c r="BK102" s="106">
        <v>62130.861930950618</v>
      </c>
      <c r="BL102" s="106">
        <v>24</v>
      </c>
      <c r="BM102" s="106">
        <v>46540.799999999996</v>
      </c>
      <c r="BN102" s="106">
        <v>40.068038387041064</v>
      </c>
      <c r="BO102" s="106">
        <v>77699.940040150017</v>
      </c>
      <c r="BP102" s="106">
        <v>24.076555854206049</v>
      </c>
      <c r="BQ102" s="106">
        <v>46689.257112476364</v>
      </c>
      <c r="BR102" s="106">
        <v>23</v>
      </c>
      <c r="BS102" s="106">
        <v>44601.599999999999</v>
      </c>
      <c r="BT102" s="106">
        <v>23.210995661808308</v>
      </c>
      <c r="BU102" s="106">
        <v>45010.76278737867</v>
      </c>
      <c r="BV102" s="106">
        <v>28</v>
      </c>
      <c r="BW102" s="106">
        <v>54297.599999999991</v>
      </c>
      <c r="BX102" s="106">
        <v>34.15592038795716</v>
      </c>
      <c r="BY102" s="106">
        <v>66235.160816326519</v>
      </c>
      <c r="BZ102" s="106">
        <v>25.113846649571425</v>
      </c>
      <c r="CA102" s="106">
        <v>48700.771422848906</v>
      </c>
      <c r="CB102" s="106">
        <v>20</v>
      </c>
      <c r="CC102" s="106">
        <v>38784</v>
      </c>
      <c r="CD102" s="106">
        <v>18.112353642236577</v>
      </c>
      <c r="CE102" s="106">
        <v>35123.476183025166</v>
      </c>
      <c r="CF102" s="106">
        <v>26.07828050687861</v>
      </c>
      <c r="CG102" s="106">
        <v>50571.001558938995</v>
      </c>
      <c r="CH102" s="106">
        <v>16</v>
      </c>
      <c r="CI102" s="106">
        <v>31027.199999999997</v>
      </c>
      <c r="CJ102" s="106">
        <v>29.031928669410149</v>
      </c>
      <c r="CK102" s="106">
        <v>56298.716075720156</v>
      </c>
      <c r="CL102" s="106">
        <v>28</v>
      </c>
      <c r="CM102" s="106">
        <v>54297.599999999991</v>
      </c>
      <c r="CN102" s="106">
        <v>68.114421005647301</v>
      </c>
      <c r="CO102" s="106">
        <v>132087.48521415124</v>
      </c>
      <c r="CP102" s="106">
        <v>90.173392999095427</v>
      </c>
      <c r="CQ102" s="106">
        <v>174864.24370384583</v>
      </c>
      <c r="CR102" s="106">
        <v>73.107848606123738</v>
      </c>
      <c r="CS102" s="106">
        <v>141770.74001699514</v>
      </c>
      <c r="CT102" s="106">
        <v>70.107157556889959</v>
      </c>
      <c r="CU102" s="106">
        <v>135951.799934321</v>
      </c>
    </row>
    <row r="103" spans="2:99" x14ac:dyDescent="0.2">
      <c r="C103" s="105" t="s">
        <v>269</v>
      </c>
      <c r="D103" s="106">
        <v>9.1966835902222837</v>
      </c>
      <c r="E103" s="106">
        <v>18650.87432097079</v>
      </c>
      <c r="F103" s="106">
        <v>10</v>
      </c>
      <c r="G103" s="106">
        <v>20280</v>
      </c>
      <c r="H103" s="106">
        <v>10.266429048785922</v>
      </c>
      <c r="I103" s="106">
        <v>20820.318110937849</v>
      </c>
      <c r="J103" s="106">
        <v>7.0780579033974131</v>
      </c>
      <c r="K103" s="106">
        <v>14354.301428089953</v>
      </c>
      <c r="L103" s="106">
        <v>9.0516733691291922</v>
      </c>
      <c r="M103" s="106">
        <v>18356.793592594</v>
      </c>
      <c r="N103" s="106">
        <v>15.049331066000638</v>
      </c>
      <c r="O103" s="106">
        <v>30520.043401849296</v>
      </c>
      <c r="P103" s="106">
        <v>8.0699882701935426</v>
      </c>
      <c r="Q103" s="106">
        <v>16365.936211952505</v>
      </c>
      <c r="R103" s="106">
        <v>10.07796618647459</v>
      </c>
      <c r="S103" s="106">
        <v>20438.115426170469</v>
      </c>
      <c r="T103" s="106">
        <v>13.095221236028928</v>
      </c>
      <c r="U103" s="106">
        <v>26557.108666666667</v>
      </c>
      <c r="V103" s="106">
        <v>15.096031072281109</v>
      </c>
      <c r="W103" s="106">
        <v>30614.751014586091</v>
      </c>
      <c r="X103" s="106">
        <v>14</v>
      </c>
      <c r="Y103" s="106">
        <v>28392</v>
      </c>
      <c r="Z103" s="106">
        <v>16.154007168915722</v>
      </c>
      <c r="AA103" s="106">
        <v>32760.326538561087</v>
      </c>
      <c r="AB103" s="106">
        <v>34</v>
      </c>
      <c r="AC103" s="106">
        <v>68952</v>
      </c>
      <c r="AD103" s="106">
        <v>36.036646496424368</v>
      </c>
      <c r="AE103" s="106">
        <v>73082.319094748615</v>
      </c>
      <c r="AF103" s="106">
        <v>34.032236825821144</v>
      </c>
      <c r="AG103" s="106">
        <v>69017.376282765283</v>
      </c>
      <c r="AH103" s="106">
        <v>44.03699303653633</v>
      </c>
      <c r="AI103" s="106">
        <v>89307.021878095678</v>
      </c>
      <c r="AJ103" s="106">
        <v>6.0577914926593106</v>
      </c>
      <c r="AK103" s="106">
        <v>12285.201147113083</v>
      </c>
      <c r="AL103" s="106">
        <v>10.174097215339025</v>
      </c>
      <c r="AM103" s="106">
        <v>20633.069152707543</v>
      </c>
      <c r="AN103" s="106">
        <v>6.0452287644641327</v>
      </c>
      <c r="AO103" s="106">
        <v>12259.72393433326</v>
      </c>
      <c r="AP103" s="106">
        <v>5</v>
      </c>
      <c r="AQ103" s="106">
        <v>10140</v>
      </c>
      <c r="AR103" s="106">
        <v>46</v>
      </c>
      <c r="AS103" s="106">
        <v>93288</v>
      </c>
      <c r="AT103" s="106">
        <v>41.111744266167527</v>
      </c>
      <c r="AU103" s="106">
        <v>83374.617371787739</v>
      </c>
      <c r="AV103" s="106">
        <v>50</v>
      </c>
      <c r="AW103" s="106">
        <v>101400</v>
      </c>
      <c r="AX103" s="106">
        <v>35.054490900039674</v>
      </c>
      <c r="AY103" s="106">
        <v>71090.507545280459</v>
      </c>
      <c r="AZ103" s="106">
        <v>30.126163127116037</v>
      </c>
      <c r="BA103" s="106">
        <v>61095.85882179132</v>
      </c>
      <c r="BB103" s="106">
        <v>25.057670126874278</v>
      </c>
      <c r="BC103" s="106">
        <v>50816.955017301036</v>
      </c>
      <c r="BD103" s="106">
        <v>31.044743701570045</v>
      </c>
      <c r="BE103" s="106">
        <v>62958.740226784052</v>
      </c>
      <c r="BF103" s="106">
        <v>29.05381563117405</v>
      </c>
      <c r="BG103" s="106">
        <v>58921.138100020973</v>
      </c>
      <c r="BH103" s="106">
        <v>42.048554932871475</v>
      </c>
      <c r="BI103" s="106">
        <v>85274.469403863346</v>
      </c>
      <c r="BJ103" s="106">
        <v>32.033203895670759</v>
      </c>
      <c r="BK103" s="106">
        <v>64963.337500420297</v>
      </c>
      <c r="BL103" s="106">
        <v>27</v>
      </c>
      <c r="BM103" s="106">
        <v>54756</v>
      </c>
      <c r="BN103" s="106">
        <v>34.064636467689006</v>
      </c>
      <c r="BO103" s="106">
        <v>69083.082756473304</v>
      </c>
      <c r="BP103" s="106">
        <v>27.076555854206049</v>
      </c>
      <c r="BQ103" s="106">
        <v>54911.255272329865</v>
      </c>
      <c r="BR103" s="106">
        <v>26</v>
      </c>
      <c r="BS103" s="106">
        <v>52728</v>
      </c>
      <c r="BT103" s="106">
        <v>23.206200305858118</v>
      </c>
      <c r="BU103" s="106">
        <v>47062.174220280263</v>
      </c>
      <c r="BV103" s="106">
        <v>29</v>
      </c>
      <c r="BW103" s="106">
        <v>58812</v>
      </c>
      <c r="BX103" s="106">
        <v>32.149745323087572</v>
      </c>
      <c r="BY103" s="106">
        <v>65199.683515221594</v>
      </c>
      <c r="BZ103" s="106">
        <v>25.124864067271886</v>
      </c>
      <c r="CA103" s="106">
        <v>50953.224328427386</v>
      </c>
      <c r="CB103" s="106">
        <v>20</v>
      </c>
      <c r="CC103" s="106">
        <v>40560</v>
      </c>
      <c r="CD103" s="106">
        <v>19.102583760302963</v>
      </c>
      <c r="CE103" s="106">
        <v>38740.03986589441</v>
      </c>
      <c r="CF103" s="106">
        <v>30.084302084330812</v>
      </c>
      <c r="CG103" s="106">
        <v>61010.964627022884</v>
      </c>
      <c r="CH103" s="106">
        <v>16</v>
      </c>
      <c r="CI103" s="106">
        <v>32448</v>
      </c>
      <c r="CJ103" s="106">
        <v>30.031928669410149</v>
      </c>
      <c r="CK103" s="106">
        <v>60904.75134156378</v>
      </c>
      <c r="CL103" s="106">
        <v>24</v>
      </c>
      <c r="CM103" s="106">
        <v>48672</v>
      </c>
      <c r="CN103" s="106">
        <v>74.117599366915286</v>
      </c>
      <c r="CO103" s="106">
        <v>150310.4915161042</v>
      </c>
      <c r="CP103" s="106">
        <v>95.173392999095427</v>
      </c>
      <c r="CQ103" s="106">
        <v>193011.64100216553</v>
      </c>
      <c r="CR103" s="106">
        <v>62.110686727337516</v>
      </c>
      <c r="CS103" s="106">
        <v>125960.47268304048</v>
      </c>
      <c r="CT103" s="106">
        <v>71.10151768547469</v>
      </c>
      <c r="CU103" s="106">
        <v>144193.87786614266</v>
      </c>
    </row>
    <row r="104" spans="2:99" x14ac:dyDescent="0.2">
      <c r="C104" s="105" t="s">
        <v>270</v>
      </c>
      <c r="D104" s="106">
        <v>10.17398932981202</v>
      </c>
      <c r="E104" s="106">
        <v>21084.575487102433</v>
      </c>
      <c r="F104" s="106">
        <v>9</v>
      </c>
      <c r="G104" s="106">
        <v>18651.600000000002</v>
      </c>
      <c r="H104" s="106">
        <v>9.2664290487859216</v>
      </c>
      <c r="I104" s="106">
        <v>19203.747560703945</v>
      </c>
      <c r="J104" s="106">
        <v>7.072482338869027</v>
      </c>
      <c r="K104" s="106">
        <v>14657.012399072171</v>
      </c>
      <c r="L104" s="106">
        <v>9.0535188465980916</v>
      </c>
      <c r="M104" s="106">
        <v>18762.512457689885</v>
      </c>
      <c r="N104" s="106">
        <v>16.056058029546179</v>
      </c>
      <c r="O104" s="106">
        <v>33274.574660431506</v>
      </c>
      <c r="P104" s="106">
        <v>9.0715789126979409</v>
      </c>
      <c r="Q104" s="106">
        <v>18799.940138675214</v>
      </c>
      <c r="R104" s="106">
        <v>11.076437437720186</v>
      </c>
      <c r="S104" s="106">
        <v>22954.808945931312</v>
      </c>
      <c r="T104" s="106">
        <v>15.095221236028928</v>
      </c>
      <c r="U104" s="106">
        <v>31283.336489546353</v>
      </c>
      <c r="V104" s="106">
        <v>15.104922838233064</v>
      </c>
      <c r="W104" s="106">
        <v>31303.442089954202</v>
      </c>
      <c r="X104" s="106">
        <v>13</v>
      </c>
      <c r="Y104" s="106">
        <v>26941.200000000001</v>
      </c>
      <c r="Z104" s="106">
        <v>18.141173238172744</v>
      </c>
      <c r="AA104" s="106">
        <v>37595.767418789197</v>
      </c>
      <c r="AB104" s="106">
        <v>36</v>
      </c>
      <c r="AC104" s="106">
        <v>74606.400000000009</v>
      </c>
      <c r="AD104" s="106">
        <v>38.036646496424368</v>
      </c>
      <c r="AE104" s="106">
        <v>78827.146199189869</v>
      </c>
      <c r="AF104" s="106">
        <v>31.032236825821144</v>
      </c>
      <c r="AG104" s="106">
        <v>64311.207597831744</v>
      </c>
      <c r="AH104" s="106">
        <v>50.032882699143407</v>
      </c>
      <c r="AI104" s="106">
        <v>103688.1461057048</v>
      </c>
      <c r="AJ104" s="106">
        <v>5.0577914926593106</v>
      </c>
      <c r="AK104" s="106">
        <v>10481.767089387156</v>
      </c>
      <c r="AL104" s="106">
        <v>9.1616616999576657</v>
      </c>
      <c r="AM104" s="106">
        <v>18986.627706992269</v>
      </c>
      <c r="AN104" s="106">
        <v>5.0452287644641327</v>
      </c>
      <c r="AO104" s="106">
        <v>10455.732091475469</v>
      </c>
      <c r="AP104" s="106">
        <v>5</v>
      </c>
      <c r="AQ104" s="106">
        <v>10362</v>
      </c>
      <c r="AR104" s="106">
        <v>48</v>
      </c>
      <c r="AS104" s="106">
        <v>99475.200000000012</v>
      </c>
      <c r="AT104" s="106">
        <v>34.115882942692252</v>
      </c>
      <c r="AU104" s="106">
        <v>70701.755810435425</v>
      </c>
      <c r="AV104" s="106">
        <v>49</v>
      </c>
      <c r="AW104" s="106">
        <v>101547.6</v>
      </c>
      <c r="AX104" s="106">
        <v>36.053422451019287</v>
      </c>
      <c r="AY104" s="106">
        <v>74717.112687492379</v>
      </c>
      <c r="AZ104" s="106">
        <v>28.118741766697447</v>
      </c>
      <c r="BA104" s="106">
        <v>58273.280437303794</v>
      </c>
      <c r="BB104" s="106">
        <v>25.065359477124183</v>
      </c>
      <c r="BC104" s="106">
        <v>51945.450980392161</v>
      </c>
      <c r="BD104" s="106">
        <v>31.048185524767739</v>
      </c>
      <c r="BE104" s="106">
        <v>64344.259681528667</v>
      </c>
      <c r="BF104" s="106">
        <v>29.06457875740886</v>
      </c>
      <c r="BG104" s="106">
        <v>60233.433016854127</v>
      </c>
      <c r="BH104" s="106">
        <v>40.042221680757805</v>
      </c>
      <c r="BI104" s="106">
        <v>82983.500211202481</v>
      </c>
      <c r="BJ104" s="106">
        <v>35.035279139150184</v>
      </c>
      <c r="BK104" s="106">
        <v>72607.112487974839</v>
      </c>
      <c r="BL104" s="106">
        <v>28</v>
      </c>
      <c r="BM104" s="106">
        <v>58027.200000000004</v>
      </c>
      <c r="BN104" s="106">
        <v>40.068038387041064</v>
      </c>
      <c r="BO104" s="106">
        <v>83037.00275330391</v>
      </c>
      <c r="BP104" s="106">
        <v>28.076555854206049</v>
      </c>
      <c r="BQ104" s="106">
        <v>58185.854352256618</v>
      </c>
      <c r="BR104" s="106">
        <v>26</v>
      </c>
      <c r="BS104" s="106">
        <v>53882.400000000001</v>
      </c>
      <c r="BT104" s="106">
        <v>21.187018882057362</v>
      </c>
      <c r="BU104" s="106">
        <v>43907.977931175679</v>
      </c>
      <c r="BV104" s="106">
        <v>31</v>
      </c>
      <c r="BW104" s="106">
        <v>64244.4</v>
      </c>
      <c r="BX104" s="106">
        <v>30.137395193348389</v>
      </c>
      <c r="BY104" s="106">
        <v>62456.737798695205</v>
      </c>
      <c r="BZ104" s="106">
        <v>25.115682885854834</v>
      </c>
      <c r="CA104" s="106">
        <v>52049.74121264556</v>
      </c>
      <c r="CB104" s="106">
        <v>20</v>
      </c>
      <c r="CC104" s="106">
        <v>41448</v>
      </c>
      <c r="CD104" s="106">
        <v>19.110725328580976</v>
      </c>
      <c r="CE104" s="106">
        <v>39605.067170951217</v>
      </c>
      <c r="CF104" s="106">
        <v>25.090323661783014</v>
      </c>
      <c r="CG104" s="106">
        <v>51997.186756679119</v>
      </c>
      <c r="CH104" s="106">
        <v>16</v>
      </c>
      <c r="CI104" s="106">
        <v>33158.400000000001</v>
      </c>
      <c r="CJ104" s="106">
        <v>28.035919753086421</v>
      </c>
      <c r="CK104" s="106">
        <v>58101.640096296302</v>
      </c>
      <c r="CL104" s="106">
        <v>29</v>
      </c>
      <c r="CM104" s="106">
        <v>60099.600000000006</v>
      </c>
      <c r="CN104" s="106">
        <v>76.12077772818327</v>
      </c>
      <c r="CO104" s="106">
        <v>157752.69976388701</v>
      </c>
      <c r="CP104" s="106">
        <v>88.145426386338087</v>
      </c>
      <c r="CQ104" s="106">
        <v>182672.58164304707</v>
      </c>
      <c r="CR104" s="106">
        <v>65.099334242482385</v>
      </c>
      <c r="CS104" s="106">
        <v>134911.86028412051</v>
      </c>
      <c r="CT104" s="106">
        <v>68.090237942644166</v>
      </c>
      <c r="CU104" s="106">
        <v>141110.20911233578</v>
      </c>
    </row>
    <row r="105" spans="2:99" x14ac:dyDescent="0.2">
      <c r="C105" s="105" t="s">
        <v>271</v>
      </c>
      <c r="D105" s="106">
        <v>11.189118836752195</v>
      </c>
      <c r="E105" s="106">
        <v>22355.859435830887</v>
      </c>
      <c r="F105" s="106">
        <v>10</v>
      </c>
      <c r="G105" s="106">
        <v>19980</v>
      </c>
      <c r="H105" s="106">
        <v>10.231677433726889</v>
      </c>
      <c r="I105" s="106">
        <v>20442.891512586324</v>
      </c>
      <c r="J105" s="106">
        <v>7.072482338869027</v>
      </c>
      <c r="K105" s="106">
        <v>14130.819713060317</v>
      </c>
      <c r="L105" s="106">
        <v>10.047982414191392</v>
      </c>
      <c r="M105" s="106">
        <v>20075.868863554402</v>
      </c>
      <c r="N105" s="106">
        <v>14.053815708364333</v>
      </c>
      <c r="O105" s="106">
        <v>28079.523785311936</v>
      </c>
      <c r="P105" s="106">
        <v>9.0683976276891425</v>
      </c>
      <c r="Q105" s="106">
        <v>18118.658460122908</v>
      </c>
      <c r="R105" s="106">
        <v>11.07796618647459</v>
      </c>
      <c r="S105" s="106">
        <v>22133.776440576232</v>
      </c>
      <c r="T105" s="106">
        <v>16.109224358974359</v>
      </c>
      <c r="U105" s="106">
        <v>32186.230269230768</v>
      </c>
      <c r="V105" s="106">
        <v>14.096031072281109</v>
      </c>
      <c r="W105" s="106">
        <v>28163.870082417656</v>
      </c>
      <c r="X105" s="106">
        <v>13</v>
      </c>
      <c r="Y105" s="106">
        <v>25974</v>
      </c>
      <c r="Z105" s="106">
        <v>17.141173238172744</v>
      </c>
      <c r="AA105" s="106">
        <v>34248.064129869141</v>
      </c>
      <c r="AB105" s="106">
        <v>39</v>
      </c>
      <c r="AC105" s="106">
        <v>77922</v>
      </c>
      <c r="AD105" s="106">
        <v>42.036646496424368</v>
      </c>
      <c r="AE105" s="106">
        <v>83989.219699855879</v>
      </c>
      <c r="AF105" s="106">
        <v>38.032236825821144</v>
      </c>
      <c r="AG105" s="106">
        <v>75988.409177990645</v>
      </c>
      <c r="AH105" s="106">
        <v>46.03699303653633</v>
      </c>
      <c r="AI105" s="106">
        <v>91981.912086999582</v>
      </c>
      <c r="AJ105" s="106">
        <v>6.0503345258645611</v>
      </c>
      <c r="AK105" s="106">
        <v>12088.568382677393</v>
      </c>
      <c r="AL105" s="106">
        <v>8.1492261845763068</v>
      </c>
      <c r="AM105" s="106">
        <v>16282.153916783462</v>
      </c>
      <c r="AN105" s="106">
        <v>5.0513963232546963</v>
      </c>
      <c r="AO105" s="106">
        <v>10092.689853862883</v>
      </c>
      <c r="AP105" s="106">
        <v>5</v>
      </c>
      <c r="AQ105" s="106">
        <v>9990</v>
      </c>
      <c r="AR105" s="106">
        <v>46</v>
      </c>
      <c r="AS105" s="106">
        <v>91908</v>
      </c>
      <c r="AT105" s="106">
        <v>36.107605589642802</v>
      </c>
      <c r="AU105" s="106">
        <v>72142.995968106319</v>
      </c>
      <c r="AV105" s="106">
        <v>46</v>
      </c>
      <c r="AW105" s="106">
        <v>91908</v>
      </c>
      <c r="AX105" s="106">
        <v>43.054490900039674</v>
      </c>
      <c r="AY105" s="106">
        <v>86022.872818279269</v>
      </c>
      <c r="AZ105" s="106">
        <v>29.126163127116037</v>
      </c>
      <c r="BA105" s="106">
        <v>58194.073927977843</v>
      </c>
      <c r="BB105" s="106">
        <v>21.065359477124183</v>
      </c>
      <c r="BC105" s="106">
        <v>42088.588235294119</v>
      </c>
      <c r="BD105" s="106">
        <v>32.048185524767739</v>
      </c>
      <c r="BE105" s="106">
        <v>64032.274678485941</v>
      </c>
      <c r="BF105" s="106">
        <v>25.057403339918984</v>
      </c>
      <c r="BG105" s="106">
        <v>50064.691873158132</v>
      </c>
      <c r="BH105" s="106">
        <v>40.044332764795698</v>
      </c>
      <c r="BI105" s="106">
        <v>80008.576864061804</v>
      </c>
      <c r="BJ105" s="106">
        <v>37.039429626109026</v>
      </c>
      <c r="BK105" s="106">
        <v>74004.78039296584</v>
      </c>
      <c r="BL105" s="106">
        <v>26</v>
      </c>
      <c r="BM105" s="106">
        <v>51948</v>
      </c>
      <c r="BN105" s="106">
        <v>37.064636467689006</v>
      </c>
      <c r="BO105" s="106">
        <v>74055.143662442628</v>
      </c>
      <c r="BP105" s="106">
        <v>26.076555854206049</v>
      </c>
      <c r="BQ105" s="106">
        <v>52100.958596703684</v>
      </c>
      <c r="BR105" s="106">
        <v>26</v>
      </c>
      <c r="BS105" s="106">
        <v>51948</v>
      </c>
      <c r="BT105" s="106">
        <v>22.215791017758498</v>
      </c>
      <c r="BU105" s="106">
        <v>44387.150453481481</v>
      </c>
      <c r="BV105" s="106">
        <v>33</v>
      </c>
      <c r="BW105" s="106">
        <v>65934</v>
      </c>
      <c r="BX105" s="106">
        <v>34.135851427130994</v>
      </c>
      <c r="BY105" s="106">
        <v>68203.431151407727</v>
      </c>
      <c r="BZ105" s="106">
        <v>26.130372776122115</v>
      </c>
      <c r="CA105" s="106">
        <v>52208.484806691988</v>
      </c>
      <c r="CB105" s="106">
        <v>22</v>
      </c>
      <c r="CC105" s="106">
        <v>43956</v>
      </c>
      <c r="CD105" s="106">
        <v>20.120495210514591</v>
      </c>
      <c r="CE105" s="106">
        <v>40200.74943060815</v>
      </c>
      <c r="CF105" s="106">
        <v>28.090323661783014</v>
      </c>
      <c r="CG105" s="106">
        <v>56124.46667624246</v>
      </c>
      <c r="CH105" s="106">
        <v>14</v>
      </c>
      <c r="CI105" s="106">
        <v>27972</v>
      </c>
      <c r="CJ105" s="106">
        <v>31.031928669410149</v>
      </c>
      <c r="CK105" s="106">
        <v>62001.79348148148</v>
      </c>
      <c r="CL105" s="106">
        <v>28</v>
      </c>
      <c r="CM105" s="106">
        <v>55944</v>
      </c>
      <c r="CN105" s="106">
        <v>72.101707560575377</v>
      </c>
      <c r="CO105" s="106">
        <v>144059.2117060296</v>
      </c>
      <c r="CP105" s="106">
        <v>82.173392999095427</v>
      </c>
      <c r="CQ105" s="106">
        <v>164182.43921219266</v>
      </c>
      <c r="CR105" s="106">
        <v>62.107848606123738</v>
      </c>
      <c r="CS105" s="106">
        <v>124091.48151503522</v>
      </c>
      <c r="CT105" s="106">
        <v>69.098697749767069</v>
      </c>
      <c r="CU105" s="106">
        <v>138059.19810403461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216.61327855689808</v>
      </c>
      <c r="E112" s="106">
        <f>SUM(L$49:L$70)+SUM(N$49:N$70)+SUM(P$49:P$70)+SUM(R$49:R$70)</f>
        <v>287.31396121696389</v>
      </c>
      <c r="F112" s="106">
        <f>SUM(T$49:T$70)+SUM(V$49:V$70)+SUM(X$49:X$70)+SUM(Z$49:Z$70)</f>
        <v>185.20572416704053</v>
      </c>
      <c r="G112" s="106">
        <f>SUM(AB$49:AB$70)+SUM(AD$49:AD$70)+SUM(AF$49:AF$70)+SUM(AH$49:AH$70)</f>
        <v>76.309936869416916</v>
      </c>
      <c r="H112" s="106">
        <f>SUM(AJ$49:AJ$70)+SUM(AL$49:AL$70)+SUM(AN$49:AN$70)+SUM(AP$49:AP$70)</f>
        <v>62.607188439596079</v>
      </c>
      <c r="I112" s="106">
        <f>SUM(AR$49:AR$70)+SUM(AT$49:AT$70)+SUM(AV$49:AV$70)+SUM(AX$49:AX$70)</f>
        <v>86.400273069189296</v>
      </c>
      <c r="J112" s="106">
        <f>SUM(AZ$49:AZ$70)+SUM(BB$49:BB$70)+SUM(BD$49:BD$70)+SUM(BF$49:BF$70)</f>
        <v>481.76574202232092</v>
      </c>
      <c r="K112" s="106">
        <f>SUM(BH$49:BH$70)+SUM(BJ$49:BJ$70)+SUM(BL$49:BL$70)+SUM(BN$49:BN$70)</f>
        <v>60.42856344671771</v>
      </c>
      <c r="L112" s="106">
        <f>SUM(BP$49:BP$70)+SUM(BR$49:BR$70)+SUM(BT$49:BT$70)+SUM(BV$49:BV$70)</f>
        <v>69.353338181909734</v>
      </c>
      <c r="M112" s="106">
        <f>SUM(BX$49:BX$70)+SUM(BZ$49:BZ$70)+SUM(CB$49:CB$70)+SUM(CD$49:CD$70)</f>
        <v>108.46056468453102</v>
      </c>
      <c r="N112" s="106">
        <f>SUM(CF$49:CF$70)+SUM(CH$49:CH$70)+SUM(CJ$49:CJ$70)+SUM(CL$49:CL$70)</f>
        <v>87.588996128306164</v>
      </c>
      <c r="O112" s="106">
        <f>SUM(CN$49:CN$70)+SUM(CP$49:CP$70)+SUM(CR$49:CR$70)+SUM(CT$49:CT$70)</f>
        <v>319.59323202344882</v>
      </c>
    </row>
    <row r="113" spans="2:15" x14ac:dyDescent="0.2">
      <c r="C113" s="105" t="s">
        <v>130</v>
      </c>
      <c r="D113" s="106">
        <f>SUM(D$71:D$86)+SUM(F$71:F$86)+SUM(H$71:H$86)+SUM(J$71:J$86)</f>
        <v>547.18172253736657</v>
      </c>
      <c r="E113" s="106">
        <f>SUM(L$71:L$86)+SUM(N$71:N$86)+SUM(P$71:P$86)+SUM(R$71:R$86)</f>
        <v>236.29921071286344</v>
      </c>
      <c r="F113" s="106">
        <f>SUM(T$71:T$86)+SUM(V$71:V$86)+SUM(X$71:X$86)+SUM(Z$71:Z$86)</f>
        <v>1801.6028014022584</v>
      </c>
      <c r="G113" s="106">
        <f>SUM(AB$71:AB$86)+SUM(AD$71:AD$86)+SUM(AF$71:AF$86)+SUM(AH$71:AH$86)</f>
        <v>880.96670139609296</v>
      </c>
      <c r="H113" s="106">
        <f>SUM(AJ$71:AJ$86)+SUM(AL$71:AL$86)+SUM(AN$71:AN$86)+SUM(AP$71:AP$86)</f>
        <v>733.49251779160227</v>
      </c>
      <c r="I113" s="106">
        <f>SUM(AR$71:AR$86)+SUM(AT$71:AT$86)+SUM(AV$71:AV$86)+SUM(AX$71:AX$86)</f>
        <v>1000.7961462545385</v>
      </c>
      <c r="J113" s="106">
        <f>SUM(AZ$71:AZ$86)+SUM(BB$71:BB$86)+SUM(BD$71:BD$86)+SUM(BF$71:BF$86)</f>
        <v>342.90819841393903</v>
      </c>
      <c r="K113" s="106">
        <f>SUM(BH$71:BH$86)+SUM(BJ$71:BJ$86)+SUM(BL$71:BL$86)+SUM(BN$71:BN$86)</f>
        <v>1032.4014503360809</v>
      </c>
      <c r="L113" s="106">
        <f>SUM(BP$71:BP$86)+SUM(BR$71:BR$86)+SUM(BT$71:BT$86)+SUM(BV$71:BV$86)</f>
        <v>418.02796521248206</v>
      </c>
      <c r="M113" s="106">
        <f>SUM(BX$71:BX$86)+SUM(BZ$71:BZ$86)+SUM(CB$71:CB$86)+SUM(CD$71:CD$86)</f>
        <v>349.18889738934666</v>
      </c>
      <c r="N113" s="106">
        <f>SUM(CF$71:CF$86)+SUM(CH$71:CH$86)+SUM(CJ$71:CJ$86)+SUM(CL$71:CL$86)</f>
        <v>989.53795873010824</v>
      </c>
      <c r="O113" s="106">
        <f>SUM(CN$71:CN$86)+SUM(CP$71:CP$86)+SUM(CR$71:CR$86)+SUM(CT$71:CT$86)</f>
        <v>416.62489940675221</v>
      </c>
    </row>
    <row r="114" spans="2:15" x14ac:dyDescent="0.2">
      <c r="C114" s="105" t="s">
        <v>131</v>
      </c>
      <c r="D114" s="106">
        <f>SUM(D$87:D$94)+SUM(F$87:F$94)+SUM(H$87:H$94)+SUM(J$87:J$94)</f>
        <v>150.04862012989429</v>
      </c>
      <c r="E114" s="106">
        <f>SUM(L$87:L$94)+SUM(N$87:N$94)+SUM(P$87:P$94)+SUM(R$87:R$94)</f>
        <v>572.31180686585435</v>
      </c>
      <c r="F114" s="106">
        <f>SUM(T$87:T$94)+SUM(V$87:V$94)+SUM(X$87:X$94)+SUM(Z$87:Z$94)</f>
        <v>973.01859780909069</v>
      </c>
      <c r="G114" s="106">
        <f>SUM(AB$87:AB$94)+SUM(AD$87:AD$94)+SUM(AF$87:AF$94)+SUM(AH$87:AH$94)</f>
        <v>325.9784673654305</v>
      </c>
      <c r="H114" s="106">
        <f>SUM(AJ$87:AJ$94)+SUM(AL$87:AL$94)+SUM(AN$87:AN$94)+SUM(AP$87:AP$94)</f>
        <v>424.66021979302786</v>
      </c>
      <c r="I114" s="106">
        <f>SUM(AR$87:AR$94)+SUM(AT$87:AT$94)+SUM(AV$87:AV$94)+SUM(AX$87:AX$94)</f>
        <v>212.6771965599778</v>
      </c>
      <c r="J114" s="106">
        <f>SUM(AZ$87:AZ$94)+SUM(BB$87:BB$94)+SUM(BD$87:BD$94)+SUM(BF$87:BF$94)</f>
        <v>264.81172369782701</v>
      </c>
      <c r="K114" s="106">
        <f>SUM(BH$87:BH$94)+SUM(BJ$87:BJ$94)+SUM(BL$87:BL$94)+SUM(BN$87:BN$94)</f>
        <v>518.20019536583459</v>
      </c>
      <c r="L114" s="106">
        <f>SUM(BP$87:BP$94)+SUM(BR$87:BR$94)+SUM(BT$87:BT$94)+SUM(BV$87:BV$94)</f>
        <v>1351.9385698498377</v>
      </c>
      <c r="M114" s="106">
        <f>SUM(BX$87:BX$94)+SUM(BZ$87:BZ$94)+SUM(CB$87:CB$94)+SUM(CD$87:CD$94)</f>
        <v>915.66714377544054</v>
      </c>
      <c r="N114" s="106">
        <f>SUM(CF$87:CF$94)+SUM(CH$87:CH$94)+SUM(CJ$87:CJ$94)+SUM(CL$87:CL$94)</f>
        <v>323.97501862491617</v>
      </c>
      <c r="O114" s="106">
        <f>SUM(CN$87:CN$94)+SUM(CP$87:CP$94)+SUM(CR$87:CR$94)+SUM(CT$87:CT$94)</f>
        <v>201.24809241012082</v>
      </c>
    </row>
    <row r="115" spans="2:15" x14ac:dyDescent="0.2">
      <c r="C115" s="105" t="s">
        <v>132</v>
      </c>
      <c r="D115" s="106">
        <f>SUM(D$95:D$105)+SUM(F$95:F$105)+SUM(H$95:H$105)+SUM(J$95:J$105)</f>
        <v>416.65323686572691</v>
      </c>
      <c r="E115" s="106">
        <f>SUM(L$95:L$105)+SUM(N$95:N$105)+SUM(P$95:P$105)+SUM(R$95:R$105)</f>
        <v>483.79499637880423</v>
      </c>
      <c r="F115" s="106">
        <f>SUM(T$95:T$105)+SUM(V$95:V$105)+SUM(X$95:X$105)+SUM(Z$95:Z$105)</f>
        <v>638.8658679555856</v>
      </c>
      <c r="G115" s="106">
        <f>SUM(AB$95:AB$105)+SUM(AD$95:AD$105)+SUM(AF$95:AF$105)+SUM(AH$95:AH$105)</f>
        <v>1761.2069793458477</v>
      </c>
      <c r="H115" s="106">
        <f>SUM(AJ$95:AJ$105)+SUM(AL$95:AL$105)+SUM(AN$95:AN$105)+SUM(AP$95:AP$105)</f>
        <v>276.90335426835225</v>
      </c>
      <c r="I115" s="106">
        <f>SUM(AR$95:AR$105)+SUM(AT$95:AT$105)+SUM(AV$95:AV$105)+SUM(AX$95:AX$105)</f>
        <v>1904.7750417651373</v>
      </c>
      <c r="J115" s="106">
        <f>SUM(AZ$95:AZ$105)+SUM(BB$95:BB$105)+SUM(BD$95:BD$105)+SUM(BF$95:BF$105)</f>
        <v>1230.2226396822125</v>
      </c>
      <c r="K115" s="106">
        <f>SUM(BH$95:BH$105)+SUM(BJ$95:BJ$105)+SUM(BL$95:BL$105)+SUM(BN$95:BN$105)</f>
        <v>1544.6470884008054</v>
      </c>
      <c r="L115" s="106">
        <f>SUM(BP$95:BP$105)+SUM(BR$95:BR$105)+SUM(BT$95:BT$105)+SUM(BV$95:BV$105)</f>
        <v>1146.1390898964069</v>
      </c>
      <c r="M115" s="106">
        <f>SUM(BX$95:BX$105)+SUM(BZ$95:BZ$105)+SUM(CB$95:CB$105)+SUM(CD$95:CD$105)</f>
        <v>1099.2278323489973</v>
      </c>
      <c r="N115" s="106">
        <f>SUM(CF$95:CF$105)+SUM(CH$95:CH$105)+SUM(CJ$95:CJ$105)+SUM(CL$95:CL$105)</f>
        <v>1102.3164885380129</v>
      </c>
      <c r="O115" s="106">
        <f>SUM(CN$95:CN$105)+SUM(CP$95:CP$105)+SUM(CR$95:CR$105)+SUM(CT$95:CT$105)</f>
        <v>3326.3083937789897</v>
      </c>
    </row>
    <row r="116" spans="2:15" x14ac:dyDescent="0.2">
      <c r="C116" s="105" t="s">
        <v>278</v>
      </c>
      <c r="D116" s="106">
        <f t="shared" ref="D116:O116" si="0">SUM(D$109:D$115)</f>
        <v>1330.4968580898858</v>
      </c>
      <c r="E116" s="106">
        <f t="shared" si="0"/>
        <v>1579.7199751744859</v>
      </c>
      <c r="F116" s="106">
        <f t="shared" si="0"/>
        <v>3598.692991333975</v>
      </c>
      <c r="G116" s="106">
        <f t="shared" si="0"/>
        <v>3044.462084976788</v>
      </c>
      <c r="H116" s="106">
        <f t="shared" si="0"/>
        <v>1497.6632802925783</v>
      </c>
      <c r="I116" s="106">
        <f t="shared" si="0"/>
        <v>3204.6486576488428</v>
      </c>
      <c r="J116" s="106">
        <f t="shared" si="0"/>
        <v>2319.7083038162996</v>
      </c>
      <c r="K116" s="106">
        <f t="shared" si="0"/>
        <v>3155.6772975494387</v>
      </c>
      <c r="L116" s="106">
        <f t="shared" si="0"/>
        <v>2985.4589631406361</v>
      </c>
      <c r="M116" s="106">
        <f t="shared" si="0"/>
        <v>2472.5444381983152</v>
      </c>
      <c r="N116" s="106">
        <f t="shared" si="0"/>
        <v>2503.4184620213437</v>
      </c>
      <c r="O116" s="106">
        <f t="shared" si="0"/>
        <v>4263.7746176193114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D109*pricing!D24*2000</f>
        <v>0</v>
      </c>
      <c r="E120" s="106">
        <f>E109*pricing!E24*2000</f>
        <v>0</v>
      </c>
      <c r="F120" s="106">
        <f>F109*pricing!F24*2000</f>
        <v>0</v>
      </c>
      <c r="G120" s="106">
        <f>G109*pricing!G24*2000</f>
        <v>0</v>
      </c>
      <c r="H120" s="106">
        <f>H109*pricing!H24*2000</f>
        <v>0</v>
      </c>
      <c r="I120" s="106">
        <f>I109*pricing!I24*2000</f>
        <v>0</v>
      </c>
      <c r="J120" s="106">
        <f>J109*pricing!J24*2000</f>
        <v>0</v>
      </c>
      <c r="K120" s="106">
        <f>K109*pricing!K24*2000</f>
        <v>0</v>
      </c>
      <c r="L120" s="106">
        <f>L109*pricing!L24*2000</f>
        <v>0</v>
      </c>
      <c r="M120" s="106">
        <f>M109*pricing!M24*2000</f>
        <v>0</v>
      </c>
      <c r="N120" s="106">
        <f>N109*pricing!N24*2000</f>
        <v>0</v>
      </c>
      <c r="O120" s="106">
        <f>O109*pricing!O24*2000</f>
        <v>0</v>
      </c>
    </row>
    <row r="121" spans="2:15" x14ac:dyDescent="0.2">
      <c r="C121" s="105" t="s">
        <v>127</v>
      </c>
      <c r="D121" s="106">
        <f>D110*pricing!D25*2000</f>
        <v>0</v>
      </c>
      <c r="E121" s="106">
        <f>E110*pricing!E25*2000</f>
        <v>0</v>
      </c>
      <c r="F121" s="106">
        <f>F110*pricing!F25*2000</f>
        <v>0</v>
      </c>
      <c r="G121" s="106">
        <f>G110*pricing!G25*2000</f>
        <v>0</v>
      </c>
      <c r="H121" s="106">
        <f>H110*pricing!H25*2000</f>
        <v>0</v>
      </c>
      <c r="I121" s="106">
        <f>I110*pricing!I25*2000</f>
        <v>0</v>
      </c>
      <c r="J121" s="106">
        <f>J110*pricing!J25*2000</f>
        <v>0</v>
      </c>
      <c r="K121" s="106">
        <f>K110*pricing!K25*2000</f>
        <v>0</v>
      </c>
      <c r="L121" s="106">
        <f>L110*pricing!L25*2000</f>
        <v>0</v>
      </c>
      <c r="M121" s="106">
        <f>M110*pricing!M25*2000</f>
        <v>0</v>
      </c>
      <c r="N121" s="106">
        <f>N110*pricing!N25*2000</f>
        <v>0</v>
      </c>
      <c r="O121" s="106">
        <f>O110*pricing!O25*2000</f>
        <v>0</v>
      </c>
    </row>
    <row r="122" spans="2:15" x14ac:dyDescent="0.2">
      <c r="C122" s="105" t="s">
        <v>128</v>
      </c>
      <c r="D122" s="106">
        <f>D111*pricing!D26*2000</f>
        <v>0</v>
      </c>
      <c r="E122" s="106">
        <f>E111*pricing!E26*2000</f>
        <v>0</v>
      </c>
      <c r="F122" s="106">
        <f>F111*pricing!F26*2000</f>
        <v>0</v>
      </c>
      <c r="G122" s="106">
        <f>G111*pricing!G26*2000</f>
        <v>0</v>
      </c>
      <c r="H122" s="106">
        <f>H111*pricing!H26*2000</f>
        <v>0</v>
      </c>
      <c r="I122" s="106">
        <f>I111*pricing!I26*2000</f>
        <v>0</v>
      </c>
      <c r="J122" s="106">
        <f>J111*pricing!J26*2000</f>
        <v>0</v>
      </c>
      <c r="K122" s="106">
        <f>K111*pricing!K26*2000</f>
        <v>0</v>
      </c>
      <c r="L122" s="106">
        <f>L111*pricing!L26*2000</f>
        <v>0</v>
      </c>
      <c r="M122" s="106">
        <f>M111*pricing!M26*2000</f>
        <v>0</v>
      </c>
      <c r="N122" s="106">
        <f>N111*pricing!N26*2000</f>
        <v>0</v>
      </c>
      <c r="O122" s="106">
        <f>O111*pricing!O26*2000</f>
        <v>0</v>
      </c>
    </row>
    <row r="123" spans="2:15" x14ac:dyDescent="0.2">
      <c r="C123" s="105" t="s">
        <v>129</v>
      </c>
      <c r="D123" s="106">
        <f>D112*pricing!D27*2000</f>
        <v>810249.07902233221</v>
      </c>
      <c r="E123" s="106">
        <f>E112*pricing!E27*2000</f>
        <v>879733.86968858365</v>
      </c>
      <c r="F123" s="106">
        <f>F112*pricing!F27*2000</f>
        <v>719977.07676754042</v>
      </c>
      <c r="G123" s="106">
        <f>G112*pricing!G27*2000</f>
        <v>511333.93148990709</v>
      </c>
      <c r="H123" s="106">
        <f>H112*pricing!H27*2000</f>
        <v>394438.421692706</v>
      </c>
      <c r="I123" s="106">
        <f>I112*pricing!I27*2000</f>
        <v>490509.31296723394</v>
      </c>
      <c r="J123" s="106">
        <f>J112*pricing!J27*2000</f>
        <v>1224842.4373590688</v>
      </c>
      <c r="K123" s="106">
        <f>K112*pricing!K27*2000</f>
        <v>391114.55686816538</v>
      </c>
      <c r="L123" s="106">
        <f>L112*pricing!L27*2000</f>
        <v>458574.64891614771</v>
      </c>
      <c r="M123" s="106">
        <f>M112*pricing!M27*2000</f>
        <v>602836.46260983113</v>
      </c>
      <c r="N123" s="106">
        <f>N112*pricing!N27*2000</f>
        <v>457208.14337362401</v>
      </c>
      <c r="O123" s="106">
        <f>O112*pricing!O27*2000</f>
        <v>983163.2690419039</v>
      </c>
    </row>
    <row r="124" spans="2:15" x14ac:dyDescent="0.2">
      <c r="C124" s="105" t="s">
        <v>130</v>
      </c>
      <c r="D124" s="106">
        <f>D113*pricing!D28*2000</f>
        <v>2794339.0469818218</v>
      </c>
      <c r="E124" s="106">
        <f>E113*pricing!E28*2000</f>
        <v>1668413.5983624291</v>
      </c>
      <c r="F124" s="106">
        <f>F113*pricing!F28*2000</f>
        <v>5157185.4983085049</v>
      </c>
      <c r="G124" s="106">
        <f>G113*pricing!G28*2000</f>
        <v>3516103.2127403514</v>
      </c>
      <c r="H124" s="106">
        <f>H113*pricing!H28*2000</f>
        <v>3023963.2650281517</v>
      </c>
      <c r="I124" s="106">
        <f>I113*pricing!I28*2000</f>
        <v>3607555.8565829159</v>
      </c>
      <c r="J124" s="106">
        <f>J113*pricing!J28*2000</f>
        <v>2252438.9239873379</v>
      </c>
      <c r="K124" s="106">
        <f>K113*pricing!K28*2000</f>
        <v>4055205.6250452138</v>
      </c>
      <c r="L124" s="106">
        <f>L113*pricing!L28*2000</f>
        <v>2379034.9285611208</v>
      </c>
      <c r="M124" s="106">
        <f>M113*pricing!M28*2000</f>
        <v>2063242.2568962935</v>
      </c>
      <c r="N124" s="106">
        <f>N113*pricing!N28*2000</f>
        <v>3777729.1144453632</v>
      </c>
      <c r="O124" s="106">
        <f>O113*pricing!O28*2000</f>
        <v>2624928.4912229581</v>
      </c>
    </row>
    <row r="125" spans="2:15" x14ac:dyDescent="0.2">
      <c r="C125" s="105" t="s">
        <v>131</v>
      </c>
      <c r="D125" s="106">
        <f>D114*pricing!D29*2000</f>
        <v>1020170.3037971554</v>
      </c>
      <c r="E125" s="106">
        <f>E114*pricing!E29*2000</f>
        <v>2039298.5002568481</v>
      </c>
      <c r="F125" s="106">
        <f>F114*pricing!F29*2000</f>
        <v>2505807.3884737086</v>
      </c>
      <c r="G125" s="106">
        <f>G114*pricing!G29*2000</f>
        <v>1572191.700087101</v>
      </c>
      <c r="H125" s="106">
        <f>H114*pricing!H29*2000</f>
        <v>1776596.7621237685</v>
      </c>
      <c r="I125" s="106">
        <f>I114*pricing!I29*2000</f>
        <v>1290905.7177929159</v>
      </c>
      <c r="J125" s="106">
        <f>J114*pricing!J29*2000</f>
        <v>1393955.3363733832</v>
      </c>
      <c r="K125" s="106">
        <f>K114*pricing!K29*2000</f>
        <v>1854141.6090748906</v>
      </c>
      <c r="L125" s="106">
        <f>L114*pricing!L29*2000</f>
        <v>3334171.2134839138</v>
      </c>
      <c r="M125" s="106">
        <f>M114*pricing!M29*2000</f>
        <v>2630809.6698263055</v>
      </c>
      <c r="N125" s="106">
        <f>N114*pricing!N29*2000</f>
        <v>1487476.8274275125</v>
      </c>
      <c r="O125" s="106">
        <f>O114*pricing!O29*2000</f>
        <v>1303144.8516685115</v>
      </c>
    </row>
    <row r="126" spans="2:15" x14ac:dyDescent="0.2">
      <c r="C126" s="105" t="s">
        <v>132</v>
      </c>
      <c r="D126" s="106">
        <f>D115*pricing!D30*2000</f>
        <v>2650720.3286266373</v>
      </c>
      <c r="E126" s="106">
        <f>E115*pricing!E30*2000</f>
        <v>2640013.2063374752</v>
      </c>
      <c r="F126" s="106">
        <f>F115*pricing!F30*2000</f>
        <v>3294230.8614824214</v>
      </c>
      <c r="G126" s="106">
        <f>G115*pricing!G30*2000</f>
        <v>4816789.5878662122</v>
      </c>
      <c r="H126" s="106">
        <f>H115*pricing!H30*2000</f>
        <v>1906362.7853449211</v>
      </c>
      <c r="I126" s="106">
        <f>I115*pricing!I30*2000</f>
        <v>5838954.6983969277</v>
      </c>
      <c r="J126" s="106">
        <f>J115*pricing!J30*2000</f>
        <v>4617212.1101056533</v>
      </c>
      <c r="K126" s="106">
        <f>K115*pricing!K30*2000</f>
        <v>5160502.2703597378</v>
      </c>
      <c r="L126" s="106">
        <f>L115*pricing!L30*2000</f>
        <v>4454344.5492781056</v>
      </c>
      <c r="M126" s="106">
        <f>M115*pricing!M30*2000</f>
        <v>4050670.5836137948</v>
      </c>
      <c r="N126" s="106">
        <f>N115*pricing!N30*2000</f>
        <v>4429185.9238674417</v>
      </c>
      <c r="O126" s="106">
        <f>O115*pricing!O30*2000</f>
        <v>6703162.9168525338</v>
      </c>
    </row>
    <row r="127" spans="2:15" x14ac:dyDescent="0.2">
      <c r="C127" s="105" t="s">
        <v>278</v>
      </c>
      <c r="D127" s="106">
        <f t="shared" ref="D127:O127" si="1">SUM(D$120:D$126)</f>
        <v>7275478.7584279468</v>
      </c>
      <c r="E127" s="106">
        <f t="shared" si="1"/>
        <v>7227459.1746453354</v>
      </c>
      <c r="F127" s="106">
        <f t="shared" si="1"/>
        <v>11677200.825032175</v>
      </c>
      <c r="G127" s="106">
        <f t="shared" si="1"/>
        <v>10416418.432183571</v>
      </c>
      <c r="H127" s="106">
        <f t="shared" si="1"/>
        <v>7101361.2341895476</v>
      </c>
      <c r="I127" s="106">
        <f t="shared" si="1"/>
        <v>11227925.585739993</v>
      </c>
      <c r="J127" s="106">
        <f t="shared" si="1"/>
        <v>9488448.8078254424</v>
      </c>
      <c r="K127" s="106">
        <f t="shared" si="1"/>
        <v>11460964.061348008</v>
      </c>
      <c r="L127" s="106">
        <f t="shared" si="1"/>
        <v>10626125.340239286</v>
      </c>
      <c r="M127" s="106">
        <f t="shared" si="1"/>
        <v>9347558.9729462247</v>
      </c>
      <c r="N127" s="106">
        <f t="shared" si="1"/>
        <v>10151600.009113941</v>
      </c>
      <c r="O127" s="106">
        <f t="shared" si="1"/>
        <v>11614399.528785907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238848.09025673463</v>
      </c>
      <c r="E134" s="112">
        <f>SUM(M$49:M$70)+SUM(O$49:O$70)+SUM(Q$49:Q$70)+SUM(S$49:S$70)</f>
        <v>316966.04861679079</v>
      </c>
      <c r="F134" s="112">
        <f>SUM(U$49:U$70)+SUM(W$49:W$70)+SUM(Y$49:Y$70)+SUM(AA$49:AA$70)</f>
        <v>204328.75840119462</v>
      </c>
      <c r="G134" s="112">
        <f>SUM(AC$49:AC$70)+SUM(AE$49:AE$70)+SUM(AG$49:AG$70)+SUM(AI$49:AI$70)</f>
        <v>84156.934285919633</v>
      </c>
      <c r="H134" s="112">
        <f>SUM(AK$49:AK$70)+SUM(AM$49:AM$70)+SUM(AO$49:AO$70)+SUM(AQ$49:AQ$70)</f>
        <v>69263.488640146694</v>
      </c>
      <c r="I134" s="112">
        <f>SUM(AS$49:AS$70)+SUM(AU$49:AU$70)+SUM(AW$49:AW$70)+SUM(AY$49:AY$70)</f>
        <v>95347.676677045616</v>
      </c>
      <c r="J134" s="112">
        <f>SUM(BA$49:BA$70)+SUM(BC$49:BC$70)+SUM(BE$49:BE$70)+SUM(BG$49:BG$70)</f>
        <v>530260.26686911029</v>
      </c>
      <c r="K134" s="112">
        <f>SUM(BI$49:BI$70)+SUM(BK$49:BK$70)+SUM(BM$49:BM$70)+SUM(BO$49:BO$70)</f>
        <v>66711.072154708192</v>
      </c>
      <c r="L134" s="112">
        <f>SUM(BQ$49:BQ$70)+SUM(BS$49:BS$70)+SUM(BU$49:BU$70)+SUM(BW$49:BW$70)</f>
        <v>76565.795873340408</v>
      </c>
      <c r="M134" s="112">
        <f>SUM(BY$49:BY$70)+SUM(CA$49:CA$70)+SUM(CC$49:CC$70)+SUM(CE$49:CE$70)</f>
        <v>120114.51534841173</v>
      </c>
      <c r="N134" s="112">
        <f>SUM(CG$49:CG$70)+SUM(CI$49:CI$70)+SUM(CK$49:CK$70)+SUM(CM$49:CM$70)</f>
        <v>96708.704390428931</v>
      </c>
      <c r="O134" s="112">
        <f>SUM(CO$49:CO$70)+SUM(CQ$49:CQ$70)+SUM(CS$49:CS$70)+SUM(CU$49:CU$70)</f>
        <v>353692.44969412719</v>
      </c>
    </row>
    <row r="135" spans="2:15" x14ac:dyDescent="0.2">
      <c r="C135" s="111" t="s">
        <v>130</v>
      </c>
      <c r="D135" s="112">
        <f>SUM(E$71:E$86)+SUM(G$71:G$86)+SUM(I$71:I$86)+SUM(K$71:K$86)</f>
        <v>305033.14168627706</v>
      </c>
      <c r="E135" s="112">
        <f>SUM(M$71:M$86)+SUM(O$71:O$86)+SUM(Q$71:Q$86)+SUM(S$71:S$86)</f>
        <v>132798.86824798564</v>
      </c>
      <c r="F135" s="112">
        <f>SUM(U$71:U$86)+SUM(W$71:W$86)+SUM(Y$71:Y$86)+SUM(AA$71:AA$86)</f>
        <v>996342.36346096778</v>
      </c>
      <c r="G135" s="112">
        <f>SUM(AC$71:AC$86)+SUM(AE$71:AE$86)+SUM(AG$71:AG$86)+SUM(AI$71:AI$86)</f>
        <v>491274.3490191616</v>
      </c>
      <c r="H135" s="112">
        <f>SUM(AK$71:AK$86)+SUM(AM$71:AM$86)+SUM(AO$71:AO$86)+SUM(AQ$71:AQ$86)</f>
        <v>410568.77895669843</v>
      </c>
      <c r="I135" s="112">
        <f>SUM(AS$71:AS$86)+SUM(AU$71:AU$86)+SUM(AW$71:AW$86)+SUM(AY$71:AY$86)</f>
        <v>557690.38569264859</v>
      </c>
      <c r="J135" s="112">
        <f>SUM(BA$71:BA$86)+SUM(BC$71:BC$86)+SUM(BE$71:BE$86)+SUM(BG$71:BG$86)</f>
        <v>193196.96358724308</v>
      </c>
      <c r="K135" s="112">
        <f>SUM(BI$71:BI$86)+SUM(BK$71:BK$86)+SUM(BM$71:BM$86)+SUM(BO$71:BO$86)</f>
        <v>573854.14799818629</v>
      </c>
      <c r="L135" s="112">
        <f>SUM(BQ$71:BQ$86)+SUM(BS$71:BS$86)+SUM(BU$71:BU$86)+SUM(BW$71:BW$86)</f>
        <v>232955.00031931451</v>
      </c>
      <c r="M135" s="112">
        <f>SUM(BY$71:BY$86)+SUM(CA$71:CA$86)+SUM(CC$71:CC$86)+SUM(CE$71:CE$86)</f>
        <v>193893.65399138839</v>
      </c>
      <c r="N135" s="112">
        <f>SUM(CG$71:CG$86)+SUM(CI$71:CI$86)+SUM(CK$71:CK$86)+SUM(CM$71:CM$86)</f>
        <v>552427.07797145401</v>
      </c>
      <c r="O135" s="112">
        <f>SUM(CO$71:CO$86)+SUM(CQ$71:CQ$86)+SUM(CS$71:CS$86)+SUM(CU$71:CU$86)</f>
        <v>231946.29423340544</v>
      </c>
    </row>
    <row r="136" spans="2:15" x14ac:dyDescent="0.2">
      <c r="C136" s="111" t="s">
        <v>131</v>
      </c>
      <c r="D136" s="112">
        <f>SUM(E$87:E$94)+SUM(G$87:G$94)+SUM(I$87:I$94)+SUM(K$87:K$94)</f>
        <v>305331.7833248566</v>
      </c>
      <c r="E136" s="112">
        <f>SUM(M$87:M$94)+SUM(O$87:O$94)+SUM(Q$87:Q$94)+SUM(S$87:S$94)</f>
        <v>1160601.0197907561</v>
      </c>
      <c r="F136" s="112">
        <f>SUM(U$87:U$94)+SUM(W$87:W$94)+SUM(Y$87:Y$94)+SUM(AA$87:AA$94)</f>
        <v>1971001.5878362618</v>
      </c>
      <c r="G136" s="112">
        <f>SUM(AC$87:AC$94)+SUM(AE$87:AE$94)+SUM(AG$87:AG$94)+SUM(AI$87:AI$94)</f>
        <v>661772.99400275783</v>
      </c>
      <c r="H136" s="112">
        <f>SUM(AK$87:AK$94)+SUM(AM$87:AM$94)+SUM(AO$87:AO$94)+SUM(AQ$87:AQ$94)</f>
        <v>862850.35060902126</v>
      </c>
      <c r="I136" s="112">
        <f>SUM(AS$87:AS$94)+SUM(AU$87:AU$94)+SUM(AW$87:AW$94)+SUM(AY$87:AY$94)</f>
        <v>431996.29027249676</v>
      </c>
      <c r="J136" s="112">
        <f>SUM(BA$87:BA$94)+SUM(BC$87:BC$94)+SUM(BE$87:BE$94)+SUM(BG$87:BG$94)</f>
        <v>536572.19865803851</v>
      </c>
      <c r="K136" s="112">
        <f>SUM(BI$87:BI$94)+SUM(BK$87:BK$94)+SUM(BM$87:BM$94)+SUM(BO$87:BO$94)</f>
        <v>1051447.3482912229</v>
      </c>
      <c r="L136" s="112">
        <f>SUM(BQ$87:BQ$94)+SUM(BS$87:BS$94)+SUM(BU$87:BU$94)+SUM(BW$87:BW$94)</f>
        <v>2740841.7623741478</v>
      </c>
      <c r="M136" s="112">
        <f>SUM(BY$87:BY$94)+SUM(CA$87:CA$94)+SUM(CC$87:CC$94)+SUM(CE$87:CE$94)</f>
        <v>1859015.0955740528</v>
      </c>
      <c r="N136" s="112">
        <f>SUM(CG$87:CG$94)+SUM(CI$87:CI$94)+SUM(CK$87:CK$94)+SUM(CM$87:CM$94)</f>
        <v>656929.1441639933</v>
      </c>
      <c r="O136" s="112">
        <f>SUM(CO$87:CO$94)+SUM(CQ$87:CQ$94)+SUM(CS$87:CS$94)+SUM(CU$87:CU$94)</f>
        <v>408156.21404637111</v>
      </c>
    </row>
    <row r="137" spans="2:15" x14ac:dyDescent="0.2">
      <c r="C137" s="111" t="s">
        <v>132</v>
      </c>
      <c r="D137" s="112">
        <f>SUM(E$95:E$105)+SUM(G$95:G$105)+SUM(I$95:I$105)+SUM(K$95:K$105)</f>
        <v>798954.91989587201</v>
      </c>
      <c r="E137" s="112">
        <f>SUM(M$95:M$105)+SUM(O$95:O$105)+SUM(Q$95:Q$105)+SUM(S$95:S$105)</f>
        <v>932544.71466349845</v>
      </c>
      <c r="F137" s="112">
        <f>SUM(U$95:U$105)+SUM(W$95:W$105)+SUM(Y$95:Y$105)+SUM(AA$95:AA$105)</f>
        <v>1225517.5483665203</v>
      </c>
      <c r="G137" s="112">
        <f>SUM(AC$95:AC$105)+SUM(AE$95:AE$105)+SUM(AG$95:AG$105)+SUM(AI$95:AI$105)</f>
        <v>3242938.6129455017</v>
      </c>
      <c r="H137" s="112">
        <f>SUM(AK$95:AK$105)+SUM(AM$95:AM$105)+SUM(AO$95:AO$105)+SUM(AQ$95:AQ$105)</f>
        <v>532476.44072233548</v>
      </c>
      <c r="I137" s="112">
        <f>SUM(AS$95:AS$105)+SUM(AU$95:AU$105)+SUM(AW$95:AW$105)+SUM(AY$95:AY$105)</f>
        <v>3557302.772858311</v>
      </c>
      <c r="J137" s="112">
        <f>SUM(BA$95:BA$105)+SUM(BC$95:BC$105)+SUM(BE$95:BE$105)+SUM(BG$95:BG$105)</f>
        <v>2318612.5480369516</v>
      </c>
      <c r="K137" s="112">
        <f>SUM(BI$95:BI$105)+SUM(BK$95:BK$105)+SUM(BM$95:BM$105)+SUM(BO$95:BO$105)</f>
        <v>2890812.9947282095</v>
      </c>
      <c r="L137" s="112">
        <f>SUM(BQ$95:BQ$105)+SUM(BS$95:BS$105)+SUM(BU$95:BU$105)+SUM(BW$95:BW$105)</f>
        <v>2154824.501789975</v>
      </c>
      <c r="M137" s="112">
        <f>SUM(BY$95:BY$105)+SUM(CA$95:CA$105)+SUM(CC$95:CC$105)+SUM(CE$95:CE$105)</f>
        <v>2049113.7051149262</v>
      </c>
      <c r="N137" s="112">
        <f>SUM(CG$95:CG$105)+SUM(CI$95:CI$105)+SUM(CK$95:CK$105)+SUM(CM$95:CM$105)</f>
        <v>2081142.0399011672</v>
      </c>
      <c r="O137" s="112">
        <f>SUM(CO$95:CO$105)+SUM(CQ$95:CQ$105)+SUM(CS$95:CS$105)+SUM(CU$95:CU$105)</f>
        <v>6065766.5709852586</v>
      </c>
    </row>
    <row r="138" spans="2:15" x14ac:dyDescent="0.2">
      <c r="C138" s="111" t="s">
        <v>278</v>
      </c>
      <c r="D138" s="106">
        <f t="shared" ref="D138:O138" si="2">SUM(D$131:D$137)</f>
        <v>1648167.9351637403</v>
      </c>
      <c r="E138" s="106">
        <f t="shared" si="2"/>
        <v>2542910.6513190311</v>
      </c>
      <c r="F138" s="106">
        <f t="shared" si="2"/>
        <v>4397190.2580649443</v>
      </c>
      <c r="G138" s="106">
        <f t="shared" si="2"/>
        <v>4480142.8902533408</v>
      </c>
      <c r="H138" s="106">
        <f t="shared" si="2"/>
        <v>1875159.0589282019</v>
      </c>
      <c r="I138" s="106">
        <f t="shared" si="2"/>
        <v>4642337.1255005021</v>
      </c>
      <c r="J138" s="106">
        <f t="shared" si="2"/>
        <v>3578641.9771513436</v>
      </c>
      <c r="K138" s="106">
        <f t="shared" si="2"/>
        <v>4582825.5631723274</v>
      </c>
      <c r="L138" s="106">
        <f t="shared" si="2"/>
        <v>5205187.0603567772</v>
      </c>
      <c r="M138" s="106">
        <f t="shared" si="2"/>
        <v>4222136.9700287785</v>
      </c>
      <c r="N138" s="106">
        <f t="shared" si="2"/>
        <v>3387206.9664270435</v>
      </c>
      <c r="O138" s="106">
        <f t="shared" si="2"/>
        <v>7059561.5289591625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2.75" x14ac:dyDescent="0.2"/>
  <cols>
    <col min="1" max="16384" width="9.140625" style="106"/>
  </cols>
  <sheetData>
    <row r="1" spans="1:99" x14ac:dyDescent="0.2">
      <c r="A1" s="107"/>
    </row>
    <row r="2" spans="1:99" x14ac:dyDescent="0.2">
      <c r="B2" s="108" t="s">
        <v>272</v>
      </c>
    </row>
    <row r="3" spans="1:99" x14ac:dyDescent="0.2">
      <c r="B3" s="109" t="s">
        <v>273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4</v>
      </c>
      <c r="E6" s="106">
        <v>2313.6</v>
      </c>
      <c r="F6" s="106">
        <v>3</v>
      </c>
      <c r="G6" s="106">
        <v>1735.1999999999998</v>
      </c>
      <c r="H6" s="106">
        <v>3</v>
      </c>
      <c r="I6" s="106">
        <v>1735.1999999999998</v>
      </c>
      <c r="J6" s="106">
        <v>3</v>
      </c>
      <c r="K6" s="106">
        <v>1735.1999999999998</v>
      </c>
      <c r="L6" s="106">
        <v>3</v>
      </c>
      <c r="M6" s="106">
        <v>1735.1999999999998</v>
      </c>
      <c r="N6" s="106">
        <v>3</v>
      </c>
      <c r="O6" s="106">
        <v>1735.1999999999998</v>
      </c>
      <c r="P6" s="106">
        <v>2</v>
      </c>
      <c r="Q6" s="106">
        <v>1156.8</v>
      </c>
      <c r="R6" s="106">
        <v>3</v>
      </c>
      <c r="S6" s="106">
        <v>1735.1999999999998</v>
      </c>
      <c r="T6" s="106">
        <v>4</v>
      </c>
      <c r="U6" s="106">
        <v>2313.6</v>
      </c>
      <c r="V6" s="106">
        <v>5</v>
      </c>
      <c r="W6" s="106">
        <v>2892</v>
      </c>
      <c r="X6" s="106">
        <v>7</v>
      </c>
      <c r="Y6" s="106">
        <v>4048.7999999999997</v>
      </c>
      <c r="Z6" s="106">
        <v>5</v>
      </c>
      <c r="AA6" s="106">
        <v>2892</v>
      </c>
      <c r="AB6" s="106">
        <v>25</v>
      </c>
      <c r="AC6" s="106">
        <v>14460</v>
      </c>
      <c r="AD6" s="106">
        <v>29</v>
      </c>
      <c r="AE6" s="106">
        <v>16773.599999999999</v>
      </c>
      <c r="AF6" s="106">
        <v>24</v>
      </c>
      <c r="AG6" s="106">
        <v>13881.599999999999</v>
      </c>
      <c r="AH6" s="106">
        <v>29</v>
      </c>
      <c r="AI6" s="106">
        <v>16773.599999999999</v>
      </c>
      <c r="AJ6" s="106">
        <v>4</v>
      </c>
      <c r="AK6" s="106">
        <v>2313.6</v>
      </c>
      <c r="AL6" s="106">
        <v>3</v>
      </c>
      <c r="AM6" s="106">
        <v>1735.1999999999998</v>
      </c>
      <c r="AN6" s="106">
        <v>3</v>
      </c>
      <c r="AO6" s="106">
        <v>1735.1999999999998</v>
      </c>
      <c r="AP6" s="106">
        <v>4</v>
      </c>
      <c r="AQ6" s="106">
        <v>2313.6</v>
      </c>
      <c r="AR6" s="106">
        <v>9</v>
      </c>
      <c r="AS6" s="106">
        <v>5205.5999999999995</v>
      </c>
      <c r="AT6" s="106">
        <v>11</v>
      </c>
      <c r="AU6" s="106">
        <v>6362.4</v>
      </c>
      <c r="AV6" s="106">
        <v>14</v>
      </c>
      <c r="AW6" s="106">
        <v>8097.5999999999995</v>
      </c>
      <c r="AX6" s="106">
        <v>12</v>
      </c>
      <c r="AY6" s="106">
        <v>6940.7999999999993</v>
      </c>
      <c r="AZ6" s="106">
        <v>5</v>
      </c>
      <c r="BA6" s="106">
        <v>2892</v>
      </c>
      <c r="BB6" s="106">
        <v>4</v>
      </c>
      <c r="BC6" s="106">
        <v>2313.6</v>
      </c>
      <c r="BD6" s="106">
        <v>6</v>
      </c>
      <c r="BE6" s="106">
        <v>3470.3999999999996</v>
      </c>
      <c r="BF6" s="106">
        <v>4</v>
      </c>
      <c r="BG6" s="106">
        <v>2313.6</v>
      </c>
      <c r="BH6" s="106">
        <v>7</v>
      </c>
      <c r="BI6" s="106">
        <v>4048.7999999999997</v>
      </c>
      <c r="BJ6" s="106">
        <v>7</v>
      </c>
      <c r="BK6" s="106">
        <v>4048.7999999999997</v>
      </c>
      <c r="BL6" s="106">
        <v>7</v>
      </c>
      <c r="BM6" s="106">
        <v>4048.7999999999997</v>
      </c>
      <c r="BN6" s="106">
        <v>8</v>
      </c>
      <c r="BO6" s="106">
        <v>4627.2</v>
      </c>
      <c r="BP6" s="106">
        <v>38</v>
      </c>
      <c r="BQ6" s="106">
        <v>21979.200000000001</v>
      </c>
      <c r="BR6" s="106">
        <v>38</v>
      </c>
      <c r="BS6" s="106">
        <v>21979.200000000001</v>
      </c>
      <c r="BT6" s="106">
        <v>42</v>
      </c>
      <c r="BU6" s="106">
        <v>24292.799999999999</v>
      </c>
      <c r="BV6" s="106">
        <v>42</v>
      </c>
      <c r="BW6" s="106">
        <v>24292.799999999999</v>
      </c>
      <c r="BX6" s="106">
        <v>5</v>
      </c>
      <c r="BY6" s="106">
        <v>2892</v>
      </c>
      <c r="BZ6" s="106">
        <v>3</v>
      </c>
      <c r="CA6" s="106">
        <v>1735.1999999999998</v>
      </c>
      <c r="CB6" s="106">
        <v>3</v>
      </c>
      <c r="CC6" s="106">
        <v>1735.1999999999998</v>
      </c>
      <c r="CD6" s="106">
        <v>5</v>
      </c>
      <c r="CE6" s="106">
        <v>2892</v>
      </c>
      <c r="CF6" s="106">
        <v>34</v>
      </c>
      <c r="CG6" s="106">
        <v>19665.599999999999</v>
      </c>
      <c r="CH6" s="106">
        <v>39</v>
      </c>
      <c r="CI6" s="106">
        <v>22557.599999999999</v>
      </c>
      <c r="CJ6" s="106">
        <v>42</v>
      </c>
      <c r="CK6" s="106">
        <v>24292.799999999999</v>
      </c>
      <c r="CL6" s="106">
        <v>30</v>
      </c>
      <c r="CM6" s="106">
        <v>17352</v>
      </c>
      <c r="CN6" s="106">
        <v>9</v>
      </c>
      <c r="CO6" s="106">
        <v>5205.5999999999995</v>
      </c>
      <c r="CP6" s="106">
        <v>8</v>
      </c>
      <c r="CQ6" s="106">
        <v>4627.2</v>
      </c>
      <c r="CR6" s="106">
        <v>8</v>
      </c>
      <c r="CS6" s="106">
        <v>4627.2</v>
      </c>
      <c r="CT6" s="106">
        <v>10</v>
      </c>
      <c r="CU6" s="106">
        <v>5784</v>
      </c>
    </row>
    <row r="7" spans="1:99" x14ac:dyDescent="0.2">
      <c r="C7" s="105" t="s">
        <v>173</v>
      </c>
      <c r="D7" s="106">
        <v>4</v>
      </c>
      <c r="E7" s="106">
        <v>3153.6</v>
      </c>
      <c r="F7" s="106">
        <v>3</v>
      </c>
      <c r="G7" s="106">
        <v>2365.1999999999998</v>
      </c>
      <c r="H7" s="106">
        <v>3</v>
      </c>
      <c r="I7" s="106">
        <v>2365.1999999999998</v>
      </c>
      <c r="J7" s="106">
        <v>3</v>
      </c>
      <c r="K7" s="106">
        <v>2365.1999999999998</v>
      </c>
      <c r="L7" s="106">
        <v>3</v>
      </c>
      <c r="M7" s="106">
        <v>2365.1999999999998</v>
      </c>
      <c r="N7" s="106">
        <v>4</v>
      </c>
      <c r="O7" s="106">
        <v>3153.6</v>
      </c>
      <c r="P7" s="106">
        <v>3</v>
      </c>
      <c r="Q7" s="106">
        <v>2365.1999999999998</v>
      </c>
      <c r="R7" s="106">
        <v>2</v>
      </c>
      <c r="S7" s="106">
        <v>1576.8</v>
      </c>
      <c r="T7" s="106">
        <v>5</v>
      </c>
      <c r="U7" s="106">
        <v>3942</v>
      </c>
      <c r="V7" s="106">
        <v>5</v>
      </c>
      <c r="W7" s="106">
        <v>3942</v>
      </c>
      <c r="X7" s="106">
        <v>7</v>
      </c>
      <c r="Y7" s="106">
        <v>5518.8</v>
      </c>
      <c r="Z7" s="106">
        <v>5</v>
      </c>
      <c r="AA7" s="106">
        <v>3942</v>
      </c>
      <c r="AB7" s="106">
        <v>24</v>
      </c>
      <c r="AC7" s="106">
        <v>18921.599999999999</v>
      </c>
      <c r="AD7" s="106">
        <v>31</v>
      </c>
      <c r="AE7" s="106">
        <v>24440.399999999998</v>
      </c>
      <c r="AF7" s="106">
        <v>24</v>
      </c>
      <c r="AG7" s="106">
        <v>18921.599999999999</v>
      </c>
      <c r="AH7" s="106">
        <v>26</v>
      </c>
      <c r="AI7" s="106">
        <v>20498.399999999998</v>
      </c>
      <c r="AJ7" s="106">
        <v>4</v>
      </c>
      <c r="AK7" s="106">
        <v>3153.6</v>
      </c>
      <c r="AL7" s="106">
        <v>3</v>
      </c>
      <c r="AM7" s="106">
        <v>2365.1999999999998</v>
      </c>
      <c r="AN7" s="106">
        <v>3</v>
      </c>
      <c r="AO7" s="106">
        <v>2365.1999999999998</v>
      </c>
      <c r="AP7" s="106">
        <v>4</v>
      </c>
      <c r="AQ7" s="106">
        <v>3153.6</v>
      </c>
      <c r="AR7" s="106">
        <v>8</v>
      </c>
      <c r="AS7" s="106">
        <v>6307.2</v>
      </c>
      <c r="AT7" s="106">
        <v>12</v>
      </c>
      <c r="AU7" s="106">
        <v>9460.7999999999993</v>
      </c>
      <c r="AV7" s="106">
        <v>12</v>
      </c>
      <c r="AW7" s="106">
        <v>9460.7999999999993</v>
      </c>
      <c r="AX7" s="106">
        <v>12</v>
      </c>
      <c r="AY7" s="106">
        <v>9460.7999999999993</v>
      </c>
      <c r="AZ7" s="106">
        <v>5</v>
      </c>
      <c r="BA7" s="106">
        <v>3942</v>
      </c>
      <c r="BB7" s="106">
        <v>4</v>
      </c>
      <c r="BC7" s="106">
        <v>3153.6</v>
      </c>
      <c r="BD7" s="106">
        <v>6</v>
      </c>
      <c r="BE7" s="106">
        <v>4730.3999999999996</v>
      </c>
      <c r="BF7" s="106">
        <v>4</v>
      </c>
      <c r="BG7" s="106">
        <v>3153.6</v>
      </c>
      <c r="BH7" s="106">
        <v>6</v>
      </c>
      <c r="BI7" s="106">
        <v>4730.3999999999996</v>
      </c>
      <c r="BJ7" s="106">
        <v>7</v>
      </c>
      <c r="BK7" s="106">
        <v>5518.8</v>
      </c>
      <c r="BL7" s="106">
        <v>7</v>
      </c>
      <c r="BM7" s="106">
        <v>5518.8</v>
      </c>
      <c r="BN7" s="106">
        <v>7</v>
      </c>
      <c r="BO7" s="106">
        <v>5518.8</v>
      </c>
      <c r="BP7" s="106">
        <v>39</v>
      </c>
      <c r="BQ7" s="106">
        <v>30747.599999999999</v>
      </c>
      <c r="BR7" s="106">
        <v>40</v>
      </c>
      <c r="BS7" s="106">
        <v>31536</v>
      </c>
      <c r="BT7" s="106">
        <v>38</v>
      </c>
      <c r="BU7" s="106">
        <v>29959.200000000001</v>
      </c>
      <c r="BV7" s="106">
        <v>39</v>
      </c>
      <c r="BW7" s="106">
        <v>30747.599999999999</v>
      </c>
      <c r="BX7" s="106">
        <v>5</v>
      </c>
      <c r="BY7" s="106">
        <v>3942</v>
      </c>
      <c r="BZ7" s="106">
        <v>3</v>
      </c>
      <c r="CA7" s="106">
        <v>2365.1999999999998</v>
      </c>
      <c r="CB7" s="106">
        <v>3</v>
      </c>
      <c r="CC7" s="106">
        <v>2365.1999999999998</v>
      </c>
      <c r="CD7" s="106">
        <v>5</v>
      </c>
      <c r="CE7" s="106">
        <v>3942</v>
      </c>
      <c r="CF7" s="106">
        <v>28</v>
      </c>
      <c r="CG7" s="106">
        <v>22075.200000000001</v>
      </c>
      <c r="CH7" s="106">
        <v>39</v>
      </c>
      <c r="CI7" s="106">
        <v>30747.599999999999</v>
      </c>
      <c r="CJ7" s="106">
        <v>36</v>
      </c>
      <c r="CK7" s="106">
        <v>28382.399999999998</v>
      </c>
      <c r="CL7" s="106">
        <v>28</v>
      </c>
      <c r="CM7" s="106">
        <v>22075.200000000001</v>
      </c>
      <c r="CN7" s="106">
        <v>8</v>
      </c>
      <c r="CO7" s="106">
        <v>6307.2</v>
      </c>
      <c r="CP7" s="106">
        <v>9</v>
      </c>
      <c r="CQ7" s="106">
        <v>7095.5999999999995</v>
      </c>
      <c r="CR7" s="106">
        <v>9</v>
      </c>
      <c r="CS7" s="106">
        <v>7095.5999999999995</v>
      </c>
      <c r="CT7" s="106">
        <v>11</v>
      </c>
      <c r="CU7" s="106">
        <v>8672.4</v>
      </c>
    </row>
    <row r="8" spans="1:99" x14ac:dyDescent="0.2">
      <c r="C8" s="105" t="s">
        <v>174</v>
      </c>
      <c r="D8" s="106">
        <v>4</v>
      </c>
      <c r="E8" s="106">
        <v>1238.3999999999999</v>
      </c>
      <c r="F8" s="106">
        <v>3</v>
      </c>
      <c r="G8" s="106">
        <v>928.8</v>
      </c>
      <c r="H8" s="106">
        <v>3</v>
      </c>
      <c r="I8" s="106">
        <v>928.8</v>
      </c>
      <c r="J8" s="106">
        <v>3</v>
      </c>
      <c r="K8" s="106">
        <v>928.8</v>
      </c>
      <c r="L8" s="106">
        <v>3</v>
      </c>
      <c r="M8" s="106">
        <v>928.8</v>
      </c>
      <c r="N8" s="106">
        <v>4</v>
      </c>
      <c r="O8" s="106">
        <v>1238.3999999999999</v>
      </c>
      <c r="P8" s="106">
        <v>3</v>
      </c>
      <c r="Q8" s="106">
        <v>928.8</v>
      </c>
      <c r="R8" s="106">
        <v>2</v>
      </c>
      <c r="S8" s="106">
        <v>619.19999999999993</v>
      </c>
      <c r="T8" s="106">
        <v>5</v>
      </c>
      <c r="U8" s="106">
        <v>1547.9999999999998</v>
      </c>
      <c r="V8" s="106">
        <v>5</v>
      </c>
      <c r="W8" s="106">
        <v>1547.9999999999998</v>
      </c>
      <c r="X8" s="106">
        <v>7</v>
      </c>
      <c r="Y8" s="106">
        <v>2167.1999999999998</v>
      </c>
      <c r="Z8" s="106">
        <v>5</v>
      </c>
      <c r="AA8" s="106">
        <v>1547.9999999999998</v>
      </c>
      <c r="AB8" s="106">
        <v>28</v>
      </c>
      <c r="AC8" s="106">
        <v>8668.7999999999993</v>
      </c>
      <c r="AD8" s="106">
        <v>29</v>
      </c>
      <c r="AE8" s="106">
        <v>8978.4</v>
      </c>
      <c r="AF8" s="106">
        <v>25</v>
      </c>
      <c r="AG8" s="106">
        <v>7739.9999999999991</v>
      </c>
      <c r="AH8" s="106">
        <v>31</v>
      </c>
      <c r="AI8" s="106">
        <v>9597.5999999999985</v>
      </c>
      <c r="AJ8" s="106">
        <v>5</v>
      </c>
      <c r="AK8" s="106">
        <v>1547.9999999999998</v>
      </c>
      <c r="AL8" s="106">
        <v>4</v>
      </c>
      <c r="AM8" s="106">
        <v>1238.3999999999999</v>
      </c>
      <c r="AN8" s="106">
        <v>4</v>
      </c>
      <c r="AO8" s="106">
        <v>1238.3999999999999</v>
      </c>
      <c r="AP8" s="106">
        <v>4</v>
      </c>
      <c r="AQ8" s="106">
        <v>1238.3999999999999</v>
      </c>
      <c r="AR8" s="106">
        <v>9</v>
      </c>
      <c r="AS8" s="106">
        <v>2786.3999999999996</v>
      </c>
      <c r="AT8" s="106">
        <v>13</v>
      </c>
      <c r="AU8" s="106">
        <v>4024.7999999999997</v>
      </c>
      <c r="AV8" s="106">
        <v>13</v>
      </c>
      <c r="AW8" s="106">
        <v>4024.7999999999997</v>
      </c>
      <c r="AX8" s="106">
        <v>12</v>
      </c>
      <c r="AY8" s="106">
        <v>3715.2</v>
      </c>
      <c r="AZ8" s="106">
        <v>5</v>
      </c>
      <c r="BA8" s="106">
        <v>1547.9999999999998</v>
      </c>
      <c r="BB8" s="106">
        <v>5</v>
      </c>
      <c r="BC8" s="106">
        <v>1547.9999999999998</v>
      </c>
      <c r="BD8" s="106">
        <v>6</v>
      </c>
      <c r="BE8" s="106">
        <v>1857.6</v>
      </c>
      <c r="BF8" s="106">
        <v>4</v>
      </c>
      <c r="BG8" s="106">
        <v>1238.3999999999999</v>
      </c>
      <c r="BH8" s="106">
        <v>7</v>
      </c>
      <c r="BI8" s="106">
        <v>2167.1999999999998</v>
      </c>
      <c r="BJ8" s="106">
        <v>7</v>
      </c>
      <c r="BK8" s="106">
        <v>2167.1999999999998</v>
      </c>
      <c r="BL8" s="106">
        <v>7</v>
      </c>
      <c r="BM8" s="106">
        <v>2167.1999999999998</v>
      </c>
      <c r="BN8" s="106">
        <v>7</v>
      </c>
      <c r="BO8" s="106">
        <v>2167.1999999999998</v>
      </c>
      <c r="BP8" s="106">
        <v>37</v>
      </c>
      <c r="BQ8" s="106">
        <v>11455.199999999999</v>
      </c>
      <c r="BR8" s="106">
        <v>41</v>
      </c>
      <c r="BS8" s="106">
        <v>12693.599999999999</v>
      </c>
      <c r="BT8" s="106">
        <v>38</v>
      </c>
      <c r="BU8" s="106">
        <v>11764.8</v>
      </c>
      <c r="BV8" s="106">
        <v>45</v>
      </c>
      <c r="BW8" s="106">
        <v>13931.999999999998</v>
      </c>
      <c r="BX8" s="106">
        <v>5</v>
      </c>
      <c r="BY8" s="106">
        <v>1547.9999999999998</v>
      </c>
      <c r="BZ8" s="106">
        <v>3</v>
      </c>
      <c r="CA8" s="106">
        <v>928.8</v>
      </c>
      <c r="CB8" s="106">
        <v>3</v>
      </c>
      <c r="CC8" s="106">
        <v>928.8</v>
      </c>
      <c r="CD8" s="106">
        <v>5</v>
      </c>
      <c r="CE8" s="106">
        <v>1547.9999999999998</v>
      </c>
      <c r="CF8" s="106">
        <v>33</v>
      </c>
      <c r="CG8" s="106">
        <v>10216.799999999999</v>
      </c>
      <c r="CH8" s="106">
        <v>44</v>
      </c>
      <c r="CI8" s="106">
        <v>13622.399999999998</v>
      </c>
      <c r="CJ8" s="106">
        <v>40</v>
      </c>
      <c r="CK8" s="106">
        <v>12383.999999999998</v>
      </c>
      <c r="CL8" s="106">
        <v>34</v>
      </c>
      <c r="CM8" s="106">
        <v>10526.4</v>
      </c>
      <c r="CN8" s="106">
        <v>8</v>
      </c>
      <c r="CO8" s="106">
        <v>2476.7999999999997</v>
      </c>
      <c r="CP8" s="106">
        <v>8</v>
      </c>
      <c r="CQ8" s="106">
        <v>2476.7999999999997</v>
      </c>
      <c r="CR8" s="106">
        <v>8</v>
      </c>
      <c r="CS8" s="106">
        <v>2476.7999999999997</v>
      </c>
      <c r="CT8" s="106">
        <v>11</v>
      </c>
      <c r="CU8" s="106">
        <v>3405.5999999999995</v>
      </c>
    </row>
    <row r="9" spans="1:99" x14ac:dyDescent="0.2">
      <c r="C9" s="105" t="s">
        <v>175</v>
      </c>
      <c r="D9" s="106">
        <v>4</v>
      </c>
      <c r="E9" s="106">
        <v>2808</v>
      </c>
      <c r="F9" s="106">
        <v>3</v>
      </c>
      <c r="G9" s="106">
        <v>2106</v>
      </c>
      <c r="H9" s="106">
        <v>3</v>
      </c>
      <c r="I9" s="106">
        <v>2106</v>
      </c>
      <c r="J9" s="106">
        <v>3</v>
      </c>
      <c r="K9" s="106">
        <v>2106</v>
      </c>
      <c r="L9" s="106">
        <v>3</v>
      </c>
      <c r="M9" s="106">
        <v>2106</v>
      </c>
      <c r="N9" s="106">
        <v>3</v>
      </c>
      <c r="O9" s="106">
        <v>2106</v>
      </c>
      <c r="P9" s="106">
        <v>3</v>
      </c>
      <c r="Q9" s="106">
        <v>2106</v>
      </c>
      <c r="R9" s="106">
        <v>3</v>
      </c>
      <c r="S9" s="106">
        <v>2106</v>
      </c>
      <c r="T9" s="106">
        <v>5</v>
      </c>
      <c r="U9" s="106">
        <v>3510</v>
      </c>
      <c r="V9" s="106">
        <v>6</v>
      </c>
      <c r="W9" s="106">
        <v>4212</v>
      </c>
      <c r="X9" s="106">
        <v>7</v>
      </c>
      <c r="Y9" s="106">
        <v>4914</v>
      </c>
      <c r="Z9" s="106">
        <v>5</v>
      </c>
      <c r="AA9" s="106">
        <v>3510</v>
      </c>
      <c r="AB9" s="106">
        <v>24</v>
      </c>
      <c r="AC9" s="106">
        <v>16848</v>
      </c>
      <c r="AD9" s="106">
        <v>26</v>
      </c>
      <c r="AE9" s="106">
        <v>18252</v>
      </c>
      <c r="AF9" s="106">
        <v>24</v>
      </c>
      <c r="AG9" s="106">
        <v>16848</v>
      </c>
      <c r="AH9" s="106">
        <v>27</v>
      </c>
      <c r="AI9" s="106">
        <v>18954</v>
      </c>
      <c r="AJ9" s="106">
        <v>4</v>
      </c>
      <c r="AK9" s="106">
        <v>2808</v>
      </c>
      <c r="AL9" s="106">
        <v>4</v>
      </c>
      <c r="AM9" s="106">
        <v>2808</v>
      </c>
      <c r="AN9" s="106">
        <v>3</v>
      </c>
      <c r="AO9" s="106">
        <v>2106</v>
      </c>
      <c r="AP9" s="106">
        <v>4</v>
      </c>
      <c r="AQ9" s="106">
        <v>2808</v>
      </c>
      <c r="AR9" s="106">
        <v>8</v>
      </c>
      <c r="AS9" s="106">
        <v>5616</v>
      </c>
      <c r="AT9" s="106">
        <v>13</v>
      </c>
      <c r="AU9" s="106">
        <v>9126</v>
      </c>
      <c r="AV9" s="106">
        <v>13</v>
      </c>
      <c r="AW9" s="106">
        <v>9126</v>
      </c>
      <c r="AX9" s="106">
        <v>11</v>
      </c>
      <c r="AY9" s="106">
        <v>7722</v>
      </c>
      <c r="AZ9" s="106">
        <v>5</v>
      </c>
      <c r="BA9" s="106">
        <v>3510</v>
      </c>
      <c r="BB9" s="106">
        <v>4</v>
      </c>
      <c r="BC9" s="106">
        <v>2808</v>
      </c>
      <c r="BD9" s="106">
        <v>7</v>
      </c>
      <c r="BE9" s="106">
        <v>4914</v>
      </c>
      <c r="BF9" s="106">
        <v>4</v>
      </c>
      <c r="BG9" s="106">
        <v>2808</v>
      </c>
      <c r="BH9" s="106">
        <v>7</v>
      </c>
      <c r="BI9" s="106">
        <v>4914</v>
      </c>
      <c r="BJ9" s="106">
        <v>8</v>
      </c>
      <c r="BK9" s="106">
        <v>5616</v>
      </c>
      <c r="BL9" s="106">
        <v>6</v>
      </c>
      <c r="BM9" s="106">
        <v>4212</v>
      </c>
      <c r="BN9" s="106">
        <v>8</v>
      </c>
      <c r="BO9" s="106">
        <v>5616</v>
      </c>
      <c r="BP9" s="106">
        <v>34</v>
      </c>
      <c r="BQ9" s="106">
        <v>23868</v>
      </c>
      <c r="BR9" s="106">
        <v>41</v>
      </c>
      <c r="BS9" s="106">
        <v>28782</v>
      </c>
      <c r="BT9" s="106">
        <v>34</v>
      </c>
      <c r="BU9" s="106">
        <v>23868</v>
      </c>
      <c r="BV9" s="106">
        <v>37</v>
      </c>
      <c r="BW9" s="106">
        <v>25974</v>
      </c>
      <c r="BX9" s="106">
        <v>5</v>
      </c>
      <c r="BY9" s="106">
        <v>3510</v>
      </c>
      <c r="BZ9" s="106">
        <v>3</v>
      </c>
      <c r="CA9" s="106">
        <v>2106</v>
      </c>
      <c r="CB9" s="106">
        <v>4</v>
      </c>
      <c r="CC9" s="106">
        <v>2808</v>
      </c>
      <c r="CD9" s="106">
        <v>4</v>
      </c>
      <c r="CE9" s="106">
        <v>2808</v>
      </c>
      <c r="CF9" s="106">
        <v>29</v>
      </c>
      <c r="CG9" s="106">
        <v>20358</v>
      </c>
      <c r="CH9" s="106">
        <v>37</v>
      </c>
      <c r="CI9" s="106">
        <v>25974</v>
      </c>
      <c r="CJ9" s="106">
        <v>35</v>
      </c>
      <c r="CK9" s="106">
        <v>24570</v>
      </c>
      <c r="CL9" s="106">
        <v>32</v>
      </c>
      <c r="CM9" s="106">
        <v>22464</v>
      </c>
      <c r="CN9" s="106">
        <v>8</v>
      </c>
      <c r="CO9" s="106">
        <v>5616</v>
      </c>
      <c r="CP9" s="106">
        <v>8</v>
      </c>
      <c r="CQ9" s="106">
        <v>5616</v>
      </c>
      <c r="CR9" s="106">
        <v>8</v>
      </c>
      <c r="CS9" s="106">
        <v>5616</v>
      </c>
      <c r="CT9" s="106">
        <v>11</v>
      </c>
      <c r="CU9" s="106">
        <v>7722</v>
      </c>
    </row>
    <row r="10" spans="1:99" x14ac:dyDescent="0.2">
      <c r="C10" s="105" t="s">
        <v>176</v>
      </c>
      <c r="D10" s="106">
        <v>4</v>
      </c>
      <c r="E10" s="106">
        <v>2179.1999999999998</v>
      </c>
      <c r="F10" s="106">
        <v>3</v>
      </c>
      <c r="G10" s="106">
        <v>1634.3999999999999</v>
      </c>
      <c r="H10" s="106">
        <v>3</v>
      </c>
      <c r="I10" s="106">
        <v>1634.3999999999999</v>
      </c>
      <c r="J10" s="106">
        <v>3</v>
      </c>
      <c r="K10" s="106">
        <v>1634.3999999999999</v>
      </c>
      <c r="L10" s="106">
        <v>3</v>
      </c>
      <c r="M10" s="106">
        <v>1634.3999999999999</v>
      </c>
      <c r="N10" s="106">
        <v>4</v>
      </c>
      <c r="O10" s="106">
        <v>2179.1999999999998</v>
      </c>
      <c r="P10" s="106">
        <v>2</v>
      </c>
      <c r="Q10" s="106">
        <v>1089.5999999999999</v>
      </c>
      <c r="R10" s="106">
        <v>3</v>
      </c>
      <c r="S10" s="106">
        <v>1634.3999999999999</v>
      </c>
      <c r="T10" s="106">
        <v>5</v>
      </c>
      <c r="U10" s="106">
        <v>2724</v>
      </c>
      <c r="V10" s="106">
        <v>5</v>
      </c>
      <c r="W10" s="106">
        <v>2724</v>
      </c>
      <c r="X10" s="106">
        <v>7</v>
      </c>
      <c r="Y10" s="106">
        <v>3813.5999999999995</v>
      </c>
      <c r="Z10" s="106">
        <v>5</v>
      </c>
      <c r="AA10" s="106">
        <v>2724</v>
      </c>
      <c r="AB10" s="106">
        <v>29</v>
      </c>
      <c r="AC10" s="106">
        <v>15799.199999999999</v>
      </c>
      <c r="AD10" s="106">
        <v>31</v>
      </c>
      <c r="AE10" s="106">
        <v>16888.8</v>
      </c>
      <c r="AF10" s="106">
        <v>23</v>
      </c>
      <c r="AG10" s="106">
        <v>12530.4</v>
      </c>
      <c r="AH10" s="106">
        <v>28</v>
      </c>
      <c r="AI10" s="106">
        <v>15254.399999999998</v>
      </c>
      <c r="AJ10" s="106">
        <v>5</v>
      </c>
      <c r="AK10" s="106">
        <v>2724</v>
      </c>
      <c r="AL10" s="106">
        <v>4</v>
      </c>
      <c r="AM10" s="106">
        <v>2179.1999999999998</v>
      </c>
      <c r="AN10" s="106">
        <v>4</v>
      </c>
      <c r="AO10" s="106">
        <v>2179.1999999999998</v>
      </c>
      <c r="AP10" s="106">
        <v>4</v>
      </c>
      <c r="AQ10" s="106">
        <v>2179.1999999999998</v>
      </c>
      <c r="AR10" s="106">
        <v>9</v>
      </c>
      <c r="AS10" s="106">
        <v>4903.2</v>
      </c>
      <c r="AT10" s="106">
        <v>12</v>
      </c>
      <c r="AU10" s="106">
        <v>6537.5999999999995</v>
      </c>
      <c r="AV10" s="106">
        <v>14</v>
      </c>
      <c r="AW10" s="106">
        <v>7627.1999999999989</v>
      </c>
      <c r="AX10" s="106">
        <v>12</v>
      </c>
      <c r="AY10" s="106">
        <v>6537.5999999999995</v>
      </c>
      <c r="AZ10" s="106">
        <v>5</v>
      </c>
      <c r="BA10" s="106">
        <v>2724</v>
      </c>
      <c r="BB10" s="106">
        <v>5</v>
      </c>
      <c r="BC10" s="106">
        <v>2724</v>
      </c>
      <c r="BD10" s="106">
        <v>6</v>
      </c>
      <c r="BE10" s="106">
        <v>3268.7999999999997</v>
      </c>
      <c r="BF10" s="106">
        <v>4</v>
      </c>
      <c r="BG10" s="106">
        <v>2179.1999999999998</v>
      </c>
      <c r="BH10" s="106">
        <v>7</v>
      </c>
      <c r="BI10" s="106">
        <v>3813.5999999999995</v>
      </c>
      <c r="BJ10" s="106">
        <v>7</v>
      </c>
      <c r="BK10" s="106">
        <v>3813.5999999999995</v>
      </c>
      <c r="BL10" s="106">
        <v>8</v>
      </c>
      <c r="BM10" s="106">
        <v>4358.3999999999996</v>
      </c>
      <c r="BN10" s="106">
        <v>8</v>
      </c>
      <c r="BO10" s="106">
        <v>4358.3999999999996</v>
      </c>
      <c r="BP10" s="106">
        <v>35</v>
      </c>
      <c r="BQ10" s="106">
        <v>19068</v>
      </c>
      <c r="BR10" s="106">
        <v>38</v>
      </c>
      <c r="BS10" s="106">
        <v>20702.399999999998</v>
      </c>
      <c r="BT10" s="106">
        <v>40</v>
      </c>
      <c r="BU10" s="106">
        <v>21792</v>
      </c>
      <c r="BV10" s="106">
        <v>42</v>
      </c>
      <c r="BW10" s="106">
        <v>22881.599999999999</v>
      </c>
      <c r="BX10" s="106">
        <v>5</v>
      </c>
      <c r="BY10" s="106">
        <v>2724</v>
      </c>
      <c r="BZ10" s="106">
        <v>3</v>
      </c>
      <c r="CA10" s="106">
        <v>1634.3999999999999</v>
      </c>
      <c r="CB10" s="106">
        <v>3</v>
      </c>
      <c r="CC10" s="106">
        <v>1634.3999999999999</v>
      </c>
      <c r="CD10" s="106">
        <v>5</v>
      </c>
      <c r="CE10" s="106">
        <v>2724</v>
      </c>
      <c r="CF10" s="106">
        <v>32</v>
      </c>
      <c r="CG10" s="106">
        <v>17433.599999999999</v>
      </c>
      <c r="CH10" s="106">
        <v>43</v>
      </c>
      <c r="CI10" s="106">
        <v>23426.399999999998</v>
      </c>
      <c r="CJ10" s="106">
        <v>36</v>
      </c>
      <c r="CK10" s="106">
        <v>19612.8</v>
      </c>
      <c r="CL10" s="106">
        <v>32</v>
      </c>
      <c r="CM10" s="106">
        <v>17433.599999999999</v>
      </c>
      <c r="CN10" s="106">
        <v>7</v>
      </c>
      <c r="CO10" s="106">
        <v>3813.5999999999995</v>
      </c>
      <c r="CP10" s="106">
        <v>8</v>
      </c>
      <c r="CQ10" s="106">
        <v>4358.3999999999996</v>
      </c>
      <c r="CR10" s="106">
        <v>9</v>
      </c>
      <c r="CS10" s="106">
        <v>4903.2</v>
      </c>
      <c r="CT10" s="106">
        <v>11</v>
      </c>
      <c r="CU10" s="106">
        <v>5992.7999999999993</v>
      </c>
    </row>
    <row r="11" spans="1:99" x14ac:dyDescent="0.2">
      <c r="C11" s="105" t="s">
        <v>177</v>
      </c>
      <c r="D11" s="106">
        <v>3</v>
      </c>
      <c r="E11" s="106">
        <v>1598.3999999999999</v>
      </c>
      <c r="F11" s="106">
        <v>3</v>
      </c>
      <c r="G11" s="106">
        <v>1598.3999999999999</v>
      </c>
      <c r="H11" s="106">
        <v>3</v>
      </c>
      <c r="I11" s="106">
        <v>1598.3999999999999</v>
      </c>
      <c r="J11" s="106">
        <v>3</v>
      </c>
      <c r="K11" s="106">
        <v>1598.3999999999999</v>
      </c>
      <c r="L11" s="106">
        <v>3</v>
      </c>
      <c r="M11" s="106">
        <v>1598.3999999999999</v>
      </c>
      <c r="N11" s="106">
        <v>3</v>
      </c>
      <c r="O11" s="106">
        <v>1598.3999999999999</v>
      </c>
      <c r="P11" s="106">
        <v>2</v>
      </c>
      <c r="Q11" s="106">
        <v>1065.5999999999999</v>
      </c>
      <c r="R11" s="106">
        <v>2</v>
      </c>
      <c r="S11" s="106">
        <v>1065.5999999999999</v>
      </c>
      <c r="T11" s="106">
        <v>5</v>
      </c>
      <c r="U11" s="106">
        <v>2664</v>
      </c>
      <c r="V11" s="106">
        <v>5</v>
      </c>
      <c r="W11" s="106">
        <v>2664</v>
      </c>
      <c r="X11" s="106">
        <v>7</v>
      </c>
      <c r="Y11" s="106">
        <v>3729.5999999999995</v>
      </c>
      <c r="Z11" s="106">
        <v>6</v>
      </c>
      <c r="AA11" s="106">
        <v>3196.7999999999997</v>
      </c>
      <c r="AB11" s="106">
        <v>24</v>
      </c>
      <c r="AC11" s="106">
        <v>12787.199999999999</v>
      </c>
      <c r="AD11" s="106">
        <v>30</v>
      </c>
      <c r="AE11" s="106">
        <v>15983.999999999998</v>
      </c>
      <c r="AF11" s="106">
        <v>24</v>
      </c>
      <c r="AG11" s="106">
        <v>12787.199999999999</v>
      </c>
      <c r="AH11" s="106">
        <v>31</v>
      </c>
      <c r="AI11" s="106">
        <v>16516.8</v>
      </c>
      <c r="AJ11" s="106">
        <v>5</v>
      </c>
      <c r="AK11" s="106">
        <v>2664</v>
      </c>
      <c r="AL11" s="106">
        <v>4</v>
      </c>
      <c r="AM11" s="106">
        <v>2131.1999999999998</v>
      </c>
      <c r="AN11" s="106">
        <v>4</v>
      </c>
      <c r="AO11" s="106">
        <v>2131.1999999999998</v>
      </c>
      <c r="AP11" s="106">
        <v>4</v>
      </c>
      <c r="AQ11" s="106">
        <v>2131.1999999999998</v>
      </c>
      <c r="AR11" s="106">
        <v>8</v>
      </c>
      <c r="AS11" s="106">
        <v>4262.3999999999996</v>
      </c>
      <c r="AT11" s="106">
        <v>13</v>
      </c>
      <c r="AU11" s="106">
        <v>6926.4</v>
      </c>
      <c r="AV11" s="106">
        <v>12</v>
      </c>
      <c r="AW11" s="106">
        <v>6393.5999999999995</v>
      </c>
      <c r="AX11" s="106">
        <v>13</v>
      </c>
      <c r="AY11" s="106">
        <v>6926.4</v>
      </c>
      <c r="AZ11" s="106">
        <v>5</v>
      </c>
      <c r="BA11" s="106">
        <v>2664</v>
      </c>
      <c r="BB11" s="106">
        <v>4</v>
      </c>
      <c r="BC11" s="106">
        <v>2131.1999999999998</v>
      </c>
      <c r="BD11" s="106">
        <v>6</v>
      </c>
      <c r="BE11" s="106">
        <v>3196.7999999999997</v>
      </c>
      <c r="BF11" s="106">
        <v>4</v>
      </c>
      <c r="BG11" s="106">
        <v>2131.1999999999998</v>
      </c>
      <c r="BH11" s="106">
        <v>7</v>
      </c>
      <c r="BI11" s="106">
        <v>3729.5999999999995</v>
      </c>
      <c r="BJ11" s="106">
        <v>7</v>
      </c>
      <c r="BK11" s="106">
        <v>3729.5999999999995</v>
      </c>
      <c r="BL11" s="106">
        <v>7</v>
      </c>
      <c r="BM11" s="106">
        <v>3729.5999999999995</v>
      </c>
      <c r="BN11" s="106">
        <v>7</v>
      </c>
      <c r="BO11" s="106">
        <v>3729.5999999999995</v>
      </c>
      <c r="BP11" s="106">
        <v>35</v>
      </c>
      <c r="BQ11" s="106">
        <v>18648</v>
      </c>
      <c r="BR11" s="106">
        <v>43</v>
      </c>
      <c r="BS11" s="106">
        <v>22910.399999999998</v>
      </c>
      <c r="BT11" s="106">
        <v>38</v>
      </c>
      <c r="BU11" s="106">
        <v>20246.399999999998</v>
      </c>
      <c r="BV11" s="106">
        <v>38</v>
      </c>
      <c r="BW11" s="106">
        <v>20246.399999999998</v>
      </c>
      <c r="BX11" s="106">
        <v>4</v>
      </c>
      <c r="BY11" s="106">
        <v>2131.1999999999998</v>
      </c>
      <c r="BZ11" s="106">
        <v>3</v>
      </c>
      <c r="CA11" s="106">
        <v>1598.3999999999999</v>
      </c>
      <c r="CB11" s="106">
        <v>4</v>
      </c>
      <c r="CC11" s="106">
        <v>2131.1999999999998</v>
      </c>
      <c r="CD11" s="106">
        <v>5</v>
      </c>
      <c r="CE11" s="106">
        <v>2664</v>
      </c>
      <c r="CF11" s="106">
        <v>29</v>
      </c>
      <c r="CG11" s="106">
        <v>15451.199999999999</v>
      </c>
      <c r="CH11" s="106">
        <v>39</v>
      </c>
      <c r="CI11" s="106">
        <v>20779.199999999997</v>
      </c>
      <c r="CJ11" s="106">
        <v>36</v>
      </c>
      <c r="CK11" s="106">
        <v>19180.8</v>
      </c>
      <c r="CL11" s="106">
        <v>30</v>
      </c>
      <c r="CM11" s="106">
        <v>15983.999999999998</v>
      </c>
      <c r="CN11" s="106">
        <v>8</v>
      </c>
      <c r="CO11" s="106">
        <v>4262.3999999999996</v>
      </c>
      <c r="CP11" s="106">
        <v>9</v>
      </c>
      <c r="CQ11" s="106">
        <v>4795.2</v>
      </c>
      <c r="CR11" s="106">
        <v>9</v>
      </c>
      <c r="CS11" s="106">
        <v>4795.2</v>
      </c>
      <c r="CT11" s="106">
        <v>10</v>
      </c>
      <c r="CU11" s="106">
        <v>5328</v>
      </c>
    </row>
    <row r="12" spans="1:99" x14ac:dyDescent="0.2">
      <c r="C12" s="105" t="s">
        <v>178</v>
      </c>
      <c r="D12" s="106">
        <v>3</v>
      </c>
      <c r="E12" s="106">
        <v>1688.3999999999999</v>
      </c>
      <c r="F12" s="106">
        <v>3</v>
      </c>
      <c r="G12" s="106">
        <v>1688.3999999999999</v>
      </c>
      <c r="H12" s="106">
        <v>3</v>
      </c>
      <c r="I12" s="106">
        <v>1688.3999999999999</v>
      </c>
      <c r="J12" s="106">
        <v>3</v>
      </c>
      <c r="K12" s="106">
        <v>1688.3999999999999</v>
      </c>
      <c r="L12" s="106">
        <v>3</v>
      </c>
      <c r="M12" s="106">
        <v>1688.3999999999999</v>
      </c>
      <c r="N12" s="106">
        <v>4</v>
      </c>
      <c r="O12" s="106">
        <v>2251.1999999999998</v>
      </c>
      <c r="P12" s="106">
        <v>2</v>
      </c>
      <c r="Q12" s="106">
        <v>1125.5999999999999</v>
      </c>
      <c r="R12" s="106">
        <v>3</v>
      </c>
      <c r="S12" s="106">
        <v>1688.3999999999999</v>
      </c>
      <c r="T12" s="106">
        <v>5</v>
      </c>
      <c r="U12" s="106">
        <v>2814</v>
      </c>
      <c r="V12" s="106">
        <v>5</v>
      </c>
      <c r="W12" s="106">
        <v>2814</v>
      </c>
      <c r="X12" s="106">
        <v>7</v>
      </c>
      <c r="Y12" s="106">
        <v>3939.5999999999995</v>
      </c>
      <c r="Z12" s="106">
        <v>5</v>
      </c>
      <c r="AA12" s="106">
        <v>2814</v>
      </c>
      <c r="AB12" s="106">
        <v>24</v>
      </c>
      <c r="AC12" s="106">
        <v>13507.199999999999</v>
      </c>
      <c r="AD12" s="106">
        <v>27</v>
      </c>
      <c r="AE12" s="106">
        <v>15195.599999999999</v>
      </c>
      <c r="AF12" s="106">
        <v>24</v>
      </c>
      <c r="AG12" s="106">
        <v>13507.199999999999</v>
      </c>
      <c r="AH12" s="106">
        <v>30</v>
      </c>
      <c r="AI12" s="106">
        <v>16884</v>
      </c>
      <c r="AJ12" s="106">
        <v>5</v>
      </c>
      <c r="AK12" s="106">
        <v>2814</v>
      </c>
      <c r="AL12" s="106">
        <v>4</v>
      </c>
      <c r="AM12" s="106">
        <v>2251.1999999999998</v>
      </c>
      <c r="AN12" s="106">
        <v>4</v>
      </c>
      <c r="AO12" s="106">
        <v>2251.1999999999998</v>
      </c>
      <c r="AP12" s="106">
        <v>4</v>
      </c>
      <c r="AQ12" s="106">
        <v>2251.1999999999998</v>
      </c>
      <c r="AR12" s="106">
        <v>9</v>
      </c>
      <c r="AS12" s="106">
        <v>5065.2</v>
      </c>
      <c r="AT12" s="106">
        <v>13</v>
      </c>
      <c r="AU12" s="106">
        <v>7316.4</v>
      </c>
      <c r="AV12" s="106">
        <v>13</v>
      </c>
      <c r="AW12" s="106">
        <v>7316.4</v>
      </c>
      <c r="AX12" s="106">
        <v>11</v>
      </c>
      <c r="AY12" s="106">
        <v>6190.7999999999993</v>
      </c>
      <c r="AZ12" s="106">
        <v>5</v>
      </c>
      <c r="BA12" s="106">
        <v>2814</v>
      </c>
      <c r="BB12" s="106">
        <v>4</v>
      </c>
      <c r="BC12" s="106">
        <v>2251.1999999999998</v>
      </c>
      <c r="BD12" s="106">
        <v>6</v>
      </c>
      <c r="BE12" s="106">
        <v>3376.7999999999997</v>
      </c>
      <c r="BF12" s="106">
        <v>4</v>
      </c>
      <c r="BG12" s="106">
        <v>2251.1999999999998</v>
      </c>
      <c r="BH12" s="106">
        <v>7</v>
      </c>
      <c r="BI12" s="106">
        <v>3939.5999999999995</v>
      </c>
      <c r="BJ12" s="106">
        <v>7</v>
      </c>
      <c r="BK12" s="106">
        <v>3939.5999999999995</v>
      </c>
      <c r="BL12" s="106">
        <v>8</v>
      </c>
      <c r="BM12" s="106">
        <v>4502.3999999999996</v>
      </c>
      <c r="BN12" s="106">
        <v>8</v>
      </c>
      <c r="BO12" s="106">
        <v>4502.3999999999996</v>
      </c>
      <c r="BP12" s="106">
        <v>41</v>
      </c>
      <c r="BQ12" s="106">
        <v>23074.799999999999</v>
      </c>
      <c r="BR12" s="106">
        <v>42</v>
      </c>
      <c r="BS12" s="106">
        <v>23637.599999999999</v>
      </c>
      <c r="BT12" s="106">
        <v>35</v>
      </c>
      <c r="BU12" s="106">
        <v>19698</v>
      </c>
      <c r="BV12" s="106">
        <v>43</v>
      </c>
      <c r="BW12" s="106">
        <v>24200.399999999998</v>
      </c>
      <c r="BX12" s="106">
        <v>5</v>
      </c>
      <c r="BY12" s="106">
        <v>2814</v>
      </c>
      <c r="BZ12" s="106">
        <v>3</v>
      </c>
      <c r="CA12" s="106">
        <v>1688.3999999999999</v>
      </c>
      <c r="CB12" s="106">
        <v>3</v>
      </c>
      <c r="CC12" s="106">
        <v>1688.3999999999999</v>
      </c>
      <c r="CD12" s="106">
        <v>4</v>
      </c>
      <c r="CE12" s="106">
        <v>2251.1999999999998</v>
      </c>
      <c r="CF12" s="106">
        <v>30</v>
      </c>
      <c r="CG12" s="106">
        <v>16884</v>
      </c>
      <c r="CH12" s="106">
        <v>38</v>
      </c>
      <c r="CI12" s="106">
        <v>21386.399999999998</v>
      </c>
      <c r="CJ12" s="106">
        <v>36</v>
      </c>
      <c r="CK12" s="106">
        <v>20260.8</v>
      </c>
      <c r="CL12" s="106">
        <v>29</v>
      </c>
      <c r="CM12" s="106">
        <v>16321.199999999999</v>
      </c>
      <c r="CN12" s="106">
        <v>7</v>
      </c>
      <c r="CO12" s="106">
        <v>3939.5999999999995</v>
      </c>
      <c r="CP12" s="106">
        <v>8</v>
      </c>
      <c r="CQ12" s="106">
        <v>4502.3999999999996</v>
      </c>
      <c r="CR12" s="106">
        <v>8</v>
      </c>
      <c r="CS12" s="106">
        <v>4502.3999999999996</v>
      </c>
      <c r="CT12" s="106">
        <v>10</v>
      </c>
      <c r="CU12" s="106">
        <v>5628</v>
      </c>
    </row>
    <row r="13" spans="1:99" x14ac:dyDescent="0.2">
      <c r="C13" s="105" t="s">
        <v>179</v>
      </c>
      <c r="D13" s="106">
        <v>4</v>
      </c>
      <c r="E13" s="106">
        <v>340.8</v>
      </c>
      <c r="F13" s="106">
        <v>3</v>
      </c>
      <c r="G13" s="106">
        <v>255.60000000000002</v>
      </c>
      <c r="H13" s="106">
        <v>3</v>
      </c>
      <c r="I13" s="106">
        <v>255.60000000000002</v>
      </c>
      <c r="J13" s="106">
        <v>3</v>
      </c>
      <c r="K13" s="106">
        <v>255.60000000000002</v>
      </c>
      <c r="L13" s="106">
        <v>3</v>
      </c>
      <c r="M13" s="106">
        <v>255.60000000000002</v>
      </c>
      <c r="N13" s="106">
        <v>4</v>
      </c>
      <c r="O13" s="106">
        <v>340.8</v>
      </c>
      <c r="P13" s="106">
        <v>3</v>
      </c>
      <c r="Q13" s="106">
        <v>255.60000000000002</v>
      </c>
      <c r="R13" s="106">
        <v>3</v>
      </c>
      <c r="S13" s="106">
        <v>255.60000000000002</v>
      </c>
      <c r="T13" s="106">
        <v>5</v>
      </c>
      <c r="U13" s="106">
        <v>426</v>
      </c>
      <c r="V13" s="106">
        <v>5</v>
      </c>
      <c r="W13" s="106">
        <v>426</v>
      </c>
      <c r="X13" s="106">
        <v>7</v>
      </c>
      <c r="Y13" s="106">
        <v>596.4</v>
      </c>
      <c r="Z13" s="106">
        <v>5</v>
      </c>
      <c r="AA13" s="106">
        <v>426</v>
      </c>
      <c r="AB13" s="106">
        <v>29</v>
      </c>
      <c r="AC13" s="106">
        <v>2470.8000000000002</v>
      </c>
      <c r="AD13" s="106">
        <v>30</v>
      </c>
      <c r="AE13" s="106">
        <v>2556</v>
      </c>
      <c r="AF13" s="106">
        <v>24</v>
      </c>
      <c r="AG13" s="106">
        <v>2044.8000000000002</v>
      </c>
      <c r="AH13" s="106">
        <v>33</v>
      </c>
      <c r="AI13" s="106">
        <v>2811.6</v>
      </c>
      <c r="AJ13" s="106">
        <v>5</v>
      </c>
      <c r="AK13" s="106">
        <v>426</v>
      </c>
      <c r="AL13" s="106">
        <v>4</v>
      </c>
      <c r="AM13" s="106">
        <v>340.8</v>
      </c>
      <c r="AN13" s="106">
        <v>3</v>
      </c>
      <c r="AO13" s="106">
        <v>255.60000000000002</v>
      </c>
      <c r="AP13" s="106">
        <v>4</v>
      </c>
      <c r="AQ13" s="106">
        <v>340.8</v>
      </c>
      <c r="AR13" s="106">
        <v>10</v>
      </c>
      <c r="AS13" s="106">
        <v>852</v>
      </c>
      <c r="AT13" s="106">
        <v>12</v>
      </c>
      <c r="AU13" s="106">
        <v>1022.4000000000001</v>
      </c>
      <c r="AV13" s="106">
        <v>15</v>
      </c>
      <c r="AW13" s="106">
        <v>1278</v>
      </c>
      <c r="AX13" s="106">
        <v>12</v>
      </c>
      <c r="AY13" s="106">
        <v>1022.4000000000001</v>
      </c>
      <c r="AZ13" s="106">
        <v>6</v>
      </c>
      <c r="BA13" s="106">
        <v>511.20000000000005</v>
      </c>
      <c r="BB13" s="106">
        <v>4</v>
      </c>
      <c r="BC13" s="106">
        <v>340.8</v>
      </c>
      <c r="BD13" s="106">
        <v>6</v>
      </c>
      <c r="BE13" s="106">
        <v>511.20000000000005</v>
      </c>
      <c r="BF13" s="106">
        <v>4</v>
      </c>
      <c r="BG13" s="106">
        <v>340.8</v>
      </c>
      <c r="BH13" s="106">
        <v>7</v>
      </c>
      <c r="BI13" s="106">
        <v>596.4</v>
      </c>
      <c r="BJ13" s="106">
        <v>7</v>
      </c>
      <c r="BK13" s="106">
        <v>596.4</v>
      </c>
      <c r="BL13" s="106">
        <v>7</v>
      </c>
      <c r="BM13" s="106">
        <v>596.4</v>
      </c>
      <c r="BN13" s="106">
        <v>8</v>
      </c>
      <c r="BO13" s="106">
        <v>681.6</v>
      </c>
      <c r="BP13" s="106">
        <v>45</v>
      </c>
      <c r="BQ13" s="106">
        <v>3834</v>
      </c>
      <c r="BR13" s="106">
        <v>45</v>
      </c>
      <c r="BS13" s="106">
        <v>3834</v>
      </c>
      <c r="BT13" s="106">
        <v>42</v>
      </c>
      <c r="BU13" s="106">
        <v>3578.4</v>
      </c>
      <c r="BV13" s="106">
        <v>42</v>
      </c>
      <c r="BW13" s="106">
        <v>3578.4</v>
      </c>
      <c r="BX13" s="106">
        <v>4</v>
      </c>
      <c r="BY13" s="106">
        <v>340.8</v>
      </c>
      <c r="BZ13" s="106">
        <v>3</v>
      </c>
      <c r="CA13" s="106">
        <v>255.60000000000002</v>
      </c>
      <c r="CB13" s="106">
        <v>3</v>
      </c>
      <c r="CC13" s="106">
        <v>255.60000000000002</v>
      </c>
      <c r="CD13" s="106">
        <v>5</v>
      </c>
      <c r="CE13" s="106">
        <v>426</v>
      </c>
      <c r="CF13" s="106">
        <v>36</v>
      </c>
      <c r="CG13" s="106">
        <v>3067.2000000000003</v>
      </c>
      <c r="CH13" s="106">
        <v>40</v>
      </c>
      <c r="CI13" s="106">
        <v>3408</v>
      </c>
      <c r="CJ13" s="106">
        <v>41</v>
      </c>
      <c r="CK13" s="106">
        <v>3493.2000000000003</v>
      </c>
      <c r="CL13" s="106">
        <v>32</v>
      </c>
      <c r="CM13" s="106">
        <v>2726.4</v>
      </c>
      <c r="CN13" s="106">
        <v>8</v>
      </c>
      <c r="CO13" s="106">
        <v>681.6</v>
      </c>
      <c r="CP13" s="106">
        <v>10</v>
      </c>
      <c r="CQ13" s="106">
        <v>852</v>
      </c>
      <c r="CR13" s="106">
        <v>8</v>
      </c>
      <c r="CS13" s="106">
        <v>681.6</v>
      </c>
      <c r="CT13" s="106">
        <v>11</v>
      </c>
      <c r="CU13" s="106">
        <v>937.2</v>
      </c>
    </row>
    <row r="14" spans="1:99" x14ac:dyDescent="0.2">
      <c r="C14" s="105" t="s">
        <v>180</v>
      </c>
      <c r="D14" s="106">
        <v>4</v>
      </c>
      <c r="E14" s="106">
        <v>1953.6</v>
      </c>
      <c r="F14" s="106">
        <v>3</v>
      </c>
      <c r="G14" s="106">
        <v>1465.1999999999998</v>
      </c>
      <c r="H14" s="106">
        <v>3</v>
      </c>
      <c r="I14" s="106">
        <v>1465.1999999999998</v>
      </c>
      <c r="J14" s="106">
        <v>3</v>
      </c>
      <c r="K14" s="106">
        <v>1465.1999999999998</v>
      </c>
      <c r="L14" s="106">
        <v>3</v>
      </c>
      <c r="M14" s="106">
        <v>1465.1999999999998</v>
      </c>
      <c r="N14" s="106">
        <v>4</v>
      </c>
      <c r="O14" s="106">
        <v>1953.6</v>
      </c>
      <c r="P14" s="106">
        <v>3</v>
      </c>
      <c r="Q14" s="106">
        <v>1465.1999999999998</v>
      </c>
      <c r="R14" s="106">
        <v>2</v>
      </c>
      <c r="S14" s="106">
        <v>976.8</v>
      </c>
      <c r="T14" s="106">
        <v>5</v>
      </c>
      <c r="U14" s="106">
        <v>2442</v>
      </c>
      <c r="V14" s="106">
        <v>6</v>
      </c>
      <c r="W14" s="106">
        <v>2930.3999999999996</v>
      </c>
      <c r="X14" s="106">
        <v>8</v>
      </c>
      <c r="Y14" s="106">
        <v>3907.2</v>
      </c>
      <c r="Z14" s="106">
        <v>5</v>
      </c>
      <c r="AA14" s="106">
        <v>2442</v>
      </c>
      <c r="AB14" s="106">
        <v>25</v>
      </c>
      <c r="AC14" s="106">
        <v>12210</v>
      </c>
      <c r="AD14" s="106">
        <v>32</v>
      </c>
      <c r="AE14" s="106">
        <v>15628.8</v>
      </c>
      <c r="AF14" s="106">
        <v>25</v>
      </c>
      <c r="AG14" s="106">
        <v>12210</v>
      </c>
      <c r="AH14" s="106">
        <v>31</v>
      </c>
      <c r="AI14" s="106">
        <v>15140.4</v>
      </c>
      <c r="AJ14" s="106">
        <v>5</v>
      </c>
      <c r="AK14" s="106">
        <v>2442</v>
      </c>
      <c r="AL14" s="106">
        <v>4</v>
      </c>
      <c r="AM14" s="106">
        <v>1953.6</v>
      </c>
      <c r="AN14" s="106">
        <v>4</v>
      </c>
      <c r="AO14" s="106">
        <v>1953.6</v>
      </c>
      <c r="AP14" s="106">
        <v>4</v>
      </c>
      <c r="AQ14" s="106">
        <v>1953.6</v>
      </c>
      <c r="AR14" s="106">
        <v>9</v>
      </c>
      <c r="AS14" s="106">
        <v>4395.5999999999995</v>
      </c>
      <c r="AT14" s="106">
        <v>12</v>
      </c>
      <c r="AU14" s="106">
        <v>5860.7999999999993</v>
      </c>
      <c r="AV14" s="106">
        <v>12</v>
      </c>
      <c r="AW14" s="106">
        <v>5860.7999999999993</v>
      </c>
      <c r="AX14" s="106">
        <v>11</v>
      </c>
      <c r="AY14" s="106">
        <v>5372.4</v>
      </c>
      <c r="AZ14" s="106">
        <v>5</v>
      </c>
      <c r="BA14" s="106">
        <v>2442</v>
      </c>
      <c r="BB14" s="106">
        <v>4</v>
      </c>
      <c r="BC14" s="106">
        <v>1953.6</v>
      </c>
      <c r="BD14" s="106">
        <v>6</v>
      </c>
      <c r="BE14" s="106">
        <v>2930.3999999999996</v>
      </c>
      <c r="BF14" s="106">
        <v>4</v>
      </c>
      <c r="BG14" s="106">
        <v>1953.6</v>
      </c>
      <c r="BH14" s="106">
        <v>6</v>
      </c>
      <c r="BI14" s="106">
        <v>2930.3999999999996</v>
      </c>
      <c r="BJ14" s="106">
        <v>8</v>
      </c>
      <c r="BK14" s="106">
        <v>3907.2</v>
      </c>
      <c r="BL14" s="106">
        <v>8</v>
      </c>
      <c r="BM14" s="106">
        <v>3907.2</v>
      </c>
      <c r="BN14" s="106">
        <v>7</v>
      </c>
      <c r="BO14" s="106">
        <v>3418.7999999999997</v>
      </c>
      <c r="BP14" s="106">
        <v>40</v>
      </c>
      <c r="BQ14" s="106">
        <v>19536</v>
      </c>
      <c r="BR14" s="106">
        <v>43</v>
      </c>
      <c r="BS14" s="106">
        <v>21001.200000000001</v>
      </c>
      <c r="BT14" s="106">
        <v>40</v>
      </c>
      <c r="BU14" s="106">
        <v>19536</v>
      </c>
      <c r="BV14" s="106">
        <v>41</v>
      </c>
      <c r="BW14" s="106">
        <v>20024.399999999998</v>
      </c>
      <c r="BX14" s="106">
        <v>5</v>
      </c>
      <c r="BY14" s="106">
        <v>2442</v>
      </c>
      <c r="BZ14" s="106">
        <v>3</v>
      </c>
      <c r="CA14" s="106">
        <v>1465.1999999999998</v>
      </c>
      <c r="CB14" s="106">
        <v>3</v>
      </c>
      <c r="CC14" s="106">
        <v>1465.1999999999998</v>
      </c>
      <c r="CD14" s="106">
        <v>5</v>
      </c>
      <c r="CE14" s="106">
        <v>2442</v>
      </c>
      <c r="CF14" s="106">
        <v>34</v>
      </c>
      <c r="CG14" s="106">
        <v>16605.599999999999</v>
      </c>
      <c r="CH14" s="106">
        <v>38</v>
      </c>
      <c r="CI14" s="106">
        <v>18559.2</v>
      </c>
      <c r="CJ14" s="106">
        <v>40</v>
      </c>
      <c r="CK14" s="106">
        <v>19536</v>
      </c>
      <c r="CL14" s="106">
        <v>30</v>
      </c>
      <c r="CM14" s="106">
        <v>14652</v>
      </c>
      <c r="CN14" s="106">
        <v>8</v>
      </c>
      <c r="CO14" s="106">
        <v>3907.2</v>
      </c>
      <c r="CP14" s="106">
        <v>8</v>
      </c>
      <c r="CQ14" s="106">
        <v>3907.2</v>
      </c>
      <c r="CR14" s="106">
        <v>8</v>
      </c>
      <c r="CS14" s="106">
        <v>3907.2</v>
      </c>
      <c r="CT14" s="106">
        <v>10</v>
      </c>
      <c r="CU14" s="106">
        <v>4884</v>
      </c>
    </row>
    <row r="15" spans="1:99" x14ac:dyDescent="0.2">
      <c r="C15" s="105" t="s">
        <v>181</v>
      </c>
      <c r="D15" s="106">
        <v>4</v>
      </c>
      <c r="E15" s="106">
        <v>3052.7999999999997</v>
      </c>
      <c r="F15" s="106">
        <v>4</v>
      </c>
      <c r="G15" s="106">
        <v>3052.7999999999997</v>
      </c>
      <c r="H15" s="106">
        <v>3</v>
      </c>
      <c r="I15" s="106">
        <v>2289.6</v>
      </c>
      <c r="J15" s="106">
        <v>3</v>
      </c>
      <c r="K15" s="106">
        <v>2289.6</v>
      </c>
      <c r="L15" s="106">
        <v>3</v>
      </c>
      <c r="M15" s="106">
        <v>2289.6</v>
      </c>
      <c r="N15" s="106">
        <v>4</v>
      </c>
      <c r="O15" s="106">
        <v>3052.7999999999997</v>
      </c>
      <c r="P15" s="106">
        <v>3</v>
      </c>
      <c r="Q15" s="106">
        <v>2289.6</v>
      </c>
      <c r="R15" s="106">
        <v>2</v>
      </c>
      <c r="S15" s="106">
        <v>1526.3999999999999</v>
      </c>
      <c r="T15" s="106">
        <v>5</v>
      </c>
      <c r="U15" s="106">
        <v>3815.9999999999995</v>
      </c>
      <c r="V15" s="106">
        <v>5</v>
      </c>
      <c r="W15" s="106">
        <v>3815.9999999999995</v>
      </c>
      <c r="X15" s="106">
        <v>7</v>
      </c>
      <c r="Y15" s="106">
        <v>5342.4</v>
      </c>
      <c r="Z15" s="106">
        <v>5</v>
      </c>
      <c r="AA15" s="106">
        <v>3815.9999999999995</v>
      </c>
      <c r="AB15" s="106">
        <v>25</v>
      </c>
      <c r="AC15" s="106">
        <v>19080</v>
      </c>
      <c r="AD15" s="106">
        <v>26</v>
      </c>
      <c r="AE15" s="106">
        <v>19843.199999999997</v>
      </c>
      <c r="AF15" s="106">
        <v>23</v>
      </c>
      <c r="AG15" s="106">
        <v>17553.599999999999</v>
      </c>
      <c r="AH15" s="106">
        <v>31</v>
      </c>
      <c r="AI15" s="106">
        <v>23659.199999999997</v>
      </c>
      <c r="AJ15" s="106">
        <v>5</v>
      </c>
      <c r="AK15" s="106">
        <v>3815.9999999999995</v>
      </c>
      <c r="AL15" s="106">
        <v>4</v>
      </c>
      <c r="AM15" s="106">
        <v>3052.7999999999997</v>
      </c>
      <c r="AN15" s="106">
        <v>3</v>
      </c>
      <c r="AO15" s="106">
        <v>2289.6</v>
      </c>
      <c r="AP15" s="106">
        <v>4</v>
      </c>
      <c r="AQ15" s="106">
        <v>3052.7999999999997</v>
      </c>
      <c r="AR15" s="106">
        <v>8</v>
      </c>
      <c r="AS15" s="106">
        <v>6105.5999999999995</v>
      </c>
      <c r="AT15" s="106">
        <v>12</v>
      </c>
      <c r="AU15" s="106">
        <v>9158.4</v>
      </c>
      <c r="AV15" s="106">
        <v>12</v>
      </c>
      <c r="AW15" s="106">
        <v>9158.4</v>
      </c>
      <c r="AX15" s="106">
        <v>12</v>
      </c>
      <c r="AY15" s="106">
        <v>9158.4</v>
      </c>
      <c r="AZ15" s="106">
        <v>5</v>
      </c>
      <c r="BA15" s="106">
        <v>3815.9999999999995</v>
      </c>
      <c r="BB15" s="106">
        <v>4</v>
      </c>
      <c r="BC15" s="106">
        <v>3052.7999999999997</v>
      </c>
      <c r="BD15" s="106">
        <v>7</v>
      </c>
      <c r="BE15" s="106">
        <v>5342.4</v>
      </c>
      <c r="BF15" s="106">
        <v>4</v>
      </c>
      <c r="BG15" s="106">
        <v>3052.7999999999997</v>
      </c>
      <c r="BH15" s="106">
        <v>7</v>
      </c>
      <c r="BI15" s="106">
        <v>5342.4</v>
      </c>
      <c r="BJ15" s="106">
        <v>6</v>
      </c>
      <c r="BK15" s="106">
        <v>4579.2</v>
      </c>
      <c r="BL15" s="106">
        <v>7</v>
      </c>
      <c r="BM15" s="106">
        <v>5342.4</v>
      </c>
      <c r="BN15" s="106">
        <v>8</v>
      </c>
      <c r="BO15" s="106">
        <v>6105.5999999999995</v>
      </c>
      <c r="BP15" s="106">
        <v>37</v>
      </c>
      <c r="BQ15" s="106">
        <v>28238.399999999998</v>
      </c>
      <c r="BR15" s="106">
        <v>41</v>
      </c>
      <c r="BS15" s="106">
        <v>31291.199999999997</v>
      </c>
      <c r="BT15" s="106">
        <v>34</v>
      </c>
      <c r="BU15" s="106">
        <v>25948.799999999999</v>
      </c>
      <c r="BV15" s="106">
        <v>39</v>
      </c>
      <c r="BW15" s="106">
        <v>29764.799999999996</v>
      </c>
      <c r="BX15" s="106">
        <v>5</v>
      </c>
      <c r="BY15" s="106">
        <v>3815.9999999999995</v>
      </c>
      <c r="BZ15" s="106">
        <v>3</v>
      </c>
      <c r="CA15" s="106">
        <v>2289.6</v>
      </c>
      <c r="CB15" s="106">
        <v>3</v>
      </c>
      <c r="CC15" s="106">
        <v>2289.6</v>
      </c>
      <c r="CD15" s="106">
        <v>5</v>
      </c>
      <c r="CE15" s="106">
        <v>3815.9999999999995</v>
      </c>
      <c r="CF15" s="106">
        <v>29</v>
      </c>
      <c r="CG15" s="106">
        <v>22132.799999999999</v>
      </c>
      <c r="CH15" s="106">
        <v>36</v>
      </c>
      <c r="CI15" s="106">
        <v>27475.199999999997</v>
      </c>
      <c r="CJ15" s="106">
        <v>40</v>
      </c>
      <c r="CK15" s="106">
        <v>30527.999999999996</v>
      </c>
      <c r="CL15" s="106">
        <v>31</v>
      </c>
      <c r="CM15" s="106">
        <v>23659.199999999997</v>
      </c>
      <c r="CN15" s="106">
        <v>8</v>
      </c>
      <c r="CO15" s="106">
        <v>6105.5999999999995</v>
      </c>
      <c r="CP15" s="106">
        <v>7</v>
      </c>
      <c r="CQ15" s="106">
        <v>5342.4</v>
      </c>
      <c r="CR15" s="106">
        <v>8</v>
      </c>
      <c r="CS15" s="106">
        <v>6105.5999999999995</v>
      </c>
      <c r="CT15" s="106">
        <v>10</v>
      </c>
      <c r="CU15" s="106">
        <v>7631.9999999999991</v>
      </c>
    </row>
    <row r="16" spans="1:99" x14ac:dyDescent="0.2">
      <c r="C16" s="105" t="s">
        <v>182</v>
      </c>
      <c r="D16" s="106">
        <v>4</v>
      </c>
      <c r="E16" s="106">
        <v>1363.2</v>
      </c>
      <c r="F16" s="106">
        <v>3</v>
      </c>
      <c r="G16" s="106">
        <v>1022.4000000000001</v>
      </c>
      <c r="H16" s="106">
        <v>3</v>
      </c>
      <c r="I16" s="106">
        <v>1022.4000000000001</v>
      </c>
      <c r="J16" s="106">
        <v>3</v>
      </c>
      <c r="K16" s="106">
        <v>1022.4000000000001</v>
      </c>
      <c r="L16" s="106">
        <v>3</v>
      </c>
      <c r="M16" s="106">
        <v>1022.4000000000001</v>
      </c>
      <c r="N16" s="106">
        <v>4</v>
      </c>
      <c r="O16" s="106">
        <v>1363.2</v>
      </c>
      <c r="P16" s="106">
        <v>2</v>
      </c>
      <c r="Q16" s="106">
        <v>681.6</v>
      </c>
      <c r="R16" s="106">
        <v>3</v>
      </c>
      <c r="S16" s="106">
        <v>1022.4000000000001</v>
      </c>
      <c r="T16" s="106">
        <v>5</v>
      </c>
      <c r="U16" s="106">
        <v>1704</v>
      </c>
      <c r="V16" s="106">
        <v>5</v>
      </c>
      <c r="W16" s="106">
        <v>1704</v>
      </c>
      <c r="X16" s="106">
        <v>7</v>
      </c>
      <c r="Y16" s="106">
        <v>2385.6</v>
      </c>
      <c r="Z16" s="106">
        <v>5</v>
      </c>
      <c r="AA16" s="106">
        <v>1704</v>
      </c>
      <c r="AB16" s="106">
        <v>28</v>
      </c>
      <c r="AC16" s="106">
        <v>9542.4</v>
      </c>
      <c r="AD16" s="106">
        <v>31</v>
      </c>
      <c r="AE16" s="106">
        <v>10564.800000000001</v>
      </c>
      <c r="AF16" s="106">
        <v>22</v>
      </c>
      <c r="AG16" s="106">
        <v>7497.6</v>
      </c>
      <c r="AH16" s="106">
        <v>33</v>
      </c>
      <c r="AI16" s="106">
        <v>11246.4</v>
      </c>
      <c r="AJ16" s="106">
        <v>5</v>
      </c>
      <c r="AK16" s="106">
        <v>1704</v>
      </c>
      <c r="AL16" s="106">
        <v>4</v>
      </c>
      <c r="AM16" s="106">
        <v>1363.2</v>
      </c>
      <c r="AN16" s="106">
        <v>4</v>
      </c>
      <c r="AO16" s="106">
        <v>1363.2</v>
      </c>
      <c r="AP16" s="106">
        <v>4</v>
      </c>
      <c r="AQ16" s="106">
        <v>1363.2</v>
      </c>
      <c r="AR16" s="106">
        <v>9</v>
      </c>
      <c r="AS16" s="106">
        <v>3067.2000000000003</v>
      </c>
      <c r="AT16" s="106">
        <v>13</v>
      </c>
      <c r="AU16" s="106">
        <v>4430.4000000000005</v>
      </c>
      <c r="AV16" s="106">
        <v>13</v>
      </c>
      <c r="AW16" s="106">
        <v>4430.4000000000005</v>
      </c>
      <c r="AX16" s="106">
        <v>12</v>
      </c>
      <c r="AY16" s="106">
        <v>4089.6000000000004</v>
      </c>
      <c r="AZ16" s="106">
        <v>5</v>
      </c>
      <c r="BA16" s="106">
        <v>1704</v>
      </c>
      <c r="BB16" s="106">
        <v>4</v>
      </c>
      <c r="BC16" s="106">
        <v>1363.2</v>
      </c>
      <c r="BD16" s="106">
        <v>7</v>
      </c>
      <c r="BE16" s="106">
        <v>2385.6</v>
      </c>
      <c r="BF16" s="106">
        <v>4</v>
      </c>
      <c r="BG16" s="106">
        <v>1363.2</v>
      </c>
      <c r="BH16" s="106">
        <v>6</v>
      </c>
      <c r="BI16" s="106">
        <v>2044.8000000000002</v>
      </c>
      <c r="BJ16" s="106">
        <v>8</v>
      </c>
      <c r="BK16" s="106">
        <v>2726.4</v>
      </c>
      <c r="BL16" s="106">
        <v>7</v>
      </c>
      <c r="BM16" s="106">
        <v>2385.6</v>
      </c>
      <c r="BN16" s="106">
        <v>8</v>
      </c>
      <c r="BO16" s="106">
        <v>2726.4</v>
      </c>
      <c r="BP16" s="106">
        <v>41</v>
      </c>
      <c r="BQ16" s="106">
        <v>13972.800000000001</v>
      </c>
      <c r="BR16" s="106">
        <v>43</v>
      </c>
      <c r="BS16" s="106">
        <v>14654.4</v>
      </c>
      <c r="BT16" s="106">
        <v>44</v>
      </c>
      <c r="BU16" s="106">
        <v>14995.2</v>
      </c>
      <c r="BV16" s="106">
        <v>42</v>
      </c>
      <c r="BW16" s="106">
        <v>14313.6</v>
      </c>
      <c r="BX16" s="106">
        <v>4</v>
      </c>
      <c r="BY16" s="106">
        <v>1363.2</v>
      </c>
      <c r="BZ16" s="106">
        <v>3</v>
      </c>
      <c r="CA16" s="106">
        <v>1022.4000000000001</v>
      </c>
      <c r="CB16" s="106">
        <v>3</v>
      </c>
      <c r="CC16" s="106">
        <v>1022.4000000000001</v>
      </c>
      <c r="CD16" s="106">
        <v>5</v>
      </c>
      <c r="CE16" s="106">
        <v>1704</v>
      </c>
      <c r="CF16" s="106">
        <v>35</v>
      </c>
      <c r="CG16" s="106">
        <v>11928</v>
      </c>
      <c r="CH16" s="106">
        <v>39</v>
      </c>
      <c r="CI16" s="106">
        <v>13291.2</v>
      </c>
      <c r="CJ16" s="106">
        <v>42</v>
      </c>
      <c r="CK16" s="106">
        <v>14313.6</v>
      </c>
      <c r="CL16" s="106">
        <v>31</v>
      </c>
      <c r="CM16" s="106">
        <v>10564.800000000001</v>
      </c>
      <c r="CN16" s="106">
        <v>8</v>
      </c>
      <c r="CO16" s="106">
        <v>2726.4</v>
      </c>
      <c r="CP16" s="106">
        <v>9</v>
      </c>
      <c r="CQ16" s="106">
        <v>3067.2000000000003</v>
      </c>
      <c r="CR16" s="106">
        <v>8</v>
      </c>
      <c r="CS16" s="106">
        <v>2726.4</v>
      </c>
      <c r="CT16" s="106">
        <v>10</v>
      </c>
      <c r="CU16" s="106">
        <v>3408</v>
      </c>
    </row>
    <row r="17" spans="2:99" x14ac:dyDescent="0.2">
      <c r="C17" s="105" t="s">
        <v>183</v>
      </c>
      <c r="D17" s="106">
        <v>4</v>
      </c>
      <c r="E17" s="106">
        <v>1689.6</v>
      </c>
      <c r="F17" s="106">
        <v>4</v>
      </c>
      <c r="G17" s="106">
        <v>1689.6</v>
      </c>
      <c r="H17" s="106">
        <v>3</v>
      </c>
      <c r="I17" s="106">
        <v>1267.1999999999998</v>
      </c>
      <c r="J17" s="106">
        <v>3</v>
      </c>
      <c r="K17" s="106">
        <v>1267.1999999999998</v>
      </c>
      <c r="L17" s="106">
        <v>3</v>
      </c>
      <c r="M17" s="106">
        <v>1267.1999999999998</v>
      </c>
      <c r="N17" s="106">
        <v>4</v>
      </c>
      <c r="O17" s="106">
        <v>1689.6</v>
      </c>
      <c r="P17" s="106">
        <v>2</v>
      </c>
      <c r="Q17" s="106">
        <v>844.8</v>
      </c>
      <c r="R17" s="106">
        <v>3</v>
      </c>
      <c r="S17" s="106">
        <v>1267.1999999999998</v>
      </c>
      <c r="T17" s="106">
        <v>5</v>
      </c>
      <c r="U17" s="106">
        <v>2112</v>
      </c>
      <c r="V17" s="106">
        <v>5</v>
      </c>
      <c r="W17" s="106">
        <v>2112</v>
      </c>
      <c r="X17" s="106">
        <v>7</v>
      </c>
      <c r="Y17" s="106">
        <v>2956.7999999999997</v>
      </c>
      <c r="Z17" s="106">
        <v>5</v>
      </c>
      <c r="AA17" s="106">
        <v>2112</v>
      </c>
      <c r="AB17" s="106">
        <v>27</v>
      </c>
      <c r="AC17" s="106">
        <v>11404.8</v>
      </c>
      <c r="AD17" s="106">
        <v>32</v>
      </c>
      <c r="AE17" s="106">
        <v>13516.8</v>
      </c>
      <c r="AF17" s="106">
        <v>22</v>
      </c>
      <c r="AG17" s="106">
        <v>9292.7999999999993</v>
      </c>
      <c r="AH17" s="106">
        <v>31</v>
      </c>
      <c r="AI17" s="106">
        <v>13094.4</v>
      </c>
      <c r="AJ17" s="106">
        <v>4</v>
      </c>
      <c r="AK17" s="106">
        <v>1689.6</v>
      </c>
      <c r="AL17" s="106">
        <v>4</v>
      </c>
      <c r="AM17" s="106">
        <v>1689.6</v>
      </c>
      <c r="AN17" s="106">
        <v>4</v>
      </c>
      <c r="AO17" s="106">
        <v>1689.6</v>
      </c>
      <c r="AP17" s="106">
        <v>4</v>
      </c>
      <c r="AQ17" s="106">
        <v>1689.6</v>
      </c>
      <c r="AR17" s="106">
        <v>9</v>
      </c>
      <c r="AS17" s="106">
        <v>3801.6</v>
      </c>
      <c r="AT17" s="106">
        <v>14</v>
      </c>
      <c r="AU17" s="106">
        <v>5913.5999999999995</v>
      </c>
      <c r="AV17" s="106">
        <v>12</v>
      </c>
      <c r="AW17" s="106">
        <v>5068.7999999999993</v>
      </c>
      <c r="AX17" s="106">
        <v>12</v>
      </c>
      <c r="AY17" s="106">
        <v>5068.7999999999993</v>
      </c>
      <c r="AZ17" s="106">
        <v>5</v>
      </c>
      <c r="BA17" s="106">
        <v>2112</v>
      </c>
      <c r="BB17" s="106">
        <v>4</v>
      </c>
      <c r="BC17" s="106">
        <v>1689.6</v>
      </c>
      <c r="BD17" s="106">
        <v>6</v>
      </c>
      <c r="BE17" s="106">
        <v>2534.3999999999996</v>
      </c>
      <c r="BF17" s="106">
        <v>4</v>
      </c>
      <c r="BG17" s="106">
        <v>1689.6</v>
      </c>
      <c r="BH17" s="106">
        <v>7</v>
      </c>
      <c r="BI17" s="106">
        <v>2956.7999999999997</v>
      </c>
      <c r="BJ17" s="106">
        <v>7</v>
      </c>
      <c r="BK17" s="106">
        <v>2956.7999999999997</v>
      </c>
      <c r="BL17" s="106">
        <v>7</v>
      </c>
      <c r="BM17" s="106">
        <v>2956.7999999999997</v>
      </c>
      <c r="BN17" s="106">
        <v>8</v>
      </c>
      <c r="BO17" s="106">
        <v>3379.2</v>
      </c>
      <c r="BP17" s="106">
        <v>37</v>
      </c>
      <c r="BQ17" s="106">
        <v>15628.8</v>
      </c>
      <c r="BR17" s="106">
        <v>42</v>
      </c>
      <c r="BS17" s="106">
        <v>17740.8</v>
      </c>
      <c r="BT17" s="106">
        <v>39</v>
      </c>
      <c r="BU17" s="106">
        <v>16473.599999999999</v>
      </c>
      <c r="BV17" s="106">
        <v>41</v>
      </c>
      <c r="BW17" s="106">
        <v>17318.399999999998</v>
      </c>
      <c r="BX17" s="106">
        <v>4</v>
      </c>
      <c r="BY17" s="106">
        <v>1689.6</v>
      </c>
      <c r="BZ17" s="106">
        <v>3</v>
      </c>
      <c r="CA17" s="106">
        <v>1267.1999999999998</v>
      </c>
      <c r="CB17" s="106">
        <v>4</v>
      </c>
      <c r="CC17" s="106">
        <v>1689.6</v>
      </c>
      <c r="CD17" s="106">
        <v>5</v>
      </c>
      <c r="CE17" s="106">
        <v>2112</v>
      </c>
      <c r="CF17" s="106">
        <v>32</v>
      </c>
      <c r="CG17" s="106">
        <v>13516.8</v>
      </c>
      <c r="CH17" s="106">
        <v>39</v>
      </c>
      <c r="CI17" s="106">
        <v>16473.599999999999</v>
      </c>
      <c r="CJ17" s="106">
        <v>36</v>
      </c>
      <c r="CK17" s="106">
        <v>15206.4</v>
      </c>
      <c r="CL17" s="106">
        <v>29</v>
      </c>
      <c r="CM17" s="106">
        <v>12249.599999999999</v>
      </c>
      <c r="CN17" s="106">
        <v>8</v>
      </c>
      <c r="CO17" s="106">
        <v>3379.2</v>
      </c>
      <c r="CP17" s="106">
        <v>8</v>
      </c>
      <c r="CQ17" s="106">
        <v>3379.2</v>
      </c>
      <c r="CR17" s="106">
        <v>8</v>
      </c>
      <c r="CS17" s="106">
        <v>3379.2</v>
      </c>
      <c r="CT17" s="106">
        <v>10</v>
      </c>
      <c r="CU17" s="106">
        <v>4224</v>
      </c>
    </row>
    <row r="18" spans="2:99" x14ac:dyDescent="0.2">
      <c r="C18" s="105" t="s">
        <v>184</v>
      </c>
      <c r="D18" s="106">
        <v>3</v>
      </c>
      <c r="E18" s="106">
        <v>1958.3999999999999</v>
      </c>
      <c r="F18" s="106">
        <v>4</v>
      </c>
      <c r="G18" s="106">
        <v>2611.1999999999998</v>
      </c>
      <c r="H18" s="106">
        <v>3</v>
      </c>
      <c r="I18" s="106">
        <v>1958.3999999999999</v>
      </c>
      <c r="J18" s="106">
        <v>3</v>
      </c>
      <c r="K18" s="106">
        <v>1958.3999999999999</v>
      </c>
      <c r="L18" s="106">
        <v>3</v>
      </c>
      <c r="M18" s="106">
        <v>1958.3999999999999</v>
      </c>
      <c r="N18" s="106">
        <v>4</v>
      </c>
      <c r="O18" s="106">
        <v>2611.1999999999998</v>
      </c>
      <c r="P18" s="106">
        <v>2</v>
      </c>
      <c r="Q18" s="106">
        <v>1305.5999999999999</v>
      </c>
      <c r="R18" s="106">
        <v>3</v>
      </c>
      <c r="S18" s="106">
        <v>1958.3999999999999</v>
      </c>
      <c r="T18" s="106">
        <v>5</v>
      </c>
      <c r="U18" s="106">
        <v>3264</v>
      </c>
      <c r="V18" s="106">
        <v>5</v>
      </c>
      <c r="W18" s="106">
        <v>3264</v>
      </c>
      <c r="X18" s="106">
        <v>8</v>
      </c>
      <c r="Y18" s="106">
        <v>5222.3999999999996</v>
      </c>
      <c r="Z18" s="106">
        <v>5</v>
      </c>
      <c r="AA18" s="106">
        <v>3264</v>
      </c>
      <c r="AB18" s="106">
        <v>27</v>
      </c>
      <c r="AC18" s="106">
        <v>17625.599999999999</v>
      </c>
      <c r="AD18" s="106">
        <v>26</v>
      </c>
      <c r="AE18" s="106">
        <v>16972.8</v>
      </c>
      <c r="AF18" s="106">
        <v>23</v>
      </c>
      <c r="AG18" s="106">
        <v>15014.4</v>
      </c>
      <c r="AH18" s="106">
        <v>31</v>
      </c>
      <c r="AI18" s="106">
        <v>20236.8</v>
      </c>
      <c r="AJ18" s="106">
        <v>4</v>
      </c>
      <c r="AK18" s="106">
        <v>2611.1999999999998</v>
      </c>
      <c r="AL18" s="106">
        <v>4</v>
      </c>
      <c r="AM18" s="106">
        <v>2611.1999999999998</v>
      </c>
      <c r="AN18" s="106">
        <v>4</v>
      </c>
      <c r="AO18" s="106">
        <v>2611.1999999999998</v>
      </c>
      <c r="AP18" s="106">
        <v>4</v>
      </c>
      <c r="AQ18" s="106">
        <v>2611.1999999999998</v>
      </c>
      <c r="AR18" s="106">
        <v>9</v>
      </c>
      <c r="AS18" s="106">
        <v>5875.2</v>
      </c>
      <c r="AT18" s="106">
        <v>13</v>
      </c>
      <c r="AU18" s="106">
        <v>8486.4</v>
      </c>
      <c r="AV18" s="106">
        <v>13</v>
      </c>
      <c r="AW18" s="106">
        <v>8486.4</v>
      </c>
      <c r="AX18" s="106">
        <v>12</v>
      </c>
      <c r="AY18" s="106">
        <v>7833.5999999999995</v>
      </c>
      <c r="AZ18" s="106">
        <v>5</v>
      </c>
      <c r="BA18" s="106">
        <v>3264</v>
      </c>
      <c r="BB18" s="106">
        <v>4</v>
      </c>
      <c r="BC18" s="106">
        <v>2611.1999999999998</v>
      </c>
      <c r="BD18" s="106">
        <v>6</v>
      </c>
      <c r="BE18" s="106">
        <v>3916.7999999999997</v>
      </c>
      <c r="BF18" s="106">
        <v>4</v>
      </c>
      <c r="BG18" s="106">
        <v>2611.1999999999998</v>
      </c>
      <c r="BH18" s="106">
        <v>6</v>
      </c>
      <c r="BI18" s="106">
        <v>3916.7999999999997</v>
      </c>
      <c r="BJ18" s="106">
        <v>7</v>
      </c>
      <c r="BK18" s="106">
        <v>4569.5999999999995</v>
      </c>
      <c r="BL18" s="106">
        <v>6</v>
      </c>
      <c r="BM18" s="106">
        <v>3916.7999999999997</v>
      </c>
      <c r="BN18" s="106">
        <v>7</v>
      </c>
      <c r="BO18" s="106">
        <v>4569.5999999999995</v>
      </c>
      <c r="BP18" s="106">
        <v>40</v>
      </c>
      <c r="BQ18" s="106">
        <v>26112</v>
      </c>
      <c r="BR18" s="106">
        <v>44</v>
      </c>
      <c r="BS18" s="106">
        <v>28723.199999999997</v>
      </c>
      <c r="BT18" s="106">
        <v>36</v>
      </c>
      <c r="BU18" s="106">
        <v>23500.799999999999</v>
      </c>
      <c r="BV18" s="106">
        <v>36</v>
      </c>
      <c r="BW18" s="106">
        <v>23500.799999999999</v>
      </c>
      <c r="BX18" s="106">
        <v>4</v>
      </c>
      <c r="BY18" s="106">
        <v>2611.1999999999998</v>
      </c>
      <c r="BZ18" s="106">
        <v>3</v>
      </c>
      <c r="CA18" s="106">
        <v>1958.3999999999999</v>
      </c>
      <c r="CB18" s="106">
        <v>4</v>
      </c>
      <c r="CC18" s="106">
        <v>2611.1999999999998</v>
      </c>
      <c r="CD18" s="106">
        <v>5</v>
      </c>
      <c r="CE18" s="106">
        <v>3264</v>
      </c>
      <c r="CF18" s="106">
        <v>29</v>
      </c>
      <c r="CG18" s="106">
        <v>18931.199999999997</v>
      </c>
      <c r="CH18" s="106">
        <v>40</v>
      </c>
      <c r="CI18" s="106">
        <v>26112</v>
      </c>
      <c r="CJ18" s="106">
        <v>38</v>
      </c>
      <c r="CK18" s="106">
        <v>24806.399999999998</v>
      </c>
      <c r="CL18" s="106">
        <v>31</v>
      </c>
      <c r="CM18" s="106">
        <v>20236.8</v>
      </c>
      <c r="CN18" s="106">
        <v>8</v>
      </c>
      <c r="CO18" s="106">
        <v>5222.3999999999996</v>
      </c>
      <c r="CP18" s="106">
        <v>8</v>
      </c>
      <c r="CQ18" s="106">
        <v>5222.3999999999996</v>
      </c>
      <c r="CR18" s="106">
        <v>8</v>
      </c>
      <c r="CS18" s="106">
        <v>5222.3999999999996</v>
      </c>
      <c r="CT18" s="106">
        <v>10</v>
      </c>
      <c r="CU18" s="106">
        <v>6528</v>
      </c>
    </row>
    <row r="19" spans="2:99" x14ac:dyDescent="0.2">
      <c r="C19" s="105" t="s">
        <v>185</v>
      </c>
      <c r="D19" s="106">
        <v>4</v>
      </c>
      <c r="E19" s="106">
        <v>1320</v>
      </c>
      <c r="F19" s="106">
        <v>3</v>
      </c>
      <c r="G19" s="106">
        <v>990</v>
      </c>
      <c r="H19" s="106">
        <v>3</v>
      </c>
      <c r="I19" s="106">
        <v>990</v>
      </c>
      <c r="J19" s="106">
        <v>3</v>
      </c>
      <c r="K19" s="106">
        <v>990</v>
      </c>
      <c r="L19" s="106">
        <v>3</v>
      </c>
      <c r="M19" s="106">
        <v>990</v>
      </c>
      <c r="N19" s="106">
        <v>4</v>
      </c>
      <c r="O19" s="106">
        <v>1320</v>
      </c>
      <c r="P19" s="106">
        <v>3</v>
      </c>
      <c r="Q19" s="106">
        <v>990</v>
      </c>
      <c r="R19" s="106">
        <v>2</v>
      </c>
      <c r="S19" s="106">
        <v>660</v>
      </c>
      <c r="T19" s="106">
        <v>5</v>
      </c>
      <c r="U19" s="106">
        <v>1650</v>
      </c>
      <c r="V19" s="106">
        <v>5</v>
      </c>
      <c r="W19" s="106">
        <v>1650</v>
      </c>
      <c r="X19" s="106">
        <v>8</v>
      </c>
      <c r="Y19" s="106">
        <v>2640</v>
      </c>
      <c r="Z19" s="106">
        <v>6</v>
      </c>
      <c r="AA19" s="106">
        <v>1980</v>
      </c>
      <c r="AB19" s="106">
        <v>28</v>
      </c>
      <c r="AC19" s="106">
        <v>9240</v>
      </c>
      <c r="AD19" s="106">
        <v>28</v>
      </c>
      <c r="AE19" s="106">
        <v>9240</v>
      </c>
      <c r="AF19" s="106">
        <v>23</v>
      </c>
      <c r="AG19" s="106">
        <v>7590</v>
      </c>
      <c r="AH19" s="106">
        <v>30</v>
      </c>
      <c r="AI19" s="106">
        <v>9900</v>
      </c>
      <c r="AJ19" s="106">
        <v>5</v>
      </c>
      <c r="AK19" s="106">
        <v>1650</v>
      </c>
      <c r="AL19" s="106">
        <v>4</v>
      </c>
      <c r="AM19" s="106">
        <v>1320</v>
      </c>
      <c r="AN19" s="106">
        <v>3</v>
      </c>
      <c r="AO19" s="106">
        <v>990</v>
      </c>
      <c r="AP19" s="106">
        <v>4</v>
      </c>
      <c r="AQ19" s="106">
        <v>1320</v>
      </c>
      <c r="AR19" s="106">
        <v>8</v>
      </c>
      <c r="AS19" s="106">
        <v>2640</v>
      </c>
      <c r="AT19" s="106">
        <v>13</v>
      </c>
      <c r="AU19" s="106">
        <v>4290</v>
      </c>
      <c r="AV19" s="106">
        <v>14</v>
      </c>
      <c r="AW19" s="106">
        <v>4620</v>
      </c>
      <c r="AX19" s="106">
        <v>12</v>
      </c>
      <c r="AY19" s="106">
        <v>3960</v>
      </c>
      <c r="AZ19" s="106">
        <v>5</v>
      </c>
      <c r="BA19" s="106">
        <v>1650</v>
      </c>
      <c r="BB19" s="106">
        <v>4</v>
      </c>
      <c r="BC19" s="106">
        <v>1320</v>
      </c>
      <c r="BD19" s="106">
        <v>7</v>
      </c>
      <c r="BE19" s="106">
        <v>2310</v>
      </c>
      <c r="BF19" s="106">
        <v>4</v>
      </c>
      <c r="BG19" s="106">
        <v>1320</v>
      </c>
      <c r="BH19" s="106">
        <v>7</v>
      </c>
      <c r="BI19" s="106">
        <v>2310</v>
      </c>
      <c r="BJ19" s="106">
        <v>7</v>
      </c>
      <c r="BK19" s="106">
        <v>2310</v>
      </c>
      <c r="BL19" s="106">
        <v>7</v>
      </c>
      <c r="BM19" s="106">
        <v>2310</v>
      </c>
      <c r="BN19" s="106">
        <v>8</v>
      </c>
      <c r="BO19" s="106">
        <v>2640</v>
      </c>
      <c r="BP19" s="106">
        <v>40</v>
      </c>
      <c r="BQ19" s="106">
        <v>13200</v>
      </c>
      <c r="BR19" s="106">
        <v>42</v>
      </c>
      <c r="BS19" s="106">
        <v>13860</v>
      </c>
      <c r="BT19" s="106">
        <v>41</v>
      </c>
      <c r="BU19" s="106">
        <v>13530</v>
      </c>
      <c r="BV19" s="106">
        <v>38</v>
      </c>
      <c r="BW19" s="106">
        <v>12540</v>
      </c>
      <c r="BX19" s="106">
        <v>5</v>
      </c>
      <c r="BY19" s="106">
        <v>1650</v>
      </c>
      <c r="BZ19" s="106">
        <v>3</v>
      </c>
      <c r="CA19" s="106">
        <v>990</v>
      </c>
      <c r="CB19" s="106">
        <v>4</v>
      </c>
      <c r="CC19" s="106">
        <v>1320</v>
      </c>
      <c r="CD19" s="106">
        <v>5</v>
      </c>
      <c r="CE19" s="106">
        <v>1650</v>
      </c>
      <c r="CF19" s="106">
        <v>33</v>
      </c>
      <c r="CG19" s="106">
        <v>10890</v>
      </c>
      <c r="CH19" s="106">
        <v>38</v>
      </c>
      <c r="CI19" s="106">
        <v>12540</v>
      </c>
      <c r="CJ19" s="106">
        <v>44</v>
      </c>
      <c r="CK19" s="106">
        <v>14520</v>
      </c>
      <c r="CL19" s="106">
        <v>32</v>
      </c>
      <c r="CM19" s="106">
        <v>10560</v>
      </c>
      <c r="CN19" s="106">
        <v>8</v>
      </c>
      <c r="CO19" s="106">
        <v>2640</v>
      </c>
      <c r="CP19" s="106">
        <v>8</v>
      </c>
      <c r="CQ19" s="106">
        <v>2640</v>
      </c>
      <c r="CR19" s="106">
        <v>8</v>
      </c>
      <c r="CS19" s="106">
        <v>2640</v>
      </c>
      <c r="CT19" s="106">
        <v>11</v>
      </c>
      <c r="CU19" s="106">
        <v>3630</v>
      </c>
    </row>
    <row r="20" spans="2:99" x14ac:dyDescent="0.2">
      <c r="B20" s="105" t="s">
        <v>127</v>
      </c>
      <c r="C20" s="105" t="s">
        <v>186</v>
      </c>
      <c r="D20" s="106">
        <v>3</v>
      </c>
      <c r="E20" s="106">
        <v>860.40000000000009</v>
      </c>
      <c r="F20" s="106">
        <v>2</v>
      </c>
      <c r="G20" s="106">
        <v>573.6</v>
      </c>
      <c r="H20" s="106">
        <v>2</v>
      </c>
      <c r="I20" s="106">
        <v>573.6</v>
      </c>
      <c r="J20" s="106">
        <v>4</v>
      </c>
      <c r="K20" s="106">
        <v>1147.2</v>
      </c>
      <c r="L20" s="106">
        <v>14</v>
      </c>
      <c r="M20" s="106">
        <v>4015.2000000000003</v>
      </c>
      <c r="N20" s="106">
        <v>18</v>
      </c>
      <c r="O20" s="106">
        <v>5162.4000000000005</v>
      </c>
      <c r="P20" s="106">
        <v>15</v>
      </c>
      <c r="Q20" s="106">
        <v>4302</v>
      </c>
      <c r="R20" s="106">
        <v>24</v>
      </c>
      <c r="S20" s="106">
        <v>6883.2000000000007</v>
      </c>
      <c r="T20" s="106">
        <v>3</v>
      </c>
      <c r="U20" s="106">
        <v>860.40000000000009</v>
      </c>
      <c r="V20" s="106">
        <v>3</v>
      </c>
      <c r="W20" s="106">
        <v>860.40000000000009</v>
      </c>
      <c r="X20" s="106">
        <v>4</v>
      </c>
      <c r="Y20" s="106">
        <v>1147.2</v>
      </c>
      <c r="Z20" s="106">
        <v>5</v>
      </c>
      <c r="AA20" s="106">
        <v>1434</v>
      </c>
      <c r="AB20" s="106">
        <v>4</v>
      </c>
      <c r="AC20" s="106">
        <v>1147.2</v>
      </c>
      <c r="AD20" s="106">
        <v>3</v>
      </c>
      <c r="AE20" s="106">
        <v>860.40000000000009</v>
      </c>
      <c r="AF20" s="106">
        <v>3</v>
      </c>
      <c r="AG20" s="106">
        <v>860.40000000000009</v>
      </c>
      <c r="AH20" s="106">
        <v>3</v>
      </c>
      <c r="AI20" s="106">
        <v>860.40000000000009</v>
      </c>
      <c r="AJ20" s="106">
        <v>10</v>
      </c>
      <c r="AK20" s="106">
        <v>2868</v>
      </c>
      <c r="AL20" s="106">
        <v>7</v>
      </c>
      <c r="AM20" s="106">
        <v>2007.6000000000001</v>
      </c>
      <c r="AN20" s="106">
        <v>10</v>
      </c>
      <c r="AO20" s="106">
        <v>2868</v>
      </c>
      <c r="AP20" s="106">
        <v>11</v>
      </c>
      <c r="AQ20" s="106">
        <v>3154.8</v>
      </c>
      <c r="AR20" s="106">
        <v>36</v>
      </c>
      <c r="AS20" s="106">
        <v>10324.800000000001</v>
      </c>
      <c r="AT20" s="106">
        <v>37</v>
      </c>
      <c r="AU20" s="106">
        <v>10611.6</v>
      </c>
      <c r="AV20" s="106">
        <v>28</v>
      </c>
      <c r="AW20" s="106">
        <v>8030.4000000000005</v>
      </c>
      <c r="AX20" s="106">
        <v>24</v>
      </c>
      <c r="AY20" s="106">
        <v>6883.2000000000007</v>
      </c>
      <c r="AZ20" s="106">
        <v>3</v>
      </c>
      <c r="BA20" s="106">
        <v>860.40000000000009</v>
      </c>
      <c r="BB20" s="106">
        <v>2</v>
      </c>
      <c r="BC20" s="106">
        <v>573.6</v>
      </c>
      <c r="BD20" s="106">
        <v>4</v>
      </c>
      <c r="BE20" s="106">
        <v>1147.2</v>
      </c>
      <c r="BF20" s="106">
        <v>3</v>
      </c>
      <c r="BG20" s="106">
        <v>860.40000000000009</v>
      </c>
      <c r="BH20" s="106">
        <v>15</v>
      </c>
      <c r="BI20" s="106">
        <v>4302</v>
      </c>
      <c r="BJ20" s="106">
        <v>14</v>
      </c>
      <c r="BK20" s="106">
        <v>4015.2000000000003</v>
      </c>
      <c r="BL20" s="106">
        <v>16</v>
      </c>
      <c r="BM20" s="106">
        <v>4588.8</v>
      </c>
      <c r="BN20" s="106">
        <v>10</v>
      </c>
      <c r="BO20" s="106">
        <v>2868</v>
      </c>
      <c r="BP20" s="106">
        <v>4</v>
      </c>
      <c r="BQ20" s="106">
        <v>1147.2</v>
      </c>
      <c r="BR20" s="106">
        <v>4</v>
      </c>
      <c r="BS20" s="106">
        <v>1147.2</v>
      </c>
      <c r="BT20" s="106">
        <v>3</v>
      </c>
      <c r="BU20" s="106">
        <v>860.40000000000009</v>
      </c>
      <c r="BV20" s="106">
        <v>2</v>
      </c>
      <c r="BW20" s="106">
        <v>573.6</v>
      </c>
      <c r="BX20" s="106">
        <v>26</v>
      </c>
      <c r="BY20" s="106">
        <v>7456.8</v>
      </c>
      <c r="BZ20" s="106">
        <v>18</v>
      </c>
      <c r="CA20" s="106">
        <v>5162.4000000000005</v>
      </c>
      <c r="CB20" s="106">
        <v>16</v>
      </c>
      <c r="CC20" s="106">
        <v>4588.8</v>
      </c>
      <c r="CD20" s="106">
        <v>25</v>
      </c>
      <c r="CE20" s="106">
        <v>7170</v>
      </c>
      <c r="CF20" s="106">
        <v>26</v>
      </c>
      <c r="CG20" s="106">
        <v>7456.8</v>
      </c>
      <c r="CH20" s="106">
        <v>28</v>
      </c>
      <c r="CI20" s="106">
        <v>8030.4000000000005</v>
      </c>
      <c r="CJ20" s="106">
        <v>34</v>
      </c>
      <c r="CK20" s="106">
        <v>9751.2000000000007</v>
      </c>
      <c r="CL20" s="106">
        <v>23</v>
      </c>
      <c r="CM20" s="106">
        <v>6596.4000000000005</v>
      </c>
      <c r="CN20" s="106">
        <v>19</v>
      </c>
      <c r="CO20" s="106">
        <v>5449.2</v>
      </c>
      <c r="CP20" s="106">
        <v>22</v>
      </c>
      <c r="CQ20" s="106">
        <v>6309.6</v>
      </c>
      <c r="CR20" s="106">
        <v>24</v>
      </c>
      <c r="CS20" s="106">
        <v>6883.2000000000007</v>
      </c>
      <c r="CT20" s="106">
        <v>26</v>
      </c>
      <c r="CU20" s="106">
        <v>7456.8</v>
      </c>
    </row>
    <row r="21" spans="2:99" x14ac:dyDescent="0.2">
      <c r="C21" s="105" t="s">
        <v>187</v>
      </c>
      <c r="D21" s="106">
        <v>3</v>
      </c>
      <c r="E21" s="106">
        <v>187.2</v>
      </c>
      <c r="F21" s="106">
        <v>2</v>
      </c>
      <c r="G21" s="106">
        <v>124.8</v>
      </c>
      <c r="H21" s="106">
        <v>2</v>
      </c>
      <c r="I21" s="106">
        <v>124.8</v>
      </c>
      <c r="J21" s="106">
        <v>4</v>
      </c>
      <c r="K21" s="106">
        <v>249.6</v>
      </c>
      <c r="L21" s="106">
        <v>16</v>
      </c>
      <c r="M21" s="106">
        <v>998.4</v>
      </c>
      <c r="N21" s="106">
        <v>19</v>
      </c>
      <c r="O21" s="106">
        <v>1185.5999999999999</v>
      </c>
      <c r="P21" s="106">
        <v>16</v>
      </c>
      <c r="Q21" s="106">
        <v>998.4</v>
      </c>
      <c r="R21" s="106">
        <v>22</v>
      </c>
      <c r="S21" s="106">
        <v>1372.8</v>
      </c>
      <c r="T21" s="106">
        <v>3</v>
      </c>
      <c r="U21" s="106">
        <v>187.2</v>
      </c>
      <c r="V21" s="106">
        <v>4</v>
      </c>
      <c r="W21" s="106">
        <v>249.6</v>
      </c>
      <c r="X21" s="106">
        <v>4</v>
      </c>
      <c r="Y21" s="106">
        <v>249.6</v>
      </c>
      <c r="Z21" s="106">
        <v>5</v>
      </c>
      <c r="AA21" s="106">
        <v>312</v>
      </c>
      <c r="AB21" s="106">
        <v>4</v>
      </c>
      <c r="AC21" s="106">
        <v>249.6</v>
      </c>
      <c r="AD21" s="106">
        <v>3</v>
      </c>
      <c r="AE21" s="106">
        <v>187.2</v>
      </c>
      <c r="AF21" s="106">
        <v>3</v>
      </c>
      <c r="AG21" s="106">
        <v>187.2</v>
      </c>
      <c r="AH21" s="106">
        <v>3</v>
      </c>
      <c r="AI21" s="106">
        <v>187.2</v>
      </c>
      <c r="AJ21" s="106">
        <v>11</v>
      </c>
      <c r="AK21" s="106">
        <v>686.4</v>
      </c>
      <c r="AL21" s="106">
        <v>7</v>
      </c>
      <c r="AM21" s="106">
        <v>436.8</v>
      </c>
      <c r="AN21" s="106">
        <v>10</v>
      </c>
      <c r="AO21" s="106">
        <v>624</v>
      </c>
      <c r="AP21" s="106">
        <v>13</v>
      </c>
      <c r="AQ21" s="106">
        <v>811.19999999999993</v>
      </c>
      <c r="AR21" s="106">
        <v>31</v>
      </c>
      <c r="AS21" s="106">
        <v>1934.3999999999999</v>
      </c>
      <c r="AT21" s="106">
        <v>36</v>
      </c>
      <c r="AU21" s="106">
        <v>2246.4</v>
      </c>
      <c r="AV21" s="106">
        <v>29</v>
      </c>
      <c r="AW21" s="106">
        <v>1809.6</v>
      </c>
      <c r="AX21" s="106">
        <v>22</v>
      </c>
      <c r="AY21" s="106">
        <v>1372.8</v>
      </c>
      <c r="AZ21" s="106">
        <v>3</v>
      </c>
      <c r="BA21" s="106">
        <v>187.2</v>
      </c>
      <c r="BB21" s="106">
        <v>2</v>
      </c>
      <c r="BC21" s="106">
        <v>124.8</v>
      </c>
      <c r="BD21" s="106">
        <v>4</v>
      </c>
      <c r="BE21" s="106">
        <v>249.6</v>
      </c>
      <c r="BF21" s="106">
        <v>2</v>
      </c>
      <c r="BG21" s="106">
        <v>124.8</v>
      </c>
      <c r="BH21" s="106">
        <v>16</v>
      </c>
      <c r="BI21" s="106">
        <v>998.4</v>
      </c>
      <c r="BJ21" s="106">
        <v>15</v>
      </c>
      <c r="BK21" s="106">
        <v>936</v>
      </c>
      <c r="BL21" s="106">
        <v>17</v>
      </c>
      <c r="BM21" s="106">
        <v>1060.8</v>
      </c>
      <c r="BN21" s="106">
        <v>10</v>
      </c>
      <c r="BO21" s="106">
        <v>624</v>
      </c>
      <c r="BP21" s="106">
        <v>3</v>
      </c>
      <c r="BQ21" s="106">
        <v>187.2</v>
      </c>
      <c r="BR21" s="106">
        <v>3</v>
      </c>
      <c r="BS21" s="106">
        <v>187.2</v>
      </c>
      <c r="BT21" s="106">
        <v>3</v>
      </c>
      <c r="BU21" s="106">
        <v>187.2</v>
      </c>
      <c r="BV21" s="106">
        <v>2</v>
      </c>
      <c r="BW21" s="106">
        <v>124.8</v>
      </c>
      <c r="BX21" s="106">
        <v>26</v>
      </c>
      <c r="BY21" s="106">
        <v>1622.3999999999999</v>
      </c>
      <c r="BZ21" s="106">
        <v>20</v>
      </c>
      <c r="CA21" s="106">
        <v>1248</v>
      </c>
      <c r="CB21" s="106">
        <v>15</v>
      </c>
      <c r="CC21" s="106">
        <v>936</v>
      </c>
      <c r="CD21" s="106">
        <v>23</v>
      </c>
      <c r="CE21" s="106">
        <v>1435.2</v>
      </c>
      <c r="CF21" s="106">
        <v>31</v>
      </c>
      <c r="CG21" s="106">
        <v>1934.3999999999999</v>
      </c>
      <c r="CH21" s="106">
        <v>26</v>
      </c>
      <c r="CI21" s="106">
        <v>1622.3999999999999</v>
      </c>
      <c r="CJ21" s="106">
        <v>32</v>
      </c>
      <c r="CK21" s="106">
        <v>1996.8</v>
      </c>
      <c r="CL21" s="106">
        <v>25</v>
      </c>
      <c r="CM21" s="106">
        <v>1560</v>
      </c>
      <c r="CN21" s="106">
        <v>21</v>
      </c>
      <c r="CO21" s="106">
        <v>1310.3999999999999</v>
      </c>
      <c r="CP21" s="106">
        <v>20</v>
      </c>
      <c r="CQ21" s="106">
        <v>1248</v>
      </c>
      <c r="CR21" s="106">
        <v>25</v>
      </c>
      <c r="CS21" s="106">
        <v>1560</v>
      </c>
      <c r="CT21" s="106">
        <v>23</v>
      </c>
      <c r="CU21" s="106">
        <v>1435.2</v>
      </c>
    </row>
    <row r="22" spans="2:99" x14ac:dyDescent="0.2">
      <c r="C22" s="105" t="s">
        <v>188</v>
      </c>
      <c r="D22" s="106">
        <v>3</v>
      </c>
      <c r="E22" s="106">
        <v>561.59999999999991</v>
      </c>
      <c r="F22" s="106">
        <v>2</v>
      </c>
      <c r="G22" s="106">
        <v>374.4</v>
      </c>
      <c r="H22" s="106">
        <v>2</v>
      </c>
      <c r="I22" s="106">
        <v>374.4</v>
      </c>
      <c r="J22" s="106">
        <v>4</v>
      </c>
      <c r="K22" s="106">
        <v>748.8</v>
      </c>
      <c r="L22" s="106">
        <v>16</v>
      </c>
      <c r="M22" s="106">
        <v>2995.2</v>
      </c>
      <c r="N22" s="106">
        <v>16</v>
      </c>
      <c r="O22" s="106">
        <v>2995.2</v>
      </c>
      <c r="P22" s="106">
        <v>15</v>
      </c>
      <c r="Q22" s="106">
        <v>2808</v>
      </c>
      <c r="R22" s="106">
        <v>23</v>
      </c>
      <c r="S22" s="106">
        <v>4305.5999999999995</v>
      </c>
      <c r="T22" s="106">
        <v>3</v>
      </c>
      <c r="U22" s="106">
        <v>561.59999999999991</v>
      </c>
      <c r="V22" s="106">
        <v>4</v>
      </c>
      <c r="W22" s="106">
        <v>748.8</v>
      </c>
      <c r="X22" s="106">
        <v>4</v>
      </c>
      <c r="Y22" s="106">
        <v>748.8</v>
      </c>
      <c r="Z22" s="106">
        <v>4</v>
      </c>
      <c r="AA22" s="106">
        <v>748.8</v>
      </c>
      <c r="AB22" s="106">
        <v>4</v>
      </c>
      <c r="AC22" s="106">
        <v>748.8</v>
      </c>
      <c r="AD22" s="106">
        <v>3</v>
      </c>
      <c r="AE22" s="106">
        <v>561.59999999999991</v>
      </c>
      <c r="AF22" s="106">
        <v>3</v>
      </c>
      <c r="AG22" s="106">
        <v>561.59999999999991</v>
      </c>
      <c r="AH22" s="106">
        <v>3</v>
      </c>
      <c r="AI22" s="106">
        <v>561.59999999999991</v>
      </c>
      <c r="AJ22" s="106">
        <v>11</v>
      </c>
      <c r="AK22" s="106">
        <v>2059.1999999999998</v>
      </c>
      <c r="AL22" s="106">
        <v>7</v>
      </c>
      <c r="AM22" s="106">
        <v>1310.3999999999999</v>
      </c>
      <c r="AN22" s="106">
        <v>11</v>
      </c>
      <c r="AO22" s="106">
        <v>2059.1999999999998</v>
      </c>
      <c r="AP22" s="106">
        <v>11</v>
      </c>
      <c r="AQ22" s="106">
        <v>2059.1999999999998</v>
      </c>
      <c r="AR22" s="106">
        <v>35</v>
      </c>
      <c r="AS22" s="106">
        <v>6552</v>
      </c>
      <c r="AT22" s="106">
        <v>33</v>
      </c>
      <c r="AU22" s="106">
        <v>6177.5999999999995</v>
      </c>
      <c r="AV22" s="106">
        <v>27</v>
      </c>
      <c r="AW22" s="106">
        <v>5054.3999999999996</v>
      </c>
      <c r="AX22" s="106">
        <v>22</v>
      </c>
      <c r="AY22" s="106">
        <v>4118.3999999999996</v>
      </c>
      <c r="AZ22" s="106">
        <v>3</v>
      </c>
      <c r="BA22" s="106">
        <v>561.59999999999991</v>
      </c>
      <c r="BB22" s="106">
        <v>2</v>
      </c>
      <c r="BC22" s="106">
        <v>374.4</v>
      </c>
      <c r="BD22" s="106">
        <v>4</v>
      </c>
      <c r="BE22" s="106">
        <v>748.8</v>
      </c>
      <c r="BF22" s="106">
        <v>3</v>
      </c>
      <c r="BG22" s="106">
        <v>561.59999999999991</v>
      </c>
      <c r="BH22" s="106">
        <v>16</v>
      </c>
      <c r="BI22" s="106">
        <v>2995.2</v>
      </c>
      <c r="BJ22" s="106">
        <v>14</v>
      </c>
      <c r="BK22" s="106">
        <v>2620.7999999999997</v>
      </c>
      <c r="BL22" s="106">
        <v>15</v>
      </c>
      <c r="BM22" s="106">
        <v>2808</v>
      </c>
      <c r="BN22" s="106">
        <v>10</v>
      </c>
      <c r="BO22" s="106">
        <v>1872</v>
      </c>
      <c r="BP22" s="106">
        <v>4</v>
      </c>
      <c r="BQ22" s="106">
        <v>748.8</v>
      </c>
      <c r="BR22" s="106">
        <v>4</v>
      </c>
      <c r="BS22" s="106">
        <v>748.8</v>
      </c>
      <c r="BT22" s="106">
        <v>3</v>
      </c>
      <c r="BU22" s="106">
        <v>561.59999999999991</v>
      </c>
      <c r="BV22" s="106">
        <v>2</v>
      </c>
      <c r="BW22" s="106">
        <v>374.4</v>
      </c>
      <c r="BX22" s="106">
        <v>24</v>
      </c>
      <c r="BY22" s="106">
        <v>4492.7999999999993</v>
      </c>
      <c r="BZ22" s="106">
        <v>20</v>
      </c>
      <c r="CA22" s="106">
        <v>3744</v>
      </c>
      <c r="CB22" s="106">
        <v>15</v>
      </c>
      <c r="CC22" s="106">
        <v>2808</v>
      </c>
      <c r="CD22" s="106">
        <v>24</v>
      </c>
      <c r="CE22" s="106">
        <v>4492.7999999999993</v>
      </c>
      <c r="CF22" s="106">
        <v>30</v>
      </c>
      <c r="CG22" s="106">
        <v>5616</v>
      </c>
      <c r="CH22" s="106">
        <v>28</v>
      </c>
      <c r="CI22" s="106">
        <v>5241.5999999999995</v>
      </c>
      <c r="CJ22" s="106">
        <v>34</v>
      </c>
      <c r="CK22" s="106">
        <v>6364.7999999999993</v>
      </c>
      <c r="CL22" s="106">
        <v>25</v>
      </c>
      <c r="CM22" s="106">
        <v>4680</v>
      </c>
      <c r="CN22" s="106">
        <v>20</v>
      </c>
      <c r="CO22" s="106">
        <v>3744</v>
      </c>
      <c r="CP22" s="106">
        <v>22</v>
      </c>
      <c r="CQ22" s="106">
        <v>4118.3999999999996</v>
      </c>
      <c r="CR22" s="106">
        <v>25</v>
      </c>
      <c r="CS22" s="106">
        <v>4680</v>
      </c>
      <c r="CT22" s="106">
        <v>23</v>
      </c>
      <c r="CU22" s="106">
        <v>4305.5999999999995</v>
      </c>
    </row>
    <row r="23" spans="2:99" x14ac:dyDescent="0.2">
      <c r="C23" s="105" t="s">
        <v>189</v>
      </c>
      <c r="D23" s="106">
        <v>3</v>
      </c>
      <c r="E23" s="106">
        <v>882</v>
      </c>
      <c r="F23" s="106">
        <v>2</v>
      </c>
      <c r="G23" s="106">
        <v>588</v>
      </c>
      <c r="H23" s="106">
        <v>2</v>
      </c>
      <c r="I23" s="106">
        <v>588</v>
      </c>
      <c r="J23" s="106">
        <v>3</v>
      </c>
      <c r="K23" s="106">
        <v>882</v>
      </c>
      <c r="L23" s="106">
        <v>14</v>
      </c>
      <c r="M23" s="106">
        <v>4116</v>
      </c>
      <c r="N23" s="106">
        <v>16</v>
      </c>
      <c r="O23" s="106">
        <v>4704</v>
      </c>
      <c r="P23" s="106">
        <v>16</v>
      </c>
      <c r="Q23" s="106">
        <v>4704</v>
      </c>
      <c r="R23" s="106">
        <v>21</v>
      </c>
      <c r="S23" s="106">
        <v>6174</v>
      </c>
      <c r="T23" s="106">
        <v>3</v>
      </c>
      <c r="U23" s="106">
        <v>882</v>
      </c>
      <c r="V23" s="106">
        <v>3</v>
      </c>
      <c r="W23" s="106">
        <v>882</v>
      </c>
      <c r="X23" s="106">
        <v>4</v>
      </c>
      <c r="Y23" s="106">
        <v>1176</v>
      </c>
      <c r="Z23" s="106">
        <v>4</v>
      </c>
      <c r="AA23" s="106">
        <v>1176</v>
      </c>
      <c r="AB23" s="106">
        <v>4</v>
      </c>
      <c r="AC23" s="106">
        <v>1176</v>
      </c>
      <c r="AD23" s="106">
        <v>3</v>
      </c>
      <c r="AE23" s="106">
        <v>882</v>
      </c>
      <c r="AF23" s="106">
        <v>3</v>
      </c>
      <c r="AG23" s="106">
        <v>882</v>
      </c>
      <c r="AH23" s="106">
        <v>4</v>
      </c>
      <c r="AI23" s="106">
        <v>1176</v>
      </c>
      <c r="AJ23" s="106">
        <v>10</v>
      </c>
      <c r="AK23" s="106">
        <v>2940</v>
      </c>
      <c r="AL23" s="106">
        <v>8</v>
      </c>
      <c r="AM23" s="106">
        <v>2352</v>
      </c>
      <c r="AN23" s="106">
        <v>10</v>
      </c>
      <c r="AO23" s="106">
        <v>2940</v>
      </c>
      <c r="AP23" s="106">
        <v>13</v>
      </c>
      <c r="AQ23" s="106">
        <v>3822</v>
      </c>
      <c r="AR23" s="106">
        <v>33</v>
      </c>
      <c r="AS23" s="106">
        <v>9702</v>
      </c>
      <c r="AT23" s="106">
        <v>35</v>
      </c>
      <c r="AU23" s="106">
        <v>10290</v>
      </c>
      <c r="AV23" s="106">
        <v>25</v>
      </c>
      <c r="AW23" s="106">
        <v>7350</v>
      </c>
      <c r="AX23" s="106">
        <v>21</v>
      </c>
      <c r="AY23" s="106">
        <v>6174</v>
      </c>
      <c r="AZ23" s="106">
        <v>3</v>
      </c>
      <c r="BA23" s="106">
        <v>882</v>
      </c>
      <c r="BB23" s="106">
        <v>2</v>
      </c>
      <c r="BC23" s="106">
        <v>588</v>
      </c>
      <c r="BD23" s="106">
        <v>3</v>
      </c>
      <c r="BE23" s="106">
        <v>882</v>
      </c>
      <c r="BF23" s="106">
        <v>3</v>
      </c>
      <c r="BG23" s="106">
        <v>882</v>
      </c>
      <c r="BH23" s="106">
        <v>17</v>
      </c>
      <c r="BI23" s="106">
        <v>4998</v>
      </c>
      <c r="BJ23" s="106">
        <v>14</v>
      </c>
      <c r="BK23" s="106">
        <v>4116</v>
      </c>
      <c r="BL23" s="106">
        <v>16</v>
      </c>
      <c r="BM23" s="106">
        <v>4704</v>
      </c>
      <c r="BN23" s="106">
        <v>10</v>
      </c>
      <c r="BO23" s="106">
        <v>2940</v>
      </c>
      <c r="BP23" s="106">
        <v>4</v>
      </c>
      <c r="BQ23" s="106">
        <v>1176</v>
      </c>
      <c r="BR23" s="106">
        <v>4</v>
      </c>
      <c r="BS23" s="106">
        <v>1176</v>
      </c>
      <c r="BT23" s="106">
        <v>3</v>
      </c>
      <c r="BU23" s="106">
        <v>882</v>
      </c>
      <c r="BV23" s="106">
        <v>2</v>
      </c>
      <c r="BW23" s="106">
        <v>588</v>
      </c>
      <c r="BX23" s="106">
        <v>24</v>
      </c>
      <c r="BY23" s="106">
        <v>7056</v>
      </c>
      <c r="BZ23" s="106">
        <v>18</v>
      </c>
      <c r="CA23" s="106">
        <v>5292</v>
      </c>
      <c r="CB23" s="106">
        <v>16</v>
      </c>
      <c r="CC23" s="106">
        <v>4704</v>
      </c>
      <c r="CD23" s="106">
        <v>26</v>
      </c>
      <c r="CE23" s="106">
        <v>7644</v>
      </c>
      <c r="CF23" s="106">
        <v>29</v>
      </c>
      <c r="CG23" s="106">
        <v>8526</v>
      </c>
      <c r="CH23" s="106">
        <v>28</v>
      </c>
      <c r="CI23" s="106">
        <v>8232</v>
      </c>
      <c r="CJ23" s="106">
        <v>32</v>
      </c>
      <c r="CK23" s="106">
        <v>9408</v>
      </c>
      <c r="CL23" s="106">
        <v>21</v>
      </c>
      <c r="CM23" s="106">
        <v>6174</v>
      </c>
      <c r="CN23" s="106">
        <v>20</v>
      </c>
      <c r="CO23" s="106">
        <v>5880</v>
      </c>
      <c r="CP23" s="106">
        <v>22</v>
      </c>
      <c r="CQ23" s="106">
        <v>6468</v>
      </c>
      <c r="CR23" s="106">
        <v>22</v>
      </c>
      <c r="CS23" s="106">
        <v>6468</v>
      </c>
      <c r="CT23" s="106">
        <v>23</v>
      </c>
      <c r="CU23" s="106">
        <v>6762</v>
      </c>
    </row>
    <row r="24" spans="2:99" x14ac:dyDescent="0.2">
      <c r="C24" s="105" t="s">
        <v>190</v>
      </c>
      <c r="D24" s="106">
        <v>3</v>
      </c>
      <c r="E24" s="106">
        <v>1101.5999999999999</v>
      </c>
      <c r="F24" s="106">
        <v>2</v>
      </c>
      <c r="G24" s="106">
        <v>734.4</v>
      </c>
      <c r="H24" s="106">
        <v>2</v>
      </c>
      <c r="I24" s="106">
        <v>734.4</v>
      </c>
      <c r="J24" s="106">
        <v>4</v>
      </c>
      <c r="K24" s="106">
        <v>1468.8</v>
      </c>
      <c r="L24" s="106">
        <v>14</v>
      </c>
      <c r="M24" s="106">
        <v>5140.8</v>
      </c>
      <c r="N24" s="106">
        <v>17</v>
      </c>
      <c r="O24" s="106">
        <v>6242.4</v>
      </c>
      <c r="P24" s="106">
        <v>15</v>
      </c>
      <c r="Q24" s="106">
        <v>5508</v>
      </c>
      <c r="R24" s="106">
        <v>22</v>
      </c>
      <c r="S24" s="106">
        <v>8078.4</v>
      </c>
      <c r="T24" s="106">
        <v>3</v>
      </c>
      <c r="U24" s="106">
        <v>1101.5999999999999</v>
      </c>
      <c r="V24" s="106">
        <v>3</v>
      </c>
      <c r="W24" s="106">
        <v>1101.5999999999999</v>
      </c>
      <c r="X24" s="106">
        <v>4</v>
      </c>
      <c r="Y24" s="106">
        <v>1468.8</v>
      </c>
      <c r="Z24" s="106">
        <v>4</v>
      </c>
      <c r="AA24" s="106">
        <v>1468.8</v>
      </c>
      <c r="AB24" s="106">
        <v>4</v>
      </c>
      <c r="AC24" s="106">
        <v>1468.8</v>
      </c>
      <c r="AD24" s="106">
        <v>3</v>
      </c>
      <c r="AE24" s="106">
        <v>1101.5999999999999</v>
      </c>
      <c r="AF24" s="106">
        <v>3</v>
      </c>
      <c r="AG24" s="106">
        <v>1101.5999999999999</v>
      </c>
      <c r="AH24" s="106">
        <v>3</v>
      </c>
      <c r="AI24" s="106">
        <v>1101.5999999999999</v>
      </c>
      <c r="AJ24" s="106">
        <v>11</v>
      </c>
      <c r="AK24" s="106">
        <v>4039.2</v>
      </c>
      <c r="AL24" s="106">
        <v>8</v>
      </c>
      <c r="AM24" s="106">
        <v>2937.6</v>
      </c>
      <c r="AN24" s="106">
        <v>10</v>
      </c>
      <c r="AO24" s="106">
        <v>3672</v>
      </c>
      <c r="AP24" s="106">
        <v>11</v>
      </c>
      <c r="AQ24" s="106">
        <v>4039.2</v>
      </c>
      <c r="AR24" s="106">
        <v>35</v>
      </c>
      <c r="AS24" s="106">
        <v>12852</v>
      </c>
      <c r="AT24" s="106">
        <v>32</v>
      </c>
      <c r="AU24" s="106">
        <v>11750.4</v>
      </c>
      <c r="AV24" s="106">
        <v>27</v>
      </c>
      <c r="AW24" s="106">
        <v>9914.4</v>
      </c>
      <c r="AX24" s="106">
        <v>23</v>
      </c>
      <c r="AY24" s="106">
        <v>8445.6</v>
      </c>
      <c r="AZ24" s="106">
        <v>3</v>
      </c>
      <c r="BA24" s="106">
        <v>1101.5999999999999</v>
      </c>
      <c r="BB24" s="106">
        <v>2</v>
      </c>
      <c r="BC24" s="106">
        <v>734.4</v>
      </c>
      <c r="BD24" s="106">
        <v>3</v>
      </c>
      <c r="BE24" s="106">
        <v>1101.5999999999999</v>
      </c>
      <c r="BF24" s="106">
        <v>2</v>
      </c>
      <c r="BG24" s="106">
        <v>734.4</v>
      </c>
      <c r="BH24" s="106">
        <v>16</v>
      </c>
      <c r="BI24" s="106">
        <v>5875.2</v>
      </c>
      <c r="BJ24" s="106">
        <v>14</v>
      </c>
      <c r="BK24" s="106">
        <v>5140.8</v>
      </c>
      <c r="BL24" s="106">
        <v>16</v>
      </c>
      <c r="BM24" s="106">
        <v>5875.2</v>
      </c>
      <c r="BN24" s="106">
        <v>10</v>
      </c>
      <c r="BO24" s="106">
        <v>3672</v>
      </c>
      <c r="BP24" s="106">
        <v>3</v>
      </c>
      <c r="BQ24" s="106">
        <v>1101.5999999999999</v>
      </c>
      <c r="BR24" s="106">
        <v>4</v>
      </c>
      <c r="BS24" s="106">
        <v>1468.8</v>
      </c>
      <c r="BT24" s="106">
        <v>3</v>
      </c>
      <c r="BU24" s="106">
        <v>1101.5999999999999</v>
      </c>
      <c r="BV24" s="106">
        <v>2</v>
      </c>
      <c r="BW24" s="106">
        <v>734.4</v>
      </c>
      <c r="BX24" s="106">
        <v>25</v>
      </c>
      <c r="BY24" s="106">
        <v>9180</v>
      </c>
      <c r="BZ24" s="106">
        <v>18</v>
      </c>
      <c r="CA24" s="106">
        <v>6609.5999999999995</v>
      </c>
      <c r="CB24" s="106">
        <v>16</v>
      </c>
      <c r="CC24" s="106">
        <v>5875.2</v>
      </c>
      <c r="CD24" s="106">
        <v>22</v>
      </c>
      <c r="CE24" s="106">
        <v>8078.4</v>
      </c>
      <c r="CF24" s="106">
        <v>28</v>
      </c>
      <c r="CG24" s="106">
        <v>10281.6</v>
      </c>
      <c r="CH24" s="106">
        <v>30</v>
      </c>
      <c r="CI24" s="106">
        <v>11016</v>
      </c>
      <c r="CJ24" s="106">
        <v>32</v>
      </c>
      <c r="CK24" s="106">
        <v>11750.4</v>
      </c>
      <c r="CL24" s="106">
        <v>21</v>
      </c>
      <c r="CM24" s="106">
        <v>7711.2</v>
      </c>
      <c r="CN24" s="106">
        <v>20</v>
      </c>
      <c r="CO24" s="106">
        <v>7344</v>
      </c>
      <c r="CP24" s="106">
        <v>22</v>
      </c>
      <c r="CQ24" s="106">
        <v>8078.4</v>
      </c>
      <c r="CR24" s="106">
        <v>22</v>
      </c>
      <c r="CS24" s="106">
        <v>8078.4</v>
      </c>
      <c r="CT24" s="106">
        <v>22</v>
      </c>
      <c r="CU24" s="106">
        <v>8078.4</v>
      </c>
    </row>
    <row r="25" spans="2:99" x14ac:dyDescent="0.2">
      <c r="C25" s="105" t="s">
        <v>191</v>
      </c>
      <c r="D25" s="106">
        <v>2</v>
      </c>
      <c r="E25" s="106">
        <v>1060.8</v>
      </c>
      <c r="F25" s="106">
        <v>3</v>
      </c>
      <c r="G25" s="106">
        <v>1591.1999999999998</v>
      </c>
      <c r="H25" s="106">
        <v>2</v>
      </c>
      <c r="I25" s="106">
        <v>1060.8</v>
      </c>
      <c r="J25" s="106">
        <v>4</v>
      </c>
      <c r="K25" s="106">
        <v>2121.6</v>
      </c>
      <c r="L25" s="106">
        <v>14</v>
      </c>
      <c r="M25" s="106">
        <v>7425.5999999999995</v>
      </c>
      <c r="N25" s="106">
        <v>16</v>
      </c>
      <c r="O25" s="106">
        <v>8486.4</v>
      </c>
      <c r="P25" s="106">
        <v>15</v>
      </c>
      <c r="Q25" s="106">
        <v>7956</v>
      </c>
      <c r="R25" s="106">
        <v>20</v>
      </c>
      <c r="S25" s="106">
        <v>10608</v>
      </c>
      <c r="T25" s="106">
        <v>2</v>
      </c>
      <c r="U25" s="106">
        <v>1060.8</v>
      </c>
      <c r="V25" s="106">
        <v>4</v>
      </c>
      <c r="W25" s="106">
        <v>2121.6</v>
      </c>
      <c r="X25" s="106">
        <v>4</v>
      </c>
      <c r="Y25" s="106">
        <v>2121.6</v>
      </c>
      <c r="Z25" s="106">
        <v>4</v>
      </c>
      <c r="AA25" s="106">
        <v>2121.6</v>
      </c>
      <c r="AB25" s="106">
        <v>4</v>
      </c>
      <c r="AC25" s="106">
        <v>2121.6</v>
      </c>
      <c r="AD25" s="106">
        <v>4</v>
      </c>
      <c r="AE25" s="106">
        <v>2121.6</v>
      </c>
      <c r="AF25" s="106">
        <v>3</v>
      </c>
      <c r="AG25" s="106">
        <v>1591.1999999999998</v>
      </c>
      <c r="AH25" s="106">
        <v>3</v>
      </c>
      <c r="AI25" s="106">
        <v>1591.1999999999998</v>
      </c>
      <c r="AJ25" s="106">
        <v>9</v>
      </c>
      <c r="AK25" s="106">
        <v>4773.5999999999995</v>
      </c>
      <c r="AL25" s="106">
        <v>8</v>
      </c>
      <c r="AM25" s="106">
        <v>4243.2</v>
      </c>
      <c r="AN25" s="106">
        <v>10</v>
      </c>
      <c r="AO25" s="106">
        <v>5304</v>
      </c>
      <c r="AP25" s="106">
        <v>11</v>
      </c>
      <c r="AQ25" s="106">
        <v>5834.4</v>
      </c>
      <c r="AR25" s="106">
        <v>33</v>
      </c>
      <c r="AS25" s="106">
        <v>17503.2</v>
      </c>
      <c r="AT25" s="106">
        <v>31</v>
      </c>
      <c r="AU25" s="106">
        <v>16442.399999999998</v>
      </c>
      <c r="AV25" s="106">
        <v>26</v>
      </c>
      <c r="AW25" s="106">
        <v>13790.4</v>
      </c>
      <c r="AX25" s="106">
        <v>23</v>
      </c>
      <c r="AY25" s="106">
        <v>12199.199999999999</v>
      </c>
      <c r="AZ25" s="106">
        <v>3</v>
      </c>
      <c r="BA25" s="106">
        <v>1591.1999999999998</v>
      </c>
      <c r="BB25" s="106">
        <v>2</v>
      </c>
      <c r="BC25" s="106">
        <v>1060.8</v>
      </c>
      <c r="BD25" s="106">
        <v>4</v>
      </c>
      <c r="BE25" s="106">
        <v>2121.6</v>
      </c>
      <c r="BF25" s="106">
        <v>3</v>
      </c>
      <c r="BG25" s="106">
        <v>1591.1999999999998</v>
      </c>
      <c r="BH25" s="106">
        <v>14</v>
      </c>
      <c r="BI25" s="106">
        <v>7425.5999999999995</v>
      </c>
      <c r="BJ25" s="106">
        <v>14</v>
      </c>
      <c r="BK25" s="106">
        <v>7425.5999999999995</v>
      </c>
      <c r="BL25" s="106">
        <v>14</v>
      </c>
      <c r="BM25" s="106">
        <v>7425.5999999999995</v>
      </c>
      <c r="BN25" s="106">
        <v>10</v>
      </c>
      <c r="BO25" s="106">
        <v>5304</v>
      </c>
      <c r="BP25" s="106">
        <v>3</v>
      </c>
      <c r="BQ25" s="106">
        <v>1591.1999999999998</v>
      </c>
      <c r="BR25" s="106">
        <v>4</v>
      </c>
      <c r="BS25" s="106">
        <v>2121.6</v>
      </c>
      <c r="BT25" s="106">
        <v>3</v>
      </c>
      <c r="BU25" s="106">
        <v>1591.1999999999998</v>
      </c>
      <c r="BV25" s="106">
        <v>2</v>
      </c>
      <c r="BW25" s="106">
        <v>1060.8</v>
      </c>
      <c r="BX25" s="106">
        <v>26</v>
      </c>
      <c r="BY25" s="106">
        <v>13790.4</v>
      </c>
      <c r="BZ25" s="106">
        <v>19</v>
      </c>
      <c r="CA25" s="106">
        <v>10077.6</v>
      </c>
      <c r="CB25" s="106">
        <v>14</v>
      </c>
      <c r="CC25" s="106">
        <v>7425.5999999999995</v>
      </c>
      <c r="CD25" s="106">
        <v>24</v>
      </c>
      <c r="CE25" s="106">
        <v>12729.599999999999</v>
      </c>
      <c r="CF25" s="106">
        <v>25</v>
      </c>
      <c r="CG25" s="106">
        <v>13260</v>
      </c>
      <c r="CH25" s="106">
        <v>24</v>
      </c>
      <c r="CI25" s="106">
        <v>12729.599999999999</v>
      </c>
      <c r="CJ25" s="106">
        <v>30</v>
      </c>
      <c r="CK25" s="106">
        <v>15912</v>
      </c>
      <c r="CL25" s="106">
        <v>20</v>
      </c>
      <c r="CM25" s="106">
        <v>10608</v>
      </c>
      <c r="CN25" s="106">
        <v>18</v>
      </c>
      <c r="CO25" s="106">
        <v>9547.1999999999989</v>
      </c>
      <c r="CP25" s="106">
        <v>22</v>
      </c>
      <c r="CQ25" s="106">
        <v>11668.8</v>
      </c>
      <c r="CR25" s="106">
        <v>20</v>
      </c>
      <c r="CS25" s="106">
        <v>10608</v>
      </c>
      <c r="CT25" s="106">
        <v>25</v>
      </c>
      <c r="CU25" s="106">
        <v>13260</v>
      </c>
    </row>
    <row r="26" spans="2:99" x14ac:dyDescent="0.2">
      <c r="C26" s="105" t="s">
        <v>192</v>
      </c>
      <c r="D26" s="106">
        <v>2</v>
      </c>
      <c r="E26" s="106">
        <v>972</v>
      </c>
      <c r="F26" s="106">
        <v>2</v>
      </c>
      <c r="G26" s="106">
        <v>972</v>
      </c>
      <c r="H26" s="106">
        <v>2</v>
      </c>
      <c r="I26" s="106">
        <v>972</v>
      </c>
      <c r="J26" s="106">
        <v>4</v>
      </c>
      <c r="K26" s="106">
        <v>1944</v>
      </c>
      <c r="L26" s="106">
        <v>14</v>
      </c>
      <c r="M26" s="106">
        <v>6804</v>
      </c>
      <c r="N26" s="106">
        <v>17</v>
      </c>
      <c r="O26" s="106">
        <v>8262</v>
      </c>
      <c r="P26" s="106">
        <v>15</v>
      </c>
      <c r="Q26" s="106">
        <v>7290</v>
      </c>
      <c r="R26" s="106">
        <v>20</v>
      </c>
      <c r="S26" s="106">
        <v>9720</v>
      </c>
      <c r="T26" s="106">
        <v>3</v>
      </c>
      <c r="U26" s="106">
        <v>1458</v>
      </c>
      <c r="V26" s="106">
        <v>3</v>
      </c>
      <c r="W26" s="106">
        <v>1458</v>
      </c>
      <c r="X26" s="106">
        <v>4</v>
      </c>
      <c r="Y26" s="106">
        <v>1944</v>
      </c>
      <c r="Z26" s="106">
        <v>4</v>
      </c>
      <c r="AA26" s="106">
        <v>1944</v>
      </c>
      <c r="AB26" s="106">
        <v>4</v>
      </c>
      <c r="AC26" s="106">
        <v>1944</v>
      </c>
      <c r="AD26" s="106">
        <v>4</v>
      </c>
      <c r="AE26" s="106">
        <v>1944</v>
      </c>
      <c r="AF26" s="106">
        <v>3</v>
      </c>
      <c r="AG26" s="106">
        <v>1458</v>
      </c>
      <c r="AH26" s="106">
        <v>3</v>
      </c>
      <c r="AI26" s="106">
        <v>1458</v>
      </c>
      <c r="AJ26" s="106">
        <v>11</v>
      </c>
      <c r="AK26" s="106">
        <v>5346</v>
      </c>
      <c r="AL26" s="106">
        <v>8</v>
      </c>
      <c r="AM26" s="106">
        <v>3888</v>
      </c>
      <c r="AN26" s="106">
        <v>10</v>
      </c>
      <c r="AO26" s="106">
        <v>4860</v>
      </c>
      <c r="AP26" s="106">
        <v>12</v>
      </c>
      <c r="AQ26" s="106">
        <v>5832</v>
      </c>
      <c r="AR26" s="106">
        <v>30</v>
      </c>
      <c r="AS26" s="106">
        <v>14580</v>
      </c>
      <c r="AT26" s="106">
        <v>35</v>
      </c>
      <c r="AU26" s="106">
        <v>17010</v>
      </c>
      <c r="AV26" s="106">
        <v>27</v>
      </c>
      <c r="AW26" s="106">
        <v>13122</v>
      </c>
      <c r="AX26" s="106">
        <v>21</v>
      </c>
      <c r="AY26" s="106">
        <v>10206</v>
      </c>
      <c r="AZ26" s="106">
        <v>3</v>
      </c>
      <c r="BA26" s="106">
        <v>1458</v>
      </c>
      <c r="BB26" s="106">
        <v>2</v>
      </c>
      <c r="BC26" s="106">
        <v>972</v>
      </c>
      <c r="BD26" s="106">
        <v>4</v>
      </c>
      <c r="BE26" s="106">
        <v>1944</v>
      </c>
      <c r="BF26" s="106">
        <v>2</v>
      </c>
      <c r="BG26" s="106">
        <v>972</v>
      </c>
      <c r="BH26" s="106">
        <v>16</v>
      </c>
      <c r="BI26" s="106">
        <v>7776</v>
      </c>
      <c r="BJ26" s="106">
        <v>12</v>
      </c>
      <c r="BK26" s="106">
        <v>5832</v>
      </c>
      <c r="BL26" s="106">
        <v>16</v>
      </c>
      <c r="BM26" s="106">
        <v>7776</v>
      </c>
      <c r="BN26" s="106">
        <v>9</v>
      </c>
      <c r="BO26" s="106">
        <v>4374</v>
      </c>
      <c r="BP26" s="106">
        <v>3</v>
      </c>
      <c r="BQ26" s="106">
        <v>1458</v>
      </c>
      <c r="BR26" s="106">
        <v>3</v>
      </c>
      <c r="BS26" s="106">
        <v>1458</v>
      </c>
      <c r="BT26" s="106">
        <v>3</v>
      </c>
      <c r="BU26" s="106">
        <v>1458</v>
      </c>
      <c r="BV26" s="106">
        <v>2</v>
      </c>
      <c r="BW26" s="106">
        <v>972</v>
      </c>
      <c r="BX26" s="106">
        <v>23</v>
      </c>
      <c r="BY26" s="106">
        <v>11178</v>
      </c>
      <c r="BZ26" s="106">
        <v>19</v>
      </c>
      <c r="CA26" s="106">
        <v>9234</v>
      </c>
      <c r="CB26" s="106">
        <v>14</v>
      </c>
      <c r="CC26" s="106">
        <v>6804</v>
      </c>
      <c r="CD26" s="106">
        <v>25</v>
      </c>
      <c r="CE26" s="106">
        <v>12150</v>
      </c>
      <c r="CF26" s="106">
        <v>27</v>
      </c>
      <c r="CG26" s="106">
        <v>13122</v>
      </c>
      <c r="CH26" s="106">
        <v>24</v>
      </c>
      <c r="CI26" s="106">
        <v>11664</v>
      </c>
      <c r="CJ26" s="106">
        <v>29</v>
      </c>
      <c r="CK26" s="106">
        <v>14094</v>
      </c>
      <c r="CL26" s="106">
        <v>21</v>
      </c>
      <c r="CM26" s="106">
        <v>10206</v>
      </c>
      <c r="CN26" s="106">
        <v>20</v>
      </c>
      <c r="CO26" s="106">
        <v>9720</v>
      </c>
      <c r="CP26" s="106">
        <v>18</v>
      </c>
      <c r="CQ26" s="106">
        <v>8748</v>
      </c>
      <c r="CR26" s="106">
        <v>23</v>
      </c>
      <c r="CS26" s="106">
        <v>11178</v>
      </c>
      <c r="CT26" s="106">
        <v>22</v>
      </c>
      <c r="CU26" s="106">
        <v>10692</v>
      </c>
    </row>
    <row r="27" spans="2:99" x14ac:dyDescent="0.2">
      <c r="C27" s="105" t="s">
        <v>193</v>
      </c>
      <c r="D27" s="106">
        <v>2</v>
      </c>
      <c r="E27" s="106">
        <v>854.4</v>
      </c>
      <c r="F27" s="106">
        <v>2</v>
      </c>
      <c r="G27" s="106">
        <v>854.4</v>
      </c>
      <c r="H27" s="106">
        <v>2</v>
      </c>
      <c r="I27" s="106">
        <v>854.4</v>
      </c>
      <c r="J27" s="106">
        <v>4</v>
      </c>
      <c r="K27" s="106">
        <v>1708.8</v>
      </c>
      <c r="L27" s="106">
        <v>16</v>
      </c>
      <c r="M27" s="106">
        <v>6835.2</v>
      </c>
      <c r="N27" s="106">
        <v>15</v>
      </c>
      <c r="O27" s="106">
        <v>6408</v>
      </c>
      <c r="P27" s="106">
        <v>15</v>
      </c>
      <c r="Q27" s="106">
        <v>6408</v>
      </c>
      <c r="R27" s="106">
        <v>22</v>
      </c>
      <c r="S27" s="106">
        <v>9398.4</v>
      </c>
      <c r="T27" s="106">
        <v>3</v>
      </c>
      <c r="U27" s="106">
        <v>1281.5999999999999</v>
      </c>
      <c r="V27" s="106">
        <v>3</v>
      </c>
      <c r="W27" s="106">
        <v>1281.5999999999999</v>
      </c>
      <c r="X27" s="106">
        <v>4</v>
      </c>
      <c r="Y27" s="106">
        <v>1708.8</v>
      </c>
      <c r="Z27" s="106">
        <v>4</v>
      </c>
      <c r="AA27" s="106">
        <v>1708.8</v>
      </c>
      <c r="AB27" s="106">
        <v>4</v>
      </c>
      <c r="AC27" s="106">
        <v>1708.8</v>
      </c>
      <c r="AD27" s="106">
        <v>4</v>
      </c>
      <c r="AE27" s="106">
        <v>1708.8</v>
      </c>
      <c r="AF27" s="106">
        <v>3</v>
      </c>
      <c r="AG27" s="106">
        <v>1281.5999999999999</v>
      </c>
      <c r="AH27" s="106">
        <v>3</v>
      </c>
      <c r="AI27" s="106">
        <v>1281.5999999999999</v>
      </c>
      <c r="AJ27" s="106">
        <v>9</v>
      </c>
      <c r="AK27" s="106">
        <v>3844.7999999999997</v>
      </c>
      <c r="AL27" s="106">
        <v>8</v>
      </c>
      <c r="AM27" s="106">
        <v>3417.6</v>
      </c>
      <c r="AN27" s="106">
        <v>10</v>
      </c>
      <c r="AO27" s="106">
        <v>4272</v>
      </c>
      <c r="AP27" s="106">
        <v>11</v>
      </c>
      <c r="AQ27" s="106">
        <v>4699.2</v>
      </c>
      <c r="AR27" s="106">
        <v>31</v>
      </c>
      <c r="AS27" s="106">
        <v>13243.199999999999</v>
      </c>
      <c r="AT27" s="106">
        <v>35</v>
      </c>
      <c r="AU27" s="106">
        <v>14952</v>
      </c>
      <c r="AV27" s="106">
        <v>25</v>
      </c>
      <c r="AW27" s="106">
        <v>10680</v>
      </c>
      <c r="AX27" s="106">
        <v>23</v>
      </c>
      <c r="AY27" s="106">
        <v>9825.6</v>
      </c>
      <c r="AZ27" s="106">
        <v>3</v>
      </c>
      <c r="BA27" s="106">
        <v>1281.5999999999999</v>
      </c>
      <c r="BB27" s="106">
        <v>2</v>
      </c>
      <c r="BC27" s="106">
        <v>854.4</v>
      </c>
      <c r="BD27" s="106">
        <v>4</v>
      </c>
      <c r="BE27" s="106">
        <v>1708.8</v>
      </c>
      <c r="BF27" s="106">
        <v>3</v>
      </c>
      <c r="BG27" s="106">
        <v>1281.5999999999999</v>
      </c>
      <c r="BH27" s="106">
        <v>16</v>
      </c>
      <c r="BI27" s="106">
        <v>6835.2</v>
      </c>
      <c r="BJ27" s="106">
        <v>14</v>
      </c>
      <c r="BK27" s="106">
        <v>5980.8</v>
      </c>
      <c r="BL27" s="106">
        <v>16</v>
      </c>
      <c r="BM27" s="106">
        <v>6835.2</v>
      </c>
      <c r="BN27" s="106">
        <v>10</v>
      </c>
      <c r="BO27" s="106">
        <v>4272</v>
      </c>
      <c r="BP27" s="106">
        <v>4</v>
      </c>
      <c r="BQ27" s="106">
        <v>1708.8</v>
      </c>
      <c r="BR27" s="106">
        <v>4</v>
      </c>
      <c r="BS27" s="106">
        <v>1708.8</v>
      </c>
      <c r="BT27" s="106">
        <v>3</v>
      </c>
      <c r="BU27" s="106">
        <v>1281.5999999999999</v>
      </c>
      <c r="BV27" s="106">
        <v>2</v>
      </c>
      <c r="BW27" s="106">
        <v>854.4</v>
      </c>
      <c r="BX27" s="106">
        <v>24</v>
      </c>
      <c r="BY27" s="106">
        <v>10252.799999999999</v>
      </c>
      <c r="BZ27" s="106">
        <v>19</v>
      </c>
      <c r="CA27" s="106">
        <v>8116.8</v>
      </c>
      <c r="CB27" s="106">
        <v>16</v>
      </c>
      <c r="CC27" s="106">
        <v>6835.2</v>
      </c>
      <c r="CD27" s="106">
        <v>24</v>
      </c>
      <c r="CE27" s="106">
        <v>10252.799999999999</v>
      </c>
      <c r="CF27" s="106">
        <v>29</v>
      </c>
      <c r="CG27" s="106">
        <v>12388.8</v>
      </c>
      <c r="CH27" s="106">
        <v>27</v>
      </c>
      <c r="CI27" s="106">
        <v>11534.4</v>
      </c>
      <c r="CJ27" s="106">
        <v>32</v>
      </c>
      <c r="CK27" s="106">
        <v>13670.4</v>
      </c>
      <c r="CL27" s="106">
        <v>21</v>
      </c>
      <c r="CM27" s="106">
        <v>8971.1999999999989</v>
      </c>
      <c r="CN27" s="106">
        <v>21</v>
      </c>
      <c r="CO27" s="106">
        <v>8971.1999999999989</v>
      </c>
      <c r="CP27" s="106">
        <v>19</v>
      </c>
      <c r="CQ27" s="106">
        <v>8116.8</v>
      </c>
      <c r="CR27" s="106">
        <v>22</v>
      </c>
      <c r="CS27" s="106">
        <v>9398.4</v>
      </c>
      <c r="CT27" s="106">
        <v>24</v>
      </c>
      <c r="CU27" s="106">
        <v>10252.799999999999</v>
      </c>
    </row>
    <row r="28" spans="2:99" x14ac:dyDescent="0.2">
      <c r="C28" s="105" t="s">
        <v>194</v>
      </c>
      <c r="D28" s="106">
        <v>2</v>
      </c>
      <c r="E28" s="106">
        <v>1476</v>
      </c>
      <c r="F28" s="106">
        <v>2</v>
      </c>
      <c r="G28" s="106">
        <v>1476</v>
      </c>
      <c r="H28" s="106">
        <v>2</v>
      </c>
      <c r="I28" s="106">
        <v>1476</v>
      </c>
      <c r="J28" s="106">
        <v>3</v>
      </c>
      <c r="K28" s="106">
        <v>2214</v>
      </c>
      <c r="L28" s="106">
        <v>14</v>
      </c>
      <c r="M28" s="106">
        <v>10332</v>
      </c>
      <c r="N28" s="106">
        <v>15</v>
      </c>
      <c r="O28" s="106">
        <v>11070</v>
      </c>
      <c r="P28" s="106">
        <v>15</v>
      </c>
      <c r="Q28" s="106">
        <v>11070</v>
      </c>
      <c r="R28" s="106">
        <v>20</v>
      </c>
      <c r="S28" s="106">
        <v>14760</v>
      </c>
      <c r="T28" s="106">
        <v>3</v>
      </c>
      <c r="U28" s="106">
        <v>2214</v>
      </c>
      <c r="V28" s="106">
        <v>4</v>
      </c>
      <c r="W28" s="106">
        <v>2952</v>
      </c>
      <c r="X28" s="106">
        <v>3</v>
      </c>
      <c r="Y28" s="106">
        <v>2214</v>
      </c>
      <c r="Z28" s="106">
        <v>4</v>
      </c>
      <c r="AA28" s="106">
        <v>2952</v>
      </c>
      <c r="AB28" s="106">
        <v>3</v>
      </c>
      <c r="AC28" s="106">
        <v>2214</v>
      </c>
      <c r="AD28" s="106">
        <v>3</v>
      </c>
      <c r="AE28" s="106">
        <v>2214</v>
      </c>
      <c r="AF28" s="106">
        <v>3</v>
      </c>
      <c r="AG28" s="106">
        <v>2214</v>
      </c>
      <c r="AH28" s="106">
        <v>3</v>
      </c>
      <c r="AI28" s="106">
        <v>2214</v>
      </c>
      <c r="AJ28" s="106">
        <v>10</v>
      </c>
      <c r="AK28" s="106">
        <v>7380</v>
      </c>
      <c r="AL28" s="106">
        <v>7</v>
      </c>
      <c r="AM28" s="106">
        <v>5166</v>
      </c>
      <c r="AN28" s="106">
        <v>9</v>
      </c>
      <c r="AO28" s="106">
        <v>6642</v>
      </c>
      <c r="AP28" s="106">
        <v>11</v>
      </c>
      <c r="AQ28" s="106">
        <v>8118</v>
      </c>
      <c r="AR28" s="106">
        <v>32</v>
      </c>
      <c r="AS28" s="106">
        <v>23616</v>
      </c>
      <c r="AT28" s="106">
        <v>35</v>
      </c>
      <c r="AU28" s="106">
        <v>25830</v>
      </c>
      <c r="AV28" s="106">
        <v>27</v>
      </c>
      <c r="AW28" s="106">
        <v>19926</v>
      </c>
      <c r="AX28" s="106">
        <v>18</v>
      </c>
      <c r="AY28" s="106">
        <v>13284</v>
      </c>
      <c r="AZ28" s="106">
        <v>2</v>
      </c>
      <c r="BA28" s="106">
        <v>1476</v>
      </c>
      <c r="BB28" s="106">
        <v>2</v>
      </c>
      <c r="BC28" s="106">
        <v>1476</v>
      </c>
      <c r="BD28" s="106">
        <v>4</v>
      </c>
      <c r="BE28" s="106">
        <v>2952</v>
      </c>
      <c r="BF28" s="106">
        <v>2</v>
      </c>
      <c r="BG28" s="106">
        <v>1476</v>
      </c>
      <c r="BH28" s="106">
        <v>15</v>
      </c>
      <c r="BI28" s="106">
        <v>11070</v>
      </c>
      <c r="BJ28" s="106">
        <v>13</v>
      </c>
      <c r="BK28" s="106">
        <v>9594</v>
      </c>
      <c r="BL28" s="106">
        <v>13</v>
      </c>
      <c r="BM28" s="106">
        <v>9594</v>
      </c>
      <c r="BN28" s="106">
        <v>9</v>
      </c>
      <c r="BO28" s="106">
        <v>6642</v>
      </c>
      <c r="BP28" s="106">
        <v>4</v>
      </c>
      <c r="BQ28" s="106">
        <v>2952</v>
      </c>
      <c r="BR28" s="106">
        <v>3</v>
      </c>
      <c r="BS28" s="106">
        <v>2214</v>
      </c>
      <c r="BT28" s="106">
        <v>3</v>
      </c>
      <c r="BU28" s="106">
        <v>2214</v>
      </c>
      <c r="BV28" s="106">
        <v>2</v>
      </c>
      <c r="BW28" s="106">
        <v>1476</v>
      </c>
      <c r="BX28" s="106">
        <v>23</v>
      </c>
      <c r="BY28" s="106">
        <v>16974</v>
      </c>
      <c r="BZ28" s="106">
        <v>17</v>
      </c>
      <c r="CA28" s="106">
        <v>12546</v>
      </c>
      <c r="CB28" s="106">
        <v>14</v>
      </c>
      <c r="CC28" s="106">
        <v>10332</v>
      </c>
      <c r="CD28" s="106">
        <v>21</v>
      </c>
      <c r="CE28" s="106">
        <v>15498</v>
      </c>
      <c r="CF28" s="106">
        <v>23</v>
      </c>
      <c r="CG28" s="106">
        <v>16974</v>
      </c>
      <c r="CH28" s="106">
        <v>27</v>
      </c>
      <c r="CI28" s="106">
        <v>19926</v>
      </c>
      <c r="CJ28" s="106">
        <v>33</v>
      </c>
      <c r="CK28" s="106">
        <v>24354</v>
      </c>
      <c r="CL28" s="106">
        <v>21</v>
      </c>
      <c r="CM28" s="106">
        <v>15498</v>
      </c>
      <c r="CN28" s="106">
        <v>20</v>
      </c>
      <c r="CO28" s="106">
        <v>14760</v>
      </c>
      <c r="CP28" s="106">
        <v>20</v>
      </c>
      <c r="CQ28" s="106">
        <v>14760</v>
      </c>
      <c r="CR28" s="106">
        <v>20</v>
      </c>
      <c r="CS28" s="106">
        <v>14760</v>
      </c>
      <c r="CT28" s="106">
        <v>23</v>
      </c>
      <c r="CU28" s="106">
        <v>16974</v>
      </c>
    </row>
    <row r="29" spans="2:99" x14ac:dyDescent="0.2">
      <c r="C29" s="105" t="s">
        <v>195</v>
      </c>
      <c r="D29" s="106">
        <v>2</v>
      </c>
      <c r="E29" s="106">
        <v>676.8</v>
      </c>
      <c r="F29" s="106">
        <v>2</v>
      </c>
      <c r="G29" s="106">
        <v>676.8</v>
      </c>
      <c r="H29" s="106">
        <v>2</v>
      </c>
      <c r="I29" s="106">
        <v>676.8</v>
      </c>
      <c r="J29" s="106">
        <v>4</v>
      </c>
      <c r="K29" s="106">
        <v>1353.6</v>
      </c>
      <c r="L29" s="106">
        <v>14</v>
      </c>
      <c r="M29" s="106">
        <v>4737.5999999999995</v>
      </c>
      <c r="N29" s="106">
        <v>18</v>
      </c>
      <c r="O29" s="106">
        <v>6091.2</v>
      </c>
      <c r="P29" s="106">
        <v>16</v>
      </c>
      <c r="Q29" s="106">
        <v>5414.4</v>
      </c>
      <c r="R29" s="106">
        <v>24</v>
      </c>
      <c r="S29" s="106">
        <v>8121.5999999999995</v>
      </c>
      <c r="T29" s="106">
        <v>3</v>
      </c>
      <c r="U29" s="106">
        <v>1015.1999999999999</v>
      </c>
      <c r="V29" s="106">
        <v>3</v>
      </c>
      <c r="W29" s="106">
        <v>1015.1999999999999</v>
      </c>
      <c r="X29" s="106">
        <v>3</v>
      </c>
      <c r="Y29" s="106">
        <v>1015.1999999999999</v>
      </c>
      <c r="Z29" s="106">
        <v>4</v>
      </c>
      <c r="AA29" s="106">
        <v>1353.6</v>
      </c>
      <c r="AB29" s="106">
        <v>4</v>
      </c>
      <c r="AC29" s="106">
        <v>1353.6</v>
      </c>
      <c r="AD29" s="106">
        <v>4</v>
      </c>
      <c r="AE29" s="106">
        <v>1353.6</v>
      </c>
      <c r="AF29" s="106">
        <v>3</v>
      </c>
      <c r="AG29" s="106">
        <v>1015.1999999999999</v>
      </c>
      <c r="AH29" s="106">
        <v>3</v>
      </c>
      <c r="AI29" s="106">
        <v>1015.1999999999999</v>
      </c>
      <c r="AJ29" s="106">
        <v>10</v>
      </c>
      <c r="AK29" s="106">
        <v>3384</v>
      </c>
      <c r="AL29" s="106">
        <v>7</v>
      </c>
      <c r="AM29" s="106">
        <v>2368.7999999999997</v>
      </c>
      <c r="AN29" s="106">
        <v>10</v>
      </c>
      <c r="AO29" s="106">
        <v>3384</v>
      </c>
      <c r="AP29" s="106">
        <v>12</v>
      </c>
      <c r="AQ29" s="106">
        <v>4060.7999999999997</v>
      </c>
      <c r="AR29" s="106">
        <v>33</v>
      </c>
      <c r="AS29" s="106">
        <v>11167.199999999999</v>
      </c>
      <c r="AT29" s="106">
        <v>38</v>
      </c>
      <c r="AU29" s="106">
        <v>12859.199999999999</v>
      </c>
      <c r="AV29" s="106">
        <v>29</v>
      </c>
      <c r="AW29" s="106">
        <v>9813.5999999999985</v>
      </c>
      <c r="AX29" s="106">
        <v>22</v>
      </c>
      <c r="AY29" s="106">
        <v>7444.7999999999993</v>
      </c>
      <c r="AZ29" s="106">
        <v>3</v>
      </c>
      <c r="BA29" s="106">
        <v>1015.1999999999999</v>
      </c>
      <c r="BB29" s="106">
        <v>2</v>
      </c>
      <c r="BC29" s="106">
        <v>676.8</v>
      </c>
      <c r="BD29" s="106">
        <v>4</v>
      </c>
      <c r="BE29" s="106">
        <v>1353.6</v>
      </c>
      <c r="BF29" s="106">
        <v>2</v>
      </c>
      <c r="BG29" s="106">
        <v>676.8</v>
      </c>
      <c r="BH29" s="106">
        <v>15</v>
      </c>
      <c r="BI29" s="106">
        <v>5076</v>
      </c>
      <c r="BJ29" s="106">
        <v>14</v>
      </c>
      <c r="BK29" s="106">
        <v>4737.5999999999995</v>
      </c>
      <c r="BL29" s="106">
        <v>17</v>
      </c>
      <c r="BM29" s="106">
        <v>5752.7999999999993</v>
      </c>
      <c r="BN29" s="106">
        <v>9</v>
      </c>
      <c r="BO29" s="106">
        <v>3045.6</v>
      </c>
      <c r="BP29" s="106">
        <v>4</v>
      </c>
      <c r="BQ29" s="106">
        <v>1353.6</v>
      </c>
      <c r="BR29" s="106">
        <v>3</v>
      </c>
      <c r="BS29" s="106">
        <v>1015.1999999999999</v>
      </c>
      <c r="BT29" s="106">
        <v>3</v>
      </c>
      <c r="BU29" s="106">
        <v>1015.1999999999999</v>
      </c>
      <c r="BV29" s="106">
        <v>2</v>
      </c>
      <c r="BW29" s="106">
        <v>676.8</v>
      </c>
      <c r="BX29" s="106">
        <v>25</v>
      </c>
      <c r="BY29" s="106">
        <v>8460</v>
      </c>
      <c r="BZ29" s="106">
        <v>18</v>
      </c>
      <c r="CA29" s="106">
        <v>6091.2</v>
      </c>
      <c r="CB29" s="106">
        <v>16</v>
      </c>
      <c r="CC29" s="106">
        <v>5414.4</v>
      </c>
      <c r="CD29" s="106">
        <v>26</v>
      </c>
      <c r="CE29" s="106">
        <v>8798.4</v>
      </c>
      <c r="CF29" s="106">
        <v>25</v>
      </c>
      <c r="CG29" s="106">
        <v>8460</v>
      </c>
      <c r="CH29" s="106">
        <v>25</v>
      </c>
      <c r="CI29" s="106">
        <v>8460</v>
      </c>
      <c r="CJ29" s="106">
        <v>31</v>
      </c>
      <c r="CK29" s="106">
        <v>10490.4</v>
      </c>
      <c r="CL29" s="106">
        <v>21</v>
      </c>
      <c r="CM29" s="106">
        <v>7106.4</v>
      </c>
      <c r="CN29" s="106">
        <v>21</v>
      </c>
      <c r="CO29" s="106">
        <v>7106.4</v>
      </c>
      <c r="CP29" s="106">
        <v>19</v>
      </c>
      <c r="CQ29" s="106">
        <v>6429.5999999999995</v>
      </c>
      <c r="CR29" s="106">
        <v>25</v>
      </c>
      <c r="CS29" s="106">
        <v>8460</v>
      </c>
      <c r="CT29" s="106">
        <v>26</v>
      </c>
      <c r="CU29" s="106">
        <v>8798.4</v>
      </c>
    </row>
    <row r="30" spans="2:99" x14ac:dyDescent="0.2">
      <c r="C30" s="105" t="s">
        <v>196</v>
      </c>
      <c r="D30" s="106">
        <v>3</v>
      </c>
      <c r="E30" s="106">
        <v>417.59999999999997</v>
      </c>
      <c r="F30" s="106">
        <v>3</v>
      </c>
      <c r="G30" s="106">
        <v>417.59999999999997</v>
      </c>
      <c r="H30" s="106">
        <v>2</v>
      </c>
      <c r="I30" s="106">
        <v>278.39999999999998</v>
      </c>
      <c r="J30" s="106">
        <v>4</v>
      </c>
      <c r="K30" s="106">
        <v>556.79999999999995</v>
      </c>
      <c r="L30" s="106">
        <v>17</v>
      </c>
      <c r="M30" s="106">
        <v>2366.3999999999996</v>
      </c>
      <c r="N30" s="106">
        <v>18</v>
      </c>
      <c r="O30" s="106">
        <v>2505.6</v>
      </c>
      <c r="P30" s="106">
        <v>15</v>
      </c>
      <c r="Q30" s="106">
        <v>2088</v>
      </c>
      <c r="R30" s="106">
        <v>22</v>
      </c>
      <c r="S30" s="106">
        <v>3062.3999999999996</v>
      </c>
      <c r="T30" s="106">
        <v>3</v>
      </c>
      <c r="U30" s="106">
        <v>417.59999999999997</v>
      </c>
      <c r="V30" s="106">
        <v>4</v>
      </c>
      <c r="W30" s="106">
        <v>556.79999999999995</v>
      </c>
      <c r="X30" s="106">
        <v>4</v>
      </c>
      <c r="Y30" s="106">
        <v>556.79999999999995</v>
      </c>
      <c r="Z30" s="106">
        <v>4</v>
      </c>
      <c r="AA30" s="106">
        <v>556.79999999999995</v>
      </c>
      <c r="AB30" s="106">
        <v>3</v>
      </c>
      <c r="AC30" s="106">
        <v>417.59999999999997</v>
      </c>
      <c r="AD30" s="106">
        <v>3</v>
      </c>
      <c r="AE30" s="106">
        <v>417.59999999999997</v>
      </c>
      <c r="AF30" s="106">
        <v>3</v>
      </c>
      <c r="AG30" s="106">
        <v>417.59999999999997</v>
      </c>
      <c r="AH30" s="106">
        <v>4</v>
      </c>
      <c r="AI30" s="106">
        <v>556.79999999999995</v>
      </c>
      <c r="AJ30" s="106">
        <v>10</v>
      </c>
      <c r="AK30" s="106">
        <v>1392</v>
      </c>
      <c r="AL30" s="106">
        <v>7</v>
      </c>
      <c r="AM30" s="106">
        <v>974.39999999999986</v>
      </c>
      <c r="AN30" s="106">
        <v>11</v>
      </c>
      <c r="AO30" s="106">
        <v>1531.1999999999998</v>
      </c>
      <c r="AP30" s="106">
        <v>12</v>
      </c>
      <c r="AQ30" s="106">
        <v>1670.3999999999999</v>
      </c>
      <c r="AR30" s="106">
        <v>36</v>
      </c>
      <c r="AS30" s="106">
        <v>5011.2</v>
      </c>
      <c r="AT30" s="106">
        <v>35</v>
      </c>
      <c r="AU30" s="106">
        <v>4872</v>
      </c>
      <c r="AV30" s="106">
        <v>30</v>
      </c>
      <c r="AW30" s="106">
        <v>4176</v>
      </c>
      <c r="AX30" s="106">
        <v>24</v>
      </c>
      <c r="AY30" s="106">
        <v>3340.7999999999997</v>
      </c>
      <c r="AZ30" s="106">
        <v>3</v>
      </c>
      <c r="BA30" s="106">
        <v>417.59999999999997</v>
      </c>
      <c r="BB30" s="106">
        <v>2</v>
      </c>
      <c r="BC30" s="106">
        <v>278.39999999999998</v>
      </c>
      <c r="BD30" s="106">
        <v>4</v>
      </c>
      <c r="BE30" s="106">
        <v>556.79999999999995</v>
      </c>
      <c r="BF30" s="106">
        <v>3</v>
      </c>
      <c r="BG30" s="106">
        <v>417.59999999999997</v>
      </c>
      <c r="BH30" s="106">
        <v>17</v>
      </c>
      <c r="BI30" s="106">
        <v>2366.3999999999996</v>
      </c>
      <c r="BJ30" s="106">
        <v>15</v>
      </c>
      <c r="BK30" s="106">
        <v>2088</v>
      </c>
      <c r="BL30" s="106">
        <v>16</v>
      </c>
      <c r="BM30" s="106">
        <v>2227.1999999999998</v>
      </c>
      <c r="BN30" s="106">
        <v>10</v>
      </c>
      <c r="BO30" s="106">
        <v>1392</v>
      </c>
      <c r="BP30" s="106">
        <v>4</v>
      </c>
      <c r="BQ30" s="106">
        <v>556.79999999999995</v>
      </c>
      <c r="BR30" s="106">
        <v>4</v>
      </c>
      <c r="BS30" s="106">
        <v>556.79999999999995</v>
      </c>
      <c r="BT30" s="106">
        <v>3</v>
      </c>
      <c r="BU30" s="106">
        <v>417.59999999999997</v>
      </c>
      <c r="BV30" s="106">
        <v>2</v>
      </c>
      <c r="BW30" s="106">
        <v>278.39999999999998</v>
      </c>
      <c r="BX30" s="106">
        <v>25</v>
      </c>
      <c r="BY30" s="106">
        <v>3479.9999999999995</v>
      </c>
      <c r="BZ30" s="106">
        <v>19</v>
      </c>
      <c r="CA30" s="106">
        <v>2644.7999999999997</v>
      </c>
      <c r="CB30" s="106">
        <v>16</v>
      </c>
      <c r="CC30" s="106">
        <v>2227.1999999999998</v>
      </c>
      <c r="CD30" s="106">
        <v>24</v>
      </c>
      <c r="CE30" s="106">
        <v>3340.7999999999997</v>
      </c>
      <c r="CF30" s="106">
        <v>27</v>
      </c>
      <c r="CG30" s="106">
        <v>3758.3999999999996</v>
      </c>
      <c r="CH30" s="106">
        <v>30</v>
      </c>
      <c r="CI30" s="106">
        <v>4176</v>
      </c>
      <c r="CJ30" s="106">
        <v>36</v>
      </c>
      <c r="CK30" s="106">
        <v>5011.2</v>
      </c>
      <c r="CL30" s="106">
        <v>26</v>
      </c>
      <c r="CM30" s="106">
        <v>3619.2</v>
      </c>
      <c r="CN30" s="106">
        <v>21</v>
      </c>
      <c r="CO30" s="106">
        <v>2923.2</v>
      </c>
      <c r="CP30" s="106">
        <v>20</v>
      </c>
      <c r="CQ30" s="106">
        <v>2784</v>
      </c>
      <c r="CR30" s="106">
        <v>23</v>
      </c>
      <c r="CS30" s="106">
        <v>3201.6</v>
      </c>
      <c r="CT30" s="106">
        <v>24</v>
      </c>
      <c r="CU30" s="106">
        <v>3340.7999999999997</v>
      </c>
    </row>
    <row r="31" spans="2:99" x14ac:dyDescent="0.2">
      <c r="C31" s="105" t="s">
        <v>197</v>
      </c>
      <c r="D31" s="106">
        <v>3</v>
      </c>
      <c r="E31" s="106">
        <v>1022.4000000000001</v>
      </c>
      <c r="F31" s="106">
        <v>2</v>
      </c>
      <c r="G31" s="106">
        <v>681.6</v>
      </c>
      <c r="H31" s="106">
        <v>2</v>
      </c>
      <c r="I31" s="106">
        <v>681.6</v>
      </c>
      <c r="J31" s="106">
        <v>4</v>
      </c>
      <c r="K31" s="106">
        <v>1363.2</v>
      </c>
      <c r="L31" s="106">
        <v>15</v>
      </c>
      <c r="M31" s="106">
        <v>5112</v>
      </c>
      <c r="N31" s="106">
        <v>17</v>
      </c>
      <c r="O31" s="106">
        <v>5793.6</v>
      </c>
      <c r="P31" s="106">
        <v>14</v>
      </c>
      <c r="Q31" s="106">
        <v>4771.2</v>
      </c>
      <c r="R31" s="106">
        <v>23</v>
      </c>
      <c r="S31" s="106">
        <v>7838.4000000000005</v>
      </c>
      <c r="T31" s="106">
        <v>3</v>
      </c>
      <c r="U31" s="106">
        <v>1022.4000000000001</v>
      </c>
      <c r="V31" s="106">
        <v>3</v>
      </c>
      <c r="W31" s="106">
        <v>1022.4000000000001</v>
      </c>
      <c r="X31" s="106">
        <v>4</v>
      </c>
      <c r="Y31" s="106">
        <v>1363.2</v>
      </c>
      <c r="Z31" s="106">
        <v>5</v>
      </c>
      <c r="AA31" s="106">
        <v>1704</v>
      </c>
      <c r="AB31" s="106">
        <v>3</v>
      </c>
      <c r="AC31" s="106">
        <v>1022.4000000000001</v>
      </c>
      <c r="AD31" s="106">
        <v>4</v>
      </c>
      <c r="AE31" s="106">
        <v>1363.2</v>
      </c>
      <c r="AF31" s="106">
        <v>3</v>
      </c>
      <c r="AG31" s="106">
        <v>1022.4000000000001</v>
      </c>
      <c r="AH31" s="106">
        <v>3</v>
      </c>
      <c r="AI31" s="106">
        <v>1022.4000000000001</v>
      </c>
      <c r="AJ31" s="106">
        <v>10</v>
      </c>
      <c r="AK31" s="106">
        <v>3408</v>
      </c>
      <c r="AL31" s="106">
        <v>7</v>
      </c>
      <c r="AM31" s="106">
        <v>2385.6</v>
      </c>
      <c r="AN31" s="106">
        <v>11</v>
      </c>
      <c r="AO31" s="106">
        <v>3748.8</v>
      </c>
      <c r="AP31" s="106">
        <v>11</v>
      </c>
      <c r="AQ31" s="106">
        <v>3748.8</v>
      </c>
      <c r="AR31" s="106">
        <v>31</v>
      </c>
      <c r="AS31" s="106">
        <v>10564.800000000001</v>
      </c>
      <c r="AT31" s="106">
        <v>32</v>
      </c>
      <c r="AU31" s="106">
        <v>10905.6</v>
      </c>
      <c r="AV31" s="106">
        <v>27</v>
      </c>
      <c r="AW31" s="106">
        <v>9201.6</v>
      </c>
      <c r="AX31" s="106">
        <v>23</v>
      </c>
      <c r="AY31" s="106">
        <v>7838.4000000000005</v>
      </c>
      <c r="AZ31" s="106">
        <v>3</v>
      </c>
      <c r="BA31" s="106">
        <v>1022.4000000000001</v>
      </c>
      <c r="BB31" s="106">
        <v>2</v>
      </c>
      <c r="BC31" s="106">
        <v>681.6</v>
      </c>
      <c r="BD31" s="106">
        <v>4</v>
      </c>
      <c r="BE31" s="106">
        <v>1363.2</v>
      </c>
      <c r="BF31" s="106">
        <v>3</v>
      </c>
      <c r="BG31" s="106">
        <v>1022.4000000000001</v>
      </c>
      <c r="BH31" s="106">
        <v>16</v>
      </c>
      <c r="BI31" s="106">
        <v>5452.8</v>
      </c>
      <c r="BJ31" s="106">
        <v>12</v>
      </c>
      <c r="BK31" s="106">
        <v>4089.6000000000004</v>
      </c>
      <c r="BL31" s="106">
        <v>15</v>
      </c>
      <c r="BM31" s="106">
        <v>5112</v>
      </c>
      <c r="BN31" s="106">
        <v>10</v>
      </c>
      <c r="BO31" s="106">
        <v>3408</v>
      </c>
      <c r="BP31" s="106">
        <v>4</v>
      </c>
      <c r="BQ31" s="106">
        <v>1363.2</v>
      </c>
      <c r="BR31" s="106">
        <v>4</v>
      </c>
      <c r="BS31" s="106">
        <v>1363.2</v>
      </c>
      <c r="BT31" s="106">
        <v>3</v>
      </c>
      <c r="BU31" s="106">
        <v>1022.4000000000001</v>
      </c>
      <c r="BV31" s="106">
        <v>2</v>
      </c>
      <c r="BW31" s="106">
        <v>681.6</v>
      </c>
      <c r="BX31" s="106">
        <v>28</v>
      </c>
      <c r="BY31" s="106">
        <v>9542.4</v>
      </c>
      <c r="BZ31" s="106">
        <v>20</v>
      </c>
      <c r="CA31" s="106">
        <v>6816</v>
      </c>
      <c r="CB31" s="106">
        <v>15</v>
      </c>
      <c r="CC31" s="106">
        <v>5112</v>
      </c>
      <c r="CD31" s="106">
        <v>24</v>
      </c>
      <c r="CE31" s="106">
        <v>8179.2000000000007</v>
      </c>
      <c r="CF31" s="106">
        <v>26</v>
      </c>
      <c r="CG31" s="106">
        <v>8860.8000000000011</v>
      </c>
      <c r="CH31" s="106">
        <v>29</v>
      </c>
      <c r="CI31" s="106">
        <v>9883.2000000000007</v>
      </c>
      <c r="CJ31" s="106">
        <v>33</v>
      </c>
      <c r="CK31" s="106">
        <v>11246.4</v>
      </c>
      <c r="CL31" s="106">
        <v>23</v>
      </c>
      <c r="CM31" s="106">
        <v>7838.4000000000005</v>
      </c>
      <c r="CN31" s="106">
        <v>22</v>
      </c>
      <c r="CO31" s="106">
        <v>7497.6</v>
      </c>
      <c r="CP31" s="106">
        <v>21</v>
      </c>
      <c r="CQ31" s="106">
        <v>7156.8</v>
      </c>
      <c r="CR31" s="106">
        <v>21</v>
      </c>
      <c r="CS31" s="106">
        <v>7156.8</v>
      </c>
      <c r="CT31" s="106">
        <v>26</v>
      </c>
      <c r="CU31" s="106">
        <v>8860.8000000000011</v>
      </c>
    </row>
    <row r="32" spans="2:99" x14ac:dyDescent="0.2">
      <c r="C32" s="105" t="s">
        <v>198</v>
      </c>
      <c r="D32" s="106">
        <v>3</v>
      </c>
      <c r="E32" s="106">
        <v>2520</v>
      </c>
      <c r="F32" s="106">
        <v>2</v>
      </c>
      <c r="G32" s="106">
        <v>1680</v>
      </c>
      <c r="H32" s="106">
        <v>2</v>
      </c>
      <c r="I32" s="106">
        <v>1680</v>
      </c>
      <c r="J32" s="106">
        <v>3</v>
      </c>
      <c r="K32" s="106">
        <v>2520</v>
      </c>
      <c r="L32" s="106">
        <v>15</v>
      </c>
      <c r="M32" s="106">
        <v>12600</v>
      </c>
      <c r="N32" s="106">
        <v>17</v>
      </c>
      <c r="O32" s="106">
        <v>14280</v>
      </c>
      <c r="P32" s="106">
        <v>13</v>
      </c>
      <c r="Q32" s="106">
        <v>10920</v>
      </c>
      <c r="R32" s="106">
        <v>19</v>
      </c>
      <c r="S32" s="106">
        <v>15960</v>
      </c>
      <c r="T32" s="106">
        <v>3</v>
      </c>
      <c r="U32" s="106">
        <v>2520</v>
      </c>
      <c r="V32" s="106">
        <v>3</v>
      </c>
      <c r="W32" s="106">
        <v>2520</v>
      </c>
      <c r="X32" s="106">
        <v>3</v>
      </c>
      <c r="Y32" s="106">
        <v>2520</v>
      </c>
      <c r="Z32" s="106">
        <v>5</v>
      </c>
      <c r="AA32" s="106">
        <v>4200</v>
      </c>
      <c r="AB32" s="106">
        <v>3</v>
      </c>
      <c r="AC32" s="106">
        <v>2520</v>
      </c>
      <c r="AD32" s="106">
        <v>3</v>
      </c>
      <c r="AE32" s="106">
        <v>2520</v>
      </c>
      <c r="AF32" s="106">
        <v>3</v>
      </c>
      <c r="AG32" s="106">
        <v>2520</v>
      </c>
      <c r="AH32" s="106">
        <v>3</v>
      </c>
      <c r="AI32" s="106">
        <v>2520</v>
      </c>
      <c r="AJ32" s="106">
        <v>9</v>
      </c>
      <c r="AK32" s="106">
        <v>7560</v>
      </c>
      <c r="AL32" s="106">
        <v>7</v>
      </c>
      <c r="AM32" s="106">
        <v>5880</v>
      </c>
      <c r="AN32" s="106">
        <v>10</v>
      </c>
      <c r="AO32" s="106">
        <v>8400</v>
      </c>
      <c r="AP32" s="106">
        <v>11</v>
      </c>
      <c r="AQ32" s="106">
        <v>9240</v>
      </c>
      <c r="AR32" s="106">
        <v>29</v>
      </c>
      <c r="AS32" s="106">
        <v>24360</v>
      </c>
      <c r="AT32" s="106">
        <v>33</v>
      </c>
      <c r="AU32" s="106">
        <v>27720</v>
      </c>
      <c r="AV32" s="106">
        <v>27</v>
      </c>
      <c r="AW32" s="106">
        <v>22680</v>
      </c>
      <c r="AX32" s="106">
        <v>20</v>
      </c>
      <c r="AY32" s="106">
        <v>16800</v>
      </c>
      <c r="AZ32" s="106">
        <v>3</v>
      </c>
      <c r="BA32" s="106">
        <v>2520</v>
      </c>
      <c r="BB32" s="106">
        <v>2</v>
      </c>
      <c r="BC32" s="106">
        <v>1680</v>
      </c>
      <c r="BD32" s="106">
        <v>4</v>
      </c>
      <c r="BE32" s="106">
        <v>3360</v>
      </c>
      <c r="BF32" s="106">
        <v>2</v>
      </c>
      <c r="BG32" s="106">
        <v>1680</v>
      </c>
      <c r="BH32" s="106">
        <v>14</v>
      </c>
      <c r="BI32" s="106">
        <v>11760</v>
      </c>
      <c r="BJ32" s="106">
        <v>12</v>
      </c>
      <c r="BK32" s="106">
        <v>10080</v>
      </c>
      <c r="BL32" s="106">
        <v>15</v>
      </c>
      <c r="BM32" s="106">
        <v>12600</v>
      </c>
      <c r="BN32" s="106">
        <v>9</v>
      </c>
      <c r="BO32" s="106">
        <v>7560</v>
      </c>
      <c r="BP32" s="106">
        <v>3</v>
      </c>
      <c r="BQ32" s="106">
        <v>2520</v>
      </c>
      <c r="BR32" s="106">
        <v>4</v>
      </c>
      <c r="BS32" s="106">
        <v>3360</v>
      </c>
      <c r="BT32" s="106">
        <v>3</v>
      </c>
      <c r="BU32" s="106">
        <v>2520</v>
      </c>
      <c r="BV32" s="106">
        <v>2</v>
      </c>
      <c r="BW32" s="106">
        <v>1680</v>
      </c>
      <c r="BX32" s="106">
        <v>25</v>
      </c>
      <c r="BY32" s="106">
        <v>21000</v>
      </c>
      <c r="BZ32" s="106">
        <v>17</v>
      </c>
      <c r="CA32" s="106">
        <v>14280</v>
      </c>
      <c r="CB32" s="106">
        <v>13</v>
      </c>
      <c r="CC32" s="106">
        <v>10920</v>
      </c>
      <c r="CD32" s="106">
        <v>20</v>
      </c>
      <c r="CE32" s="106">
        <v>16800</v>
      </c>
      <c r="CF32" s="106">
        <v>23</v>
      </c>
      <c r="CG32" s="106">
        <v>19320</v>
      </c>
      <c r="CH32" s="106">
        <v>24</v>
      </c>
      <c r="CI32" s="106">
        <v>20160</v>
      </c>
      <c r="CJ32" s="106">
        <v>33</v>
      </c>
      <c r="CK32" s="106">
        <v>27720</v>
      </c>
      <c r="CL32" s="106">
        <v>22</v>
      </c>
      <c r="CM32" s="106">
        <v>18480</v>
      </c>
      <c r="CN32" s="106">
        <v>19</v>
      </c>
      <c r="CO32" s="106">
        <v>15960</v>
      </c>
      <c r="CP32" s="106">
        <v>20</v>
      </c>
      <c r="CQ32" s="106">
        <v>16800</v>
      </c>
      <c r="CR32" s="106">
        <v>23</v>
      </c>
      <c r="CS32" s="106">
        <v>19320</v>
      </c>
      <c r="CT32" s="106">
        <v>24</v>
      </c>
      <c r="CU32" s="106">
        <v>20160</v>
      </c>
    </row>
    <row r="33" spans="2:99" x14ac:dyDescent="0.2">
      <c r="C33" s="105" t="s">
        <v>199</v>
      </c>
      <c r="D33" s="106">
        <v>2</v>
      </c>
      <c r="E33" s="106">
        <v>948</v>
      </c>
      <c r="F33" s="106">
        <v>2</v>
      </c>
      <c r="G33" s="106">
        <v>948</v>
      </c>
      <c r="H33" s="106">
        <v>2</v>
      </c>
      <c r="I33" s="106">
        <v>948</v>
      </c>
      <c r="J33" s="106">
        <v>4</v>
      </c>
      <c r="K33" s="106">
        <v>1896</v>
      </c>
      <c r="L33" s="106">
        <v>15</v>
      </c>
      <c r="M33" s="106">
        <v>7110</v>
      </c>
      <c r="N33" s="106">
        <v>17</v>
      </c>
      <c r="O33" s="106">
        <v>8058</v>
      </c>
      <c r="P33" s="106">
        <v>14</v>
      </c>
      <c r="Q33" s="106">
        <v>6636</v>
      </c>
      <c r="R33" s="106">
        <v>22</v>
      </c>
      <c r="S33" s="106">
        <v>10428</v>
      </c>
      <c r="T33" s="106">
        <v>3</v>
      </c>
      <c r="U33" s="106">
        <v>1422</v>
      </c>
      <c r="V33" s="106">
        <v>4</v>
      </c>
      <c r="W33" s="106">
        <v>1896</v>
      </c>
      <c r="X33" s="106">
        <v>4</v>
      </c>
      <c r="Y33" s="106">
        <v>1896</v>
      </c>
      <c r="Z33" s="106">
        <v>5</v>
      </c>
      <c r="AA33" s="106">
        <v>2370</v>
      </c>
      <c r="AB33" s="106">
        <v>4</v>
      </c>
      <c r="AC33" s="106">
        <v>1896</v>
      </c>
      <c r="AD33" s="106">
        <v>3</v>
      </c>
      <c r="AE33" s="106">
        <v>1422</v>
      </c>
      <c r="AF33" s="106">
        <v>3</v>
      </c>
      <c r="AG33" s="106">
        <v>1422</v>
      </c>
      <c r="AH33" s="106">
        <v>3</v>
      </c>
      <c r="AI33" s="106">
        <v>1422</v>
      </c>
      <c r="AJ33" s="106">
        <v>10</v>
      </c>
      <c r="AK33" s="106">
        <v>4740</v>
      </c>
      <c r="AL33" s="106">
        <v>8</v>
      </c>
      <c r="AM33" s="106">
        <v>3792</v>
      </c>
      <c r="AN33" s="106">
        <v>10</v>
      </c>
      <c r="AO33" s="106">
        <v>4740</v>
      </c>
      <c r="AP33" s="106">
        <v>11</v>
      </c>
      <c r="AQ33" s="106">
        <v>5214</v>
      </c>
      <c r="AR33" s="106">
        <v>31</v>
      </c>
      <c r="AS33" s="106">
        <v>14694</v>
      </c>
      <c r="AT33" s="106">
        <v>37</v>
      </c>
      <c r="AU33" s="106">
        <v>17538</v>
      </c>
      <c r="AV33" s="106">
        <v>28</v>
      </c>
      <c r="AW33" s="106">
        <v>13272</v>
      </c>
      <c r="AX33" s="106">
        <v>23</v>
      </c>
      <c r="AY33" s="106">
        <v>10902</v>
      </c>
      <c r="AZ33" s="106">
        <v>3</v>
      </c>
      <c r="BA33" s="106">
        <v>1422</v>
      </c>
      <c r="BB33" s="106">
        <v>2</v>
      </c>
      <c r="BC33" s="106">
        <v>948</v>
      </c>
      <c r="BD33" s="106">
        <v>4</v>
      </c>
      <c r="BE33" s="106">
        <v>1896</v>
      </c>
      <c r="BF33" s="106">
        <v>3</v>
      </c>
      <c r="BG33" s="106">
        <v>1422</v>
      </c>
      <c r="BH33" s="106">
        <v>16</v>
      </c>
      <c r="BI33" s="106">
        <v>7584</v>
      </c>
      <c r="BJ33" s="106">
        <v>14</v>
      </c>
      <c r="BK33" s="106">
        <v>6636</v>
      </c>
      <c r="BL33" s="106">
        <v>15</v>
      </c>
      <c r="BM33" s="106">
        <v>7110</v>
      </c>
      <c r="BN33" s="106">
        <v>10</v>
      </c>
      <c r="BO33" s="106">
        <v>4740</v>
      </c>
      <c r="BP33" s="106">
        <v>4</v>
      </c>
      <c r="BQ33" s="106">
        <v>1896</v>
      </c>
      <c r="BR33" s="106">
        <v>4</v>
      </c>
      <c r="BS33" s="106">
        <v>1896</v>
      </c>
      <c r="BT33" s="106">
        <v>3</v>
      </c>
      <c r="BU33" s="106">
        <v>1422</v>
      </c>
      <c r="BV33" s="106">
        <v>2</v>
      </c>
      <c r="BW33" s="106">
        <v>948</v>
      </c>
      <c r="BX33" s="106">
        <v>25</v>
      </c>
      <c r="BY33" s="106">
        <v>11850</v>
      </c>
      <c r="BZ33" s="106">
        <v>17</v>
      </c>
      <c r="CA33" s="106">
        <v>8058</v>
      </c>
      <c r="CB33" s="106">
        <v>14</v>
      </c>
      <c r="CC33" s="106">
        <v>6636</v>
      </c>
      <c r="CD33" s="106">
        <v>24</v>
      </c>
      <c r="CE33" s="106">
        <v>11376</v>
      </c>
      <c r="CF33" s="106">
        <v>26</v>
      </c>
      <c r="CG33" s="106">
        <v>12324</v>
      </c>
      <c r="CH33" s="106">
        <v>25</v>
      </c>
      <c r="CI33" s="106">
        <v>11850</v>
      </c>
      <c r="CJ33" s="106">
        <v>32</v>
      </c>
      <c r="CK33" s="106">
        <v>15168</v>
      </c>
      <c r="CL33" s="106">
        <v>24</v>
      </c>
      <c r="CM33" s="106">
        <v>11376</v>
      </c>
      <c r="CN33" s="106">
        <v>18</v>
      </c>
      <c r="CO33" s="106">
        <v>8532</v>
      </c>
      <c r="CP33" s="106">
        <v>20</v>
      </c>
      <c r="CQ33" s="106">
        <v>9480</v>
      </c>
      <c r="CR33" s="106">
        <v>21</v>
      </c>
      <c r="CS33" s="106">
        <v>9954</v>
      </c>
      <c r="CT33" s="106">
        <v>23</v>
      </c>
      <c r="CU33" s="106">
        <v>10902</v>
      </c>
    </row>
    <row r="34" spans="2:99" x14ac:dyDescent="0.2">
      <c r="C34" s="105" t="s">
        <v>200</v>
      </c>
      <c r="D34" s="106">
        <v>2</v>
      </c>
      <c r="E34" s="106">
        <v>1096.8</v>
      </c>
      <c r="F34" s="106">
        <v>2</v>
      </c>
      <c r="G34" s="106">
        <v>1096.8</v>
      </c>
      <c r="H34" s="106">
        <v>2</v>
      </c>
      <c r="I34" s="106">
        <v>1096.8</v>
      </c>
      <c r="J34" s="106">
        <v>4</v>
      </c>
      <c r="K34" s="106">
        <v>2193.6</v>
      </c>
      <c r="L34" s="106">
        <v>16</v>
      </c>
      <c r="M34" s="106">
        <v>8774.4</v>
      </c>
      <c r="N34" s="106">
        <v>17</v>
      </c>
      <c r="O34" s="106">
        <v>9322.7999999999993</v>
      </c>
      <c r="P34" s="106">
        <v>16</v>
      </c>
      <c r="Q34" s="106">
        <v>8774.4</v>
      </c>
      <c r="R34" s="106">
        <v>21</v>
      </c>
      <c r="S34" s="106">
        <v>11516.4</v>
      </c>
      <c r="T34" s="106">
        <v>3</v>
      </c>
      <c r="U34" s="106">
        <v>1645.1999999999998</v>
      </c>
      <c r="V34" s="106">
        <v>4</v>
      </c>
      <c r="W34" s="106">
        <v>2193.6</v>
      </c>
      <c r="X34" s="106">
        <v>4</v>
      </c>
      <c r="Y34" s="106">
        <v>2193.6</v>
      </c>
      <c r="Z34" s="106">
        <v>5</v>
      </c>
      <c r="AA34" s="106">
        <v>2742</v>
      </c>
      <c r="AB34" s="106">
        <v>4</v>
      </c>
      <c r="AC34" s="106">
        <v>2193.6</v>
      </c>
      <c r="AD34" s="106">
        <v>3</v>
      </c>
      <c r="AE34" s="106">
        <v>1645.1999999999998</v>
      </c>
      <c r="AF34" s="106">
        <v>3</v>
      </c>
      <c r="AG34" s="106">
        <v>1645.1999999999998</v>
      </c>
      <c r="AH34" s="106">
        <v>3</v>
      </c>
      <c r="AI34" s="106">
        <v>1645.1999999999998</v>
      </c>
      <c r="AJ34" s="106">
        <v>11</v>
      </c>
      <c r="AK34" s="106">
        <v>6032.4</v>
      </c>
      <c r="AL34" s="106">
        <v>7</v>
      </c>
      <c r="AM34" s="106">
        <v>3838.7999999999997</v>
      </c>
      <c r="AN34" s="106">
        <v>11</v>
      </c>
      <c r="AO34" s="106">
        <v>6032.4</v>
      </c>
      <c r="AP34" s="106">
        <v>11</v>
      </c>
      <c r="AQ34" s="106">
        <v>6032.4</v>
      </c>
      <c r="AR34" s="106">
        <v>30</v>
      </c>
      <c r="AS34" s="106">
        <v>16452</v>
      </c>
      <c r="AT34" s="106">
        <v>33</v>
      </c>
      <c r="AU34" s="106">
        <v>18097.2</v>
      </c>
      <c r="AV34" s="106">
        <v>26</v>
      </c>
      <c r="AW34" s="106">
        <v>14258.4</v>
      </c>
      <c r="AX34" s="106">
        <v>20</v>
      </c>
      <c r="AY34" s="106">
        <v>10968</v>
      </c>
      <c r="AZ34" s="106">
        <v>3</v>
      </c>
      <c r="BA34" s="106">
        <v>1645.1999999999998</v>
      </c>
      <c r="BB34" s="106">
        <v>2</v>
      </c>
      <c r="BC34" s="106">
        <v>1096.8</v>
      </c>
      <c r="BD34" s="106">
        <v>4</v>
      </c>
      <c r="BE34" s="106">
        <v>2193.6</v>
      </c>
      <c r="BF34" s="106">
        <v>3</v>
      </c>
      <c r="BG34" s="106">
        <v>1645.1999999999998</v>
      </c>
      <c r="BH34" s="106">
        <v>15</v>
      </c>
      <c r="BI34" s="106">
        <v>8226</v>
      </c>
      <c r="BJ34" s="106">
        <v>14</v>
      </c>
      <c r="BK34" s="106">
        <v>7677.5999999999995</v>
      </c>
      <c r="BL34" s="106">
        <v>16</v>
      </c>
      <c r="BM34" s="106">
        <v>8774.4</v>
      </c>
      <c r="BN34" s="106">
        <v>9</v>
      </c>
      <c r="BO34" s="106">
        <v>4935.5999999999995</v>
      </c>
      <c r="BP34" s="106">
        <v>3</v>
      </c>
      <c r="BQ34" s="106">
        <v>1645.1999999999998</v>
      </c>
      <c r="BR34" s="106">
        <v>4</v>
      </c>
      <c r="BS34" s="106">
        <v>2193.6</v>
      </c>
      <c r="BT34" s="106">
        <v>3</v>
      </c>
      <c r="BU34" s="106">
        <v>1645.1999999999998</v>
      </c>
      <c r="BV34" s="106">
        <v>2</v>
      </c>
      <c r="BW34" s="106">
        <v>1096.8</v>
      </c>
      <c r="BX34" s="106">
        <v>25</v>
      </c>
      <c r="BY34" s="106">
        <v>13710</v>
      </c>
      <c r="BZ34" s="106">
        <v>19</v>
      </c>
      <c r="CA34" s="106">
        <v>10419.6</v>
      </c>
      <c r="CB34" s="106">
        <v>14</v>
      </c>
      <c r="CC34" s="106">
        <v>7677.5999999999995</v>
      </c>
      <c r="CD34" s="106">
        <v>23</v>
      </c>
      <c r="CE34" s="106">
        <v>12613.199999999999</v>
      </c>
      <c r="CF34" s="106">
        <v>24</v>
      </c>
      <c r="CG34" s="106">
        <v>13161.599999999999</v>
      </c>
      <c r="CH34" s="106">
        <v>24</v>
      </c>
      <c r="CI34" s="106">
        <v>13161.599999999999</v>
      </c>
      <c r="CJ34" s="106">
        <v>32</v>
      </c>
      <c r="CK34" s="106">
        <v>17548.8</v>
      </c>
      <c r="CL34" s="106">
        <v>20</v>
      </c>
      <c r="CM34" s="106">
        <v>10968</v>
      </c>
      <c r="CN34" s="106">
        <v>21</v>
      </c>
      <c r="CO34" s="106">
        <v>11516.4</v>
      </c>
      <c r="CP34" s="106">
        <v>20</v>
      </c>
      <c r="CQ34" s="106">
        <v>10968</v>
      </c>
      <c r="CR34" s="106">
        <v>22</v>
      </c>
      <c r="CS34" s="106">
        <v>12064.8</v>
      </c>
      <c r="CT34" s="106">
        <v>23</v>
      </c>
      <c r="CU34" s="106">
        <v>12613.199999999999</v>
      </c>
    </row>
    <row r="35" spans="2:99" x14ac:dyDescent="0.2">
      <c r="C35" s="105" t="s">
        <v>201</v>
      </c>
      <c r="D35" s="106">
        <v>2</v>
      </c>
      <c r="E35" s="106">
        <v>1005.5999999999998</v>
      </c>
      <c r="F35" s="106">
        <v>2</v>
      </c>
      <c r="G35" s="106">
        <v>1005.5999999999998</v>
      </c>
      <c r="H35" s="106">
        <v>2</v>
      </c>
      <c r="I35" s="106">
        <v>1005.5999999999998</v>
      </c>
      <c r="J35" s="106">
        <v>4</v>
      </c>
      <c r="K35" s="106">
        <v>2011.1999999999996</v>
      </c>
      <c r="L35" s="106">
        <v>15</v>
      </c>
      <c r="M35" s="106">
        <v>7541.9999999999982</v>
      </c>
      <c r="N35" s="106">
        <v>16</v>
      </c>
      <c r="O35" s="106">
        <v>8044.7999999999984</v>
      </c>
      <c r="P35" s="106">
        <v>14</v>
      </c>
      <c r="Q35" s="106">
        <v>7039.1999999999989</v>
      </c>
      <c r="R35" s="106">
        <v>22</v>
      </c>
      <c r="S35" s="106">
        <v>11061.599999999999</v>
      </c>
      <c r="T35" s="106">
        <v>3</v>
      </c>
      <c r="U35" s="106">
        <v>1508.3999999999996</v>
      </c>
      <c r="V35" s="106">
        <v>3</v>
      </c>
      <c r="W35" s="106">
        <v>1508.3999999999996</v>
      </c>
      <c r="X35" s="106">
        <v>4</v>
      </c>
      <c r="Y35" s="106">
        <v>2011.1999999999996</v>
      </c>
      <c r="Z35" s="106">
        <v>5</v>
      </c>
      <c r="AA35" s="106">
        <v>2513.9999999999995</v>
      </c>
      <c r="AB35" s="106">
        <v>3</v>
      </c>
      <c r="AC35" s="106">
        <v>1508.3999999999996</v>
      </c>
      <c r="AD35" s="106">
        <v>3</v>
      </c>
      <c r="AE35" s="106">
        <v>1508.3999999999996</v>
      </c>
      <c r="AF35" s="106">
        <v>3</v>
      </c>
      <c r="AG35" s="106">
        <v>1508.3999999999996</v>
      </c>
      <c r="AH35" s="106">
        <v>3</v>
      </c>
      <c r="AI35" s="106">
        <v>1508.3999999999996</v>
      </c>
      <c r="AJ35" s="106">
        <v>9</v>
      </c>
      <c r="AK35" s="106">
        <v>4525.1999999999989</v>
      </c>
      <c r="AL35" s="106">
        <v>8</v>
      </c>
      <c r="AM35" s="106">
        <v>4022.3999999999992</v>
      </c>
      <c r="AN35" s="106">
        <v>9</v>
      </c>
      <c r="AO35" s="106">
        <v>4525.1999999999989</v>
      </c>
      <c r="AP35" s="106">
        <v>12</v>
      </c>
      <c r="AQ35" s="106">
        <v>6033.5999999999985</v>
      </c>
      <c r="AR35" s="106">
        <v>34</v>
      </c>
      <c r="AS35" s="106">
        <v>17095.199999999997</v>
      </c>
      <c r="AT35" s="106">
        <v>31</v>
      </c>
      <c r="AU35" s="106">
        <v>15586.799999999997</v>
      </c>
      <c r="AV35" s="106">
        <v>28</v>
      </c>
      <c r="AW35" s="106">
        <v>14078.399999999998</v>
      </c>
      <c r="AX35" s="106">
        <v>22</v>
      </c>
      <c r="AY35" s="106">
        <v>11061.599999999999</v>
      </c>
      <c r="AZ35" s="106">
        <v>3</v>
      </c>
      <c r="BA35" s="106">
        <v>1508.3999999999996</v>
      </c>
      <c r="BB35" s="106">
        <v>2</v>
      </c>
      <c r="BC35" s="106">
        <v>1005.5999999999998</v>
      </c>
      <c r="BD35" s="106">
        <v>4</v>
      </c>
      <c r="BE35" s="106">
        <v>2011.1999999999996</v>
      </c>
      <c r="BF35" s="106">
        <v>3</v>
      </c>
      <c r="BG35" s="106">
        <v>1508.3999999999996</v>
      </c>
      <c r="BH35" s="106">
        <v>15</v>
      </c>
      <c r="BI35" s="106">
        <v>7541.9999999999982</v>
      </c>
      <c r="BJ35" s="106">
        <v>12</v>
      </c>
      <c r="BK35" s="106">
        <v>6033.5999999999985</v>
      </c>
      <c r="BL35" s="106">
        <v>14</v>
      </c>
      <c r="BM35" s="106">
        <v>7039.1999999999989</v>
      </c>
      <c r="BN35" s="106">
        <v>10</v>
      </c>
      <c r="BO35" s="106">
        <v>5027.9999999999991</v>
      </c>
      <c r="BP35" s="106">
        <v>4</v>
      </c>
      <c r="BQ35" s="106">
        <v>2011.1999999999996</v>
      </c>
      <c r="BR35" s="106">
        <v>4</v>
      </c>
      <c r="BS35" s="106">
        <v>2011.1999999999996</v>
      </c>
      <c r="BT35" s="106">
        <v>3</v>
      </c>
      <c r="BU35" s="106">
        <v>1508.3999999999996</v>
      </c>
      <c r="BV35" s="106">
        <v>2</v>
      </c>
      <c r="BW35" s="106">
        <v>1005.5999999999998</v>
      </c>
      <c r="BX35" s="106">
        <v>27</v>
      </c>
      <c r="BY35" s="106">
        <v>13575.599999999997</v>
      </c>
      <c r="BZ35" s="106">
        <v>17</v>
      </c>
      <c r="CA35" s="106">
        <v>8547.5999999999985</v>
      </c>
      <c r="CB35" s="106">
        <v>16</v>
      </c>
      <c r="CC35" s="106">
        <v>8044.7999999999984</v>
      </c>
      <c r="CD35" s="106">
        <v>22</v>
      </c>
      <c r="CE35" s="106">
        <v>11061.599999999999</v>
      </c>
      <c r="CF35" s="106">
        <v>26</v>
      </c>
      <c r="CG35" s="106">
        <v>13072.799999999997</v>
      </c>
      <c r="CH35" s="106">
        <v>26</v>
      </c>
      <c r="CI35" s="106">
        <v>13072.799999999997</v>
      </c>
      <c r="CJ35" s="106">
        <v>29</v>
      </c>
      <c r="CK35" s="106">
        <v>14581.199999999997</v>
      </c>
      <c r="CL35" s="106">
        <v>21</v>
      </c>
      <c r="CM35" s="106">
        <v>10558.799999999997</v>
      </c>
      <c r="CN35" s="106">
        <v>21</v>
      </c>
      <c r="CO35" s="106">
        <v>10558.799999999997</v>
      </c>
      <c r="CP35" s="106">
        <v>19</v>
      </c>
      <c r="CQ35" s="106">
        <v>9553.1999999999989</v>
      </c>
      <c r="CR35" s="106">
        <v>24</v>
      </c>
      <c r="CS35" s="106">
        <v>12067.199999999997</v>
      </c>
      <c r="CT35" s="106">
        <v>25</v>
      </c>
      <c r="CU35" s="106">
        <v>12569.999999999998</v>
      </c>
    </row>
    <row r="36" spans="2:99" x14ac:dyDescent="0.2">
      <c r="C36" s="105" t="s">
        <v>202</v>
      </c>
      <c r="D36" s="106">
        <v>3</v>
      </c>
      <c r="E36" s="106">
        <v>2282.3999999999996</v>
      </c>
      <c r="F36" s="106">
        <v>2</v>
      </c>
      <c r="G36" s="106">
        <v>1521.6</v>
      </c>
      <c r="H36" s="106">
        <v>2</v>
      </c>
      <c r="I36" s="106">
        <v>1521.6</v>
      </c>
      <c r="J36" s="106">
        <v>3</v>
      </c>
      <c r="K36" s="106">
        <v>2282.3999999999996</v>
      </c>
      <c r="L36" s="106">
        <v>15</v>
      </c>
      <c r="M36" s="106">
        <v>11412</v>
      </c>
      <c r="N36" s="106">
        <v>16</v>
      </c>
      <c r="O36" s="106">
        <v>12172.8</v>
      </c>
      <c r="P36" s="106">
        <v>15</v>
      </c>
      <c r="Q36" s="106">
        <v>11412</v>
      </c>
      <c r="R36" s="106">
        <v>20</v>
      </c>
      <c r="S36" s="106">
        <v>15216</v>
      </c>
      <c r="T36" s="106">
        <v>2</v>
      </c>
      <c r="U36" s="106">
        <v>1521.6</v>
      </c>
      <c r="V36" s="106">
        <v>3</v>
      </c>
      <c r="W36" s="106">
        <v>2282.3999999999996</v>
      </c>
      <c r="X36" s="106">
        <v>4</v>
      </c>
      <c r="Y36" s="106">
        <v>3043.2</v>
      </c>
      <c r="Z36" s="106">
        <v>5</v>
      </c>
      <c r="AA36" s="106">
        <v>3804</v>
      </c>
      <c r="AB36" s="106">
        <v>3</v>
      </c>
      <c r="AC36" s="106">
        <v>2282.3999999999996</v>
      </c>
      <c r="AD36" s="106">
        <v>3</v>
      </c>
      <c r="AE36" s="106">
        <v>2282.3999999999996</v>
      </c>
      <c r="AF36" s="106">
        <v>3</v>
      </c>
      <c r="AG36" s="106">
        <v>2282.3999999999996</v>
      </c>
      <c r="AH36" s="106">
        <v>3</v>
      </c>
      <c r="AI36" s="106">
        <v>2282.3999999999996</v>
      </c>
      <c r="AJ36" s="106">
        <v>10</v>
      </c>
      <c r="AK36" s="106">
        <v>7608</v>
      </c>
      <c r="AL36" s="106">
        <v>7</v>
      </c>
      <c r="AM36" s="106">
        <v>5325.5999999999995</v>
      </c>
      <c r="AN36" s="106">
        <v>10</v>
      </c>
      <c r="AO36" s="106">
        <v>7608</v>
      </c>
      <c r="AP36" s="106">
        <v>11</v>
      </c>
      <c r="AQ36" s="106">
        <v>8368.7999999999993</v>
      </c>
      <c r="AR36" s="106">
        <v>33</v>
      </c>
      <c r="AS36" s="106">
        <v>25106.399999999998</v>
      </c>
      <c r="AT36" s="106">
        <v>33</v>
      </c>
      <c r="AU36" s="106">
        <v>25106.399999999998</v>
      </c>
      <c r="AV36" s="106">
        <v>25</v>
      </c>
      <c r="AW36" s="106">
        <v>19020</v>
      </c>
      <c r="AX36" s="106">
        <v>21</v>
      </c>
      <c r="AY36" s="106">
        <v>15976.8</v>
      </c>
      <c r="AZ36" s="106">
        <v>3</v>
      </c>
      <c r="BA36" s="106">
        <v>2282.3999999999996</v>
      </c>
      <c r="BB36" s="106">
        <v>2</v>
      </c>
      <c r="BC36" s="106">
        <v>1521.6</v>
      </c>
      <c r="BD36" s="106">
        <v>4</v>
      </c>
      <c r="BE36" s="106">
        <v>3043.2</v>
      </c>
      <c r="BF36" s="106">
        <v>3</v>
      </c>
      <c r="BG36" s="106">
        <v>2282.3999999999996</v>
      </c>
      <c r="BH36" s="106">
        <v>15</v>
      </c>
      <c r="BI36" s="106">
        <v>11412</v>
      </c>
      <c r="BJ36" s="106">
        <v>13</v>
      </c>
      <c r="BK36" s="106">
        <v>9890.4</v>
      </c>
      <c r="BL36" s="106">
        <v>14</v>
      </c>
      <c r="BM36" s="106">
        <v>10651.199999999999</v>
      </c>
      <c r="BN36" s="106">
        <v>10</v>
      </c>
      <c r="BO36" s="106">
        <v>7608</v>
      </c>
      <c r="BP36" s="106">
        <v>3</v>
      </c>
      <c r="BQ36" s="106">
        <v>2282.3999999999996</v>
      </c>
      <c r="BR36" s="106">
        <v>3</v>
      </c>
      <c r="BS36" s="106">
        <v>2282.3999999999996</v>
      </c>
      <c r="BT36" s="106">
        <v>3</v>
      </c>
      <c r="BU36" s="106">
        <v>2282.3999999999996</v>
      </c>
      <c r="BV36" s="106">
        <v>2</v>
      </c>
      <c r="BW36" s="106">
        <v>1521.6</v>
      </c>
      <c r="BX36" s="106">
        <v>23</v>
      </c>
      <c r="BY36" s="106">
        <v>17498.399999999998</v>
      </c>
      <c r="BZ36" s="106">
        <v>17</v>
      </c>
      <c r="CA36" s="106">
        <v>12933.599999999999</v>
      </c>
      <c r="CB36" s="106">
        <v>15</v>
      </c>
      <c r="CC36" s="106">
        <v>11412</v>
      </c>
      <c r="CD36" s="106">
        <v>23</v>
      </c>
      <c r="CE36" s="106">
        <v>17498.399999999998</v>
      </c>
      <c r="CF36" s="106">
        <v>23</v>
      </c>
      <c r="CG36" s="106">
        <v>17498.399999999998</v>
      </c>
      <c r="CH36" s="106">
        <v>25</v>
      </c>
      <c r="CI36" s="106">
        <v>19020</v>
      </c>
      <c r="CJ36" s="106">
        <v>29</v>
      </c>
      <c r="CK36" s="106">
        <v>22063.199999999997</v>
      </c>
      <c r="CL36" s="106">
        <v>21</v>
      </c>
      <c r="CM36" s="106">
        <v>15976.8</v>
      </c>
      <c r="CN36" s="106">
        <v>20</v>
      </c>
      <c r="CO36" s="106">
        <v>15216</v>
      </c>
      <c r="CP36" s="106">
        <v>19</v>
      </c>
      <c r="CQ36" s="106">
        <v>14455.199999999999</v>
      </c>
      <c r="CR36" s="106">
        <v>23</v>
      </c>
      <c r="CS36" s="106">
        <v>17498.399999999998</v>
      </c>
      <c r="CT36" s="106">
        <v>22</v>
      </c>
      <c r="CU36" s="106">
        <v>16737.599999999999</v>
      </c>
    </row>
    <row r="37" spans="2:99" x14ac:dyDescent="0.2">
      <c r="B37" s="105" t="s">
        <v>128</v>
      </c>
      <c r="C37" s="105" t="s">
        <v>203</v>
      </c>
      <c r="D37" s="106">
        <v>16</v>
      </c>
      <c r="E37" s="106">
        <v>13766.4</v>
      </c>
      <c r="F37" s="106">
        <v>12</v>
      </c>
      <c r="G37" s="106">
        <v>10324.799999999999</v>
      </c>
      <c r="H37" s="106">
        <v>10</v>
      </c>
      <c r="I37" s="106">
        <v>8604</v>
      </c>
      <c r="J37" s="106">
        <v>14</v>
      </c>
      <c r="K37" s="106">
        <v>12045.6</v>
      </c>
      <c r="L37" s="106">
        <v>52</v>
      </c>
      <c r="M37" s="106">
        <v>44740.799999999996</v>
      </c>
      <c r="N37" s="106">
        <v>49</v>
      </c>
      <c r="O37" s="106">
        <v>42159.6</v>
      </c>
      <c r="P37" s="106">
        <v>74</v>
      </c>
      <c r="Q37" s="106">
        <v>63669.599999999999</v>
      </c>
      <c r="R37" s="106">
        <v>77</v>
      </c>
      <c r="S37" s="106">
        <v>66250.8</v>
      </c>
      <c r="T37" s="106">
        <v>6</v>
      </c>
      <c r="U37" s="106">
        <v>5162.3999999999996</v>
      </c>
      <c r="V37" s="106">
        <v>6</v>
      </c>
      <c r="W37" s="106">
        <v>5162.3999999999996</v>
      </c>
      <c r="X37" s="106">
        <v>6</v>
      </c>
      <c r="Y37" s="106">
        <v>5162.3999999999996</v>
      </c>
      <c r="Z37" s="106">
        <v>4</v>
      </c>
      <c r="AA37" s="106">
        <v>3441.6</v>
      </c>
      <c r="AB37" s="106">
        <v>69</v>
      </c>
      <c r="AC37" s="106">
        <v>59367.6</v>
      </c>
      <c r="AD37" s="106">
        <v>64</v>
      </c>
      <c r="AE37" s="106">
        <v>55065.599999999999</v>
      </c>
      <c r="AF37" s="106">
        <v>46</v>
      </c>
      <c r="AG37" s="106">
        <v>39578.400000000001</v>
      </c>
      <c r="AH37" s="106">
        <v>46</v>
      </c>
      <c r="AI37" s="106">
        <v>39578.400000000001</v>
      </c>
      <c r="AJ37" s="106">
        <v>70</v>
      </c>
      <c r="AK37" s="106">
        <v>60228</v>
      </c>
      <c r="AL37" s="106">
        <v>77</v>
      </c>
      <c r="AM37" s="106">
        <v>66250.8</v>
      </c>
      <c r="AN37" s="106">
        <v>66</v>
      </c>
      <c r="AO37" s="106">
        <v>56786.400000000001</v>
      </c>
      <c r="AP37" s="106">
        <v>68</v>
      </c>
      <c r="AQ37" s="106">
        <v>58507.199999999997</v>
      </c>
      <c r="AR37" s="106">
        <v>31</v>
      </c>
      <c r="AS37" s="106">
        <v>26672.399999999998</v>
      </c>
      <c r="AT37" s="106">
        <v>24</v>
      </c>
      <c r="AU37" s="106">
        <v>20649.599999999999</v>
      </c>
      <c r="AV37" s="106">
        <v>16</v>
      </c>
      <c r="AW37" s="106">
        <v>13766.4</v>
      </c>
      <c r="AX37" s="106">
        <v>14</v>
      </c>
      <c r="AY37" s="106">
        <v>12045.6</v>
      </c>
      <c r="AZ37" s="106">
        <v>5</v>
      </c>
      <c r="BA37" s="106">
        <v>4302</v>
      </c>
      <c r="BB37" s="106">
        <v>7</v>
      </c>
      <c r="BC37" s="106">
        <v>6022.8</v>
      </c>
      <c r="BD37" s="106">
        <v>5</v>
      </c>
      <c r="BE37" s="106">
        <v>4302</v>
      </c>
      <c r="BF37" s="106">
        <v>7</v>
      </c>
      <c r="BG37" s="106">
        <v>6022.8</v>
      </c>
      <c r="BH37" s="106">
        <v>63</v>
      </c>
      <c r="BI37" s="106">
        <v>54205.2</v>
      </c>
      <c r="BJ37" s="106">
        <v>39</v>
      </c>
      <c r="BK37" s="106">
        <v>33555.599999999999</v>
      </c>
      <c r="BL37" s="106">
        <v>45</v>
      </c>
      <c r="BM37" s="106">
        <v>38718</v>
      </c>
      <c r="BN37" s="106">
        <v>59</v>
      </c>
      <c r="BO37" s="106">
        <v>50763.6</v>
      </c>
      <c r="BP37" s="106">
        <v>42</v>
      </c>
      <c r="BQ37" s="106">
        <v>36136.799999999996</v>
      </c>
      <c r="BR37" s="106">
        <v>40</v>
      </c>
      <c r="BS37" s="106">
        <v>34416</v>
      </c>
      <c r="BT37" s="106">
        <v>27</v>
      </c>
      <c r="BU37" s="106">
        <v>23230.799999999999</v>
      </c>
      <c r="BV37" s="106">
        <v>38</v>
      </c>
      <c r="BW37" s="106">
        <v>32695.200000000001</v>
      </c>
      <c r="BX37" s="106">
        <v>6</v>
      </c>
      <c r="BY37" s="106">
        <v>5162.3999999999996</v>
      </c>
      <c r="BZ37" s="106">
        <v>12</v>
      </c>
      <c r="CA37" s="106">
        <v>10324.799999999999</v>
      </c>
      <c r="CB37" s="106">
        <v>11</v>
      </c>
      <c r="CC37" s="106">
        <v>9464.4</v>
      </c>
      <c r="CD37" s="106">
        <v>7</v>
      </c>
      <c r="CE37" s="106">
        <v>6022.8</v>
      </c>
      <c r="CF37" s="106">
        <v>5</v>
      </c>
      <c r="CG37" s="106">
        <v>4302</v>
      </c>
      <c r="CH37" s="106">
        <v>6</v>
      </c>
      <c r="CI37" s="106">
        <v>5162.3999999999996</v>
      </c>
      <c r="CJ37" s="106">
        <v>5</v>
      </c>
      <c r="CK37" s="106">
        <v>4302</v>
      </c>
      <c r="CL37" s="106">
        <v>3</v>
      </c>
      <c r="CM37" s="106">
        <v>2581.1999999999998</v>
      </c>
      <c r="CN37" s="106">
        <v>6</v>
      </c>
      <c r="CO37" s="106">
        <v>5162.3999999999996</v>
      </c>
      <c r="CP37" s="106">
        <v>5</v>
      </c>
      <c r="CQ37" s="106">
        <v>4302</v>
      </c>
      <c r="CR37" s="106">
        <v>5</v>
      </c>
      <c r="CS37" s="106">
        <v>4302</v>
      </c>
      <c r="CT37" s="106">
        <v>5</v>
      </c>
      <c r="CU37" s="106">
        <v>4302</v>
      </c>
    </row>
    <row r="38" spans="2:99" x14ac:dyDescent="0.2">
      <c r="C38" s="105" t="s">
        <v>204</v>
      </c>
      <c r="D38" s="106">
        <v>15</v>
      </c>
      <c r="E38" s="106">
        <v>18630</v>
      </c>
      <c r="F38" s="106">
        <v>12</v>
      </c>
      <c r="G38" s="106">
        <v>14904</v>
      </c>
      <c r="H38" s="106">
        <v>9</v>
      </c>
      <c r="I38" s="106">
        <v>11178</v>
      </c>
      <c r="J38" s="106">
        <v>12</v>
      </c>
      <c r="K38" s="106">
        <v>14904</v>
      </c>
      <c r="L38" s="106">
        <v>55</v>
      </c>
      <c r="M38" s="106">
        <v>68310</v>
      </c>
      <c r="N38" s="106">
        <v>44</v>
      </c>
      <c r="O38" s="106">
        <v>54648</v>
      </c>
      <c r="P38" s="106">
        <v>78</v>
      </c>
      <c r="Q38" s="106">
        <v>96876</v>
      </c>
      <c r="R38" s="106">
        <v>78</v>
      </c>
      <c r="S38" s="106">
        <v>96876</v>
      </c>
      <c r="T38" s="106">
        <v>6</v>
      </c>
      <c r="U38" s="106">
        <v>7452</v>
      </c>
      <c r="V38" s="106">
        <v>5</v>
      </c>
      <c r="W38" s="106">
        <v>6210</v>
      </c>
      <c r="X38" s="106">
        <v>5</v>
      </c>
      <c r="Y38" s="106">
        <v>6210</v>
      </c>
      <c r="Z38" s="106">
        <v>4</v>
      </c>
      <c r="AA38" s="106">
        <v>4968</v>
      </c>
      <c r="AB38" s="106">
        <v>56</v>
      </c>
      <c r="AC38" s="106">
        <v>69552</v>
      </c>
      <c r="AD38" s="106">
        <v>58</v>
      </c>
      <c r="AE38" s="106">
        <v>72036</v>
      </c>
      <c r="AF38" s="106">
        <v>46</v>
      </c>
      <c r="AG38" s="106">
        <v>57132</v>
      </c>
      <c r="AH38" s="106">
        <v>42</v>
      </c>
      <c r="AI38" s="106">
        <v>52164</v>
      </c>
      <c r="AJ38" s="106">
        <v>60</v>
      </c>
      <c r="AK38" s="106">
        <v>74520</v>
      </c>
      <c r="AL38" s="106">
        <v>65</v>
      </c>
      <c r="AM38" s="106">
        <v>80730</v>
      </c>
      <c r="AN38" s="106">
        <v>52</v>
      </c>
      <c r="AO38" s="106">
        <v>64584</v>
      </c>
      <c r="AP38" s="106">
        <v>74</v>
      </c>
      <c r="AQ38" s="106">
        <v>91908</v>
      </c>
      <c r="AR38" s="106">
        <v>29</v>
      </c>
      <c r="AS38" s="106">
        <v>36018</v>
      </c>
      <c r="AT38" s="106">
        <v>25</v>
      </c>
      <c r="AU38" s="106">
        <v>31050</v>
      </c>
      <c r="AV38" s="106">
        <v>15</v>
      </c>
      <c r="AW38" s="106">
        <v>18630</v>
      </c>
      <c r="AX38" s="106">
        <v>15</v>
      </c>
      <c r="AY38" s="106">
        <v>18630</v>
      </c>
      <c r="AZ38" s="106">
        <v>4</v>
      </c>
      <c r="BA38" s="106">
        <v>4968</v>
      </c>
      <c r="BB38" s="106">
        <v>8</v>
      </c>
      <c r="BC38" s="106">
        <v>9936</v>
      </c>
      <c r="BD38" s="106">
        <v>5</v>
      </c>
      <c r="BE38" s="106">
        <v>6210</v>
      </c>
      <c r="BF38" s="106">
        <v>7</v>
      </c>
      <c r="BG38" s="106">
        <v>8694</v>
      </c>
      <c r="BH38" s="106">
        <v>57</v>
      </c>
      <c r="BI38" s="106">
        <v>70794</v>
      </c>
      <c r="BJ38" s="106">
        <v>38</v>
      </c>
      <c r="BK38" s="106">
        <v>47196</v>
      </c>
      <c r="BL38" s="106">
        <v>37</v>
      </c>
      <c r="BM38" s="106">
        <v>45954</v>
      </c>
      <c r="BN38" s="106">
        <v>55</v>
      </c>
      <c r="BO38" s="106">
        <v>68310</v>
      </c>
      <c r="BP38" s="106">
        <v>35</v>
      </c>
      <c r="BQ38" s="106">
        <v>43470</v>
      </c>
      <c r="BR38" s="106">
        <v>34</v>
      </c>
      <c r="BS38" s="106">
        <v>42228</v>
      </c>
      <c r="BT38" s="106">
        <v>26</v>
      </c>
      <c r="BU38" s="106">
        <v>32292</v>
      </c>
      <c r="BV38" s="106">
        <v>35</v>
      </c>
      <c r="BW38" s="106">
        <v>43470</v>
      </c>
      <c r="BX38" s="106">
        <v>6</v>
      </c>
      <c r="BY38" s="106">
        <v>7452</v>
      </c>
      <c r="BZ38" s="106">
        <v>11</v>
      </c>
      <c r="CA38" s="106">
        <v>13662</v>
      </c>
      <c r="CB38" s="106">
        <v>11</v>
      </c>
      <c r="CC38" s="106">
        <v>13662</v>
      </c>
      <c r="CD38" s="106">
        <v>7</v>
      </c>
      <c r="CE38" s="106">
        <v>8694</v>
      </c>
      <c r="CF38" s="106">
        <v>5</v>
      </c>
      <c r="CG38" s="106">
        <v>6210</v>
      </c>
      <c r="CH38" s="106">
        <v>5</v>
      </c>
      <c r="CI38" s="106">
        <v>6210</v>
      </c>
      <c r="CJ38" s="106">
        <v>4</v>
      </c>
      <c r="CK38" s="106">
        <v>4968</v>
      </c>
      <c r="CL38" s="106">
        <v>3</v>
      </c>
      <c r="CM38" s="106">
        <v>3726</v>
      </c>
      <c r="CN38" s="106">
        <v>5</v>
      </c>
      <c r="CO38" s="106">
        <v>6210</v>
      </c>
      <c r="CP38" s="106">
        <v>5</v>
      </c>
      <c r="CQ38" s="106">
        <v>6210</v>
      </c>
      <c r="CR38" s="106">
        <v>4</v>
      </c>
      <c r="CS38" s="106">
        <v>4968</v>
      </c>
      <c r="CT38" s="106">
        <v>5</v>
      </c>
      <c r="CU38" s="106">
        <v>6210</v>
      </c>
    </row>
    <row r="39" spans="2:99" x14ac:dyDescent="0.2">
      <c r="C39" s="105" t="s">
        <v>205</v>
      </c>
      <c r="D39" s="106">
        <v>13</v>
      </c>
      <c r="E39" s="106">
        <v>18501.600000000002</v>
      </c>
      <c r="F39" s="106">
        <v>11</v>
      </c>
      <c r="G39" s="106">
        <v>15655.2</v>
      </c>
      <c r="H39" s="106">
        <v>9</v>
      </c>
      <c r="I39" s="106">
        <v>12808.800000000001</v>
      </c>
      <c r="J39" s="106">
        <v>12</v>
      </c>
      <c r="K39" s="106">
        <v>17078.400000000001</v>
      </c>
      <c r="L39" s="106">
        <v>44</v>
      </c>
      <c r="M39" s="106">
        <v>62620.800000000003</v>
      </c>
      <c r="N39" s="106">
        <v>43</v>
      </c>
      <c r="O39" s="106">
        <v>61197.599999999999</v>
      </c>
      <c r="P39" s="106">
        <v>66</v>
      </c>
      <c r="Q39" s="106">
        <v>93931.199999999997</v>
      </c>
      <c r="R39" s="106">
        <v>69</v>
      </c>
      <c r="S39" s="106">
        <v>98200.8</v>
      </c>
      <c r="T39" s="106">
        <v>6</v>
      </c>
      <c r="U39" s="106">
        <v>8539.2000000000007</v>
      </c>
      <c r="V39" s="106">
        <v>5</v>
      </c>
      <c r="W39" s="106">
        <v>7116</v>
      </c>
      <c r="X39" s="106">
        <v>6</v>
      </c>
      <c r="Y39" s="106">
        <v>8539.2000000000007</v>
      </c>
      <c r="Z39" s="106">
        <v>4</v>
      </c>
      <c r="AA39" s="106">
        <v>5692.8</v>
      </c>
      <c r="AB39" s="106">
        <v>53</v>
      </c>
      <c r="AC39" s="106">
        <v>75429.600000000006</v>
      </c>
      <c r="AD39" s="106">
        <v>54</v>
      </c>
      <c r="AE39" s="106">
        <v>76852.800000000003</v>
      </c>
      <c r="AF39" s="106">
        <v>48</v>
      </c>
      <c r="AG39" s="106">
        <v>68313.600000000006</v>
      </c>
      <c r="AH39" s="106">
        <v>46</v>
      </c>
      <c r="AI39" s="106">
        <v>65467.200000000004</v>
      </c>
      <c r="AJ39" s="106">
        <v>67</v>
      </c>
      <c r="AK39" s="106">
        <v>95354.400000000009</v>
      </c>
      <c r="AL39" s="106">
        <v>65</v>
      </c>
      <c r="AM39" s="106">
        <v>92508</v>
      </c>
      <c r="AN39" s="106">
        <v>52</v>
      </c>
      <c r="AO39" s="106">
        <v>74006.400000000009</v>
      </c>
      <c r="AP39" s="106">
        <v>70</v>
      </c>
      <c r="AQ39" s="106">
        <v>99624</v>
      </c>
      <c r="AR39" s="106">
        <v>27</v>
      </c>
      <c r="AS39" s="106">
        <v>38426.400000000001</v>
      </c>
      <c r="AT39" s="106">
        <v>23</v>
      </c>
      <c r="AU39" s="106">
        <v>32733.600000000002</v>
      </c>
      <c r="AV39" s="106">
        <v>15</v>
      </c>
      <c r="AW39" s="106">
        <v>21348</v>
      </c>
      <c r="AX39" s="106">
        <v>15</v>
      </c>
      <c r="AY39" s="106">
        <v>21348</v>
      </c>
      <c r="AZ39" s="106">
        <v>5</v>
      </c>
      <c r="BA39" s="106">
        <v>7116</v>
      </c>
      <c r="BB39" s="106">
        <v>7</v>
      </c>
      <c r="BC39" s="106">
        <v>9962.4</v>
      </c>
      <c r="BD39" s="106">
        <v>5</v>
      </c>
      <c r="BE39" s="106">
        <v>7116</v>
      </c>
      <c r="BF39" s="106">
        <v>7</v>
      </c>
      <c r="BG39" s="106">
        <v>9962.4</v>
      </c>
      <c r="BH39" s="106">
        <v>49</v>
      </c>
      <c r="BI39" s="106">
        <v>69736.800000000003</v>
      </c>
      <c r="BJ39" s="106">
        <v>35</v>
      </c>
      <c r="BK39" s="106">
        <v>49812</v>
      </c>
      <c r="BL39" s="106">
        <v>37</v>
      </c>
      <c r="BM39" s="106">
        <v>52658.400000000001</v>
      </c>
      <c r="BN39" s="106">
        <v>59</v>
      </c>
      <c r="BO39" s="106">
        <v>83968.8</v>
      </c>
      <c r="BP39" s="106">
        <v>38</v>
      </c>
      <c r="BQ39" s="106">
        <v>54081.599999999999</v>
      </c>
      <c r="BR39" s="106">
        <v>34</v>
      </c>
      <c r="BS39" s="106">
        <v>48388.800000000003</v>
      </c>
      <c r="BT39" s="106">
        <v>26</v>
      </c>
      <c r="BU39" s="106">
        <v>37003.200000000004</v>
      </c>
      <c r="BV39" s="106">
        <v>34</v>
      </c>
      <c r="BW39" s="106">
        <v>48388.800000000003</v>
      </c>
      <c r="BX39" s="106">
        <v>5</v>
      </c>
      <c r="BY39" s="106">
        <v>7116</v>
      </c>
      <c r="BZ39" s="106">
        <v>11</v>
      </c>
      <c r="CA39" s="106">
        <v>15655.2</v>
      </c>
      <c r="CB39" s="106">
        <v>12</v>
      </c>
      <c r="CC39" s="106">
        <v>17078.400000000001</v>
      </c>
      <c r="CD39" s="106">
        <v>7</v>
      </c>
      <c r="CE39" s="106">
        <v>9962.4</v>
      </c>
      <c r="CF39" s="106">
        <v>5</v>
      </c>
      <c r="CG39" s="106">
        <v>7116</v>
      </c>
      <c r="CH39" s="106">
        <v>5</v>
      </c>
      <c r="CI39" s="106">
        <v>7116</v>
      </c>
      <c r="CJ39" s="106">
        <v>4</v>
      </c>
      <c r="CK39" s="106">
        <v>5692.8</v>
      </c>
      <c r="CL39" s="106">
        <v>3</v>
      </c>
      <c r="CM39" s="106">
        <v>4269.6000000000004</v>
      </c>
      <c r="CN39" s="106">
        <v>6</v>
      </c>
      <c r="CO39" s="106">
        <v>8539.2000000000007</v>
      </c>
      <c r="CP39" s="106">
        <v>5</v>
      </c>
      <c r="CQ39" s="106">
        <v>7116</v>
      </c>
      <c r="CR39" s="106">
        <v>4</v>
      </c>
      <c r="CS39" s="106">
        <v>5692.8</v>
      </c>
      <c r="CT39" s="106">
        <v>5</v>
      </c>
      <c r="CU39" s="106">
        <v>7116</v>
      </c>
    </row>
    <row r="40" spans="2:99" x14ac:dyDescent="0.2">
      <c r="C40" s="105" t="s">
        <v>206</v>
      </c>
      <c r="D40" s="106">
        <v>15</v>
      </c>
      <c r="E40" s="106">
        <v>10872</v>
      </c>
      <c r="F40" s="106">
        <v>13</v>
      </c>
      <c r="G40" s="106">
        <v>9422.4</v>
      </c>
      <c r="H40" s="106">
        <v>10</v>
      </c>
      <c r="I40" s="106">
        <v>7248</v>
      </c>
      <c r="J40" s="106">
        <v>12</v>
      </c>
      <c r="K40" s="106">
        <v>8697.5999999999985</v>
      </c>
      <c r="L40" s="106">
        <v>58</v>
      </c>
      <c r="M40" s="106">
        <v>42038.399999999994</v>
      </c>
      <c r="N40" s="106">
        <v>52</v>
      </c>
      <c r="O40" s="106">
        <v>37689.599999999999</v>
      </c>
      <c r="P40" s="106">
        <v>85</v>
      </c>
      <c r="Q40" s="106">
        <v>61607.999999999993</v>
      </c>
      <c r="R40" s="106">
        <v>87</v>
      </c>
      <c r="S40" s="106">
        <v>63057.599999999999</v>
      </c>
      <c r="T40" s="106">
        <v>6</v>
      </c>
      <c r="U40" s="106">
        <v>4348.7999999999993</v>
      </c>
      <c r="V40" s="106">
        <v>6</v>
      </c>
      <c r="W40" s="106">
        <v>4348.7999999999993</v>
      </c>
      <c r="X40" s="106">
        <v>6</v>
      </c>
      <c r="Y40" s="106">
        <v>4348.7999999999993</v>
      </c>
      <c r="Z40" s="106">
        <v>4</v>
      </c>
      <c r="AA40" s="106">
        <v>2899.2</v>
      </c>
      <c r="AB40" s="106">
        <v>67</v>
      </c>
      <c r="AC40" s="106">
        <v>48561.599999999999</v>
      </c>
      <c r="AD40" s="106">
        <v>67</v>
      </c>
      <c r="AE40" s="106">
        <v>48561.599999999999</v>
      </c>
      <c r="AF40" s="106">
        <v>53</v>
      </c>
      <c r="AG40" s="106">
        <v>38414.399999999994</v>
      </c>
      <c r="AH40" s="106">
        <v>46</v>
      </c>
      <c r="AI40" s="106">
        <v>33340.799999999996</v>
      </c>
      <c r="AJ40" s="106">
        <v>65</v>
      </c>
      <c r="AK40" s="106">
        <v>47112</v>
      </c>
      <c r="AL40" s="106">
        <v>74</v>
      </c>
      <c r="AM40" s="106">
        <v>53635.199999999997</v>
      </c>
      <c r="AN40" s="106">
        <v>69</v>
      </c>
      <c r="AO40" s="106">
        <v>50011.199999999997</v>
      </c>
      <c r="AP40" s="106">
        <v>76</v>
      </c>
      <c r="AQ40" s="106">
        <v>55084.799999999996</v>
      </c>
      <c r="AR40" s="106">
        <v>30</v>
      </c>
      <c r="AS40" s="106">
        <v>21744</v>
      </c>
      <c r="AT40" s="106">
        <v>24</v>
      </c>
      <c r="AU40" s="106">
        <v>17395.199999999997</v>
      </c>
      <c r="AV40" s="106">
        <v>16</v>
      </c>
      <c r="AW40" s="106">
        <v>11596.8</v>
      </c>
      <c r="AX40" s="106">
        <v>17</v>
      </c>
      <c r="AY40" s="106">
        <v>12321.599999999999</v>
      </c>
      <c r="AZ40" s="106">
        <v>5</v>
      </c>
      <c r="BA40" s="106">
        <v>3624</v>
      </c>
      <c r="BB40" s="106">
        <v>8</v>
      </c>
      <c r="BC40" s="106">
        <v>5798.4</v>
      </c>
      <c r="BD40" s="106">
        <v>5</v>
      </c>
      <c r="BE40" s="106">
        <v>3624</v>
      </c>
      <c r="BF40" s="106">
        <v>7</v>
      </c>
      <c r="BG40" s="106">
        <v>5073.5999999999995</v>
      </c>
      <c r="BH40" s="106">
        <v>63</v>
      </c>
      <c r="BI40" s="106">
        <v>45662.399999999994</v>
      </c>
      <c r="BJ40" s="106">
        <v>40</v>
      </c>
      <c r="BK40" s="106">
        <v>28992</v>
      </c>
      <c r="BL40" s="106">
        <v>46</v>
      </c>
      <c r="BM40" s="106">
        <v>33340.799999999996</v>
      </c>
      <c r="BN40" s="106">
        <v>71</v>
      </c>
      <c r="BO40" s="106">
        <v>51460.799999999996</v>
      </c>
      <c r="BP40" s="106">
        <v>37</v>
      </c>
      <c r="BQ40" s="106">
        <v>26817.599999999999</v>
      </c>
      <c r="BR40" s="106">
        <v>38</v>
      </c>
      <c r="BS40" s="106">
        <v>27542.399999999998</v>
      </c>
      <c r="BT40" s="106">
        <v>29</v>
      </c>
      <c r="BU40" s="106">
        <v>21019.199999999997</v>
      </c>
      <c r="BV40" s="106">
        <v>36</v>
      </c>
      <c r="BW40" s="106">
        <v>26092.799999999999</v>
      </c>
      <c r="BX40" s="106">
        <v>7</v>
      </c>
      <c r="BY40" s="106">
        <v>5073.5999999999995</v>
      </c>
      <c r="BZ40" s="106">
        <v>12</v>
      </c>
      <c r="CA40" s="106">
        <v>8697.5999999999985</v>
      </c>
      <c r="CB40" s="106">
        <v>12</v>
      </c>
      <c r="CC40" s="106">
        <v>8697.5999999999985</v>
      </c>
      <c r="CD40" s="106">
        <v>8</v>
      </c>
      <c r="CE40" s="106">
        <v>5798.4</v>
      </c>
      <c r="CF40" s="106">
        <v>5</v>
      </c>
      <c r="CG40" s="106">
        <v>3624</v>
      </c>
      <c r="CH40" s="106">
        <v>6</v>
      </c>
      <c r="CI40" s="106">
        <v>4348.7999999999993</v>
      </c>
      <c r="CJ40" s="106">
        <v>5</v>
      </c>
      <c r="CK40" s="106">
        <v>3624</v>
      </c>
      <c r="CL40" s="106">
        <v>3</v>
      </c>
      <c r="CM40" s="106">
        <v>2174.3999999999996</v>
      </c>
      <c r="CN40" s="106">
        <v>6</v>
      </c>
      <c r="CO40" s="106">
        <v>4348.7999999999993</v>
      </c>
      <c r="CP40" s="106">
        <v>6</v>
      </c>
      <c r="CQ40" s="106">
        <v>4348.7999999999993</v>
      </c>
      <c r="CR40" s="106">
        <v>5</v>
      </c>
      <c r="CS40" s="106">
        <v>3624</v>
      </c>
      <c r="CT40" s="106">
        <v>5</v>
      </c>
      <c r="CU40" s="106">
        <v>3624</v>
      </c>
    </row>
    <row r="41" spans="2:99" x14ac:dyDescent="0.2">
      <c r="C41" s="105" t="s">
        <v>207</v>
      </c>
      <c r="D41" s="106">
        <v>14</v>
      </c>
      <c r="E41" s="106">
        <v>9240</v>
      </c>
      <c r="F41" s="106">
        <v>12</v>
      </c>
      <c r="G41" s="106">
        <v>7920</v>
      </c>
      <c r="H41" s="106">
        <v>11</v>
      </c>
      <c r="I41" s="106">
        <v>7260</v>
      </c>
      <c r="J41" s="106">
        <v>14</v>
      </c>
      <c r="K41" s="106">
        <v>9240</v>
      </c>
      <c r="L41" s="106">
        <v>55</v>
      </c>
      <c r="M41" s="106">
        <v>36300</v>
      </c>
      <c r="N41" s="106">
        <v>55</v>
      </c>
      <c r="O41" s="106">
        <v>36300</v>
      </c>
      <c r="P41" s="106">
        <v>77</v>
      </c>
      <c r="Q41" s="106">
        <v>50820</v>
      </c>
      <c r="R41" s="106">
        <v>83</v>
      </c>
      <c r="S41" s="106">
        <v>54780</v>
      </c>
      <c r="T41" s="106">
        <v>6</v>
      </c>
      <c r="U41" s="106">
        <v>3960</v>
      </c>
      <c r="V41" s="106">
        <v>6</v>
      </c>
      <c r="W41" s="106">
        <v>3960</v>
      </c>
      <c r="X41" s="106">
        <v>6</v>
      </c>
      <c r="Y41" s="106">
        <v>3960</v>
      </c>
      <c r="Z41" s="106">
        <v>4</v>
      </c>
      <c r="AA41" s="106">
        <v>2640</v>
      </c>
      <c r="AB41" s="106">
        <v>64</v>
      </c>
      <c r="AC41" s="106">
        <v>42240</v>
      </c>
      <c r="AD41" s="106">
        <v>62</v>
      </c>
      <c r="AE41" s="106">
        <v>40920</v>
      </c>
      <c r="AF41" s="106">
        <v>55</v>
      </c>
      <c r="AG41" s="106">
        <v>36300</v>
      </c>
      <c r="AH41" s="106">
        <v>53</v>
      </c>
      <c r="AI41" s="106">
        <v>34980</v>
      </c>
      <c r="AJ41" s="106">
        <v>74</v>
      </c>
      <c r="AK41" s="106">
        <v>48840</v>
      </c>
      <c r="AL41" s="106">
        <v>82</v>
      </c>
      <c r="AM41" s="106">
        <v>54120</v>
      </c>
      <c r="AN41" s="106">
        <v>65</v>
      </c>
      <c r="AO41" s="106">
        <v>42900</v>
      </c>
      <c r="AP41" s="106">
        <v>75</v>
      </c>
      <c r="AQ41" s="106">
        <v>49500</v>
      </c>
      <c r="AR41" s="106">
        <v>28</v>
      </c>
      <c r="AS41" s="106">
        <v>18480</v>
      </c>
      <c r="AT41" s="106">
        <v>23</v>
      </c>
      <c r="AU41" s="106">
        <v>15180</v>
      </c>
      <c r="AV41" s="106">
        <v>16</v>
      </c>
      <c r="AW41" s="106">
        <v>10560</v>
      </c>
      <c r="AX41" s="106">
        <v>15</v>
      </c>
      <c r="AY41" s="106">
        <v>9900</v>
      </c>
      <c r="AZ41" s="106">
        <v>5</v>
      </c>
      <c r="BA41" s="106">
        <v>3300</v>
      </c>
      <c r="BB41" s="106">
        <v>8</v>
      </c>
      <c r="BC41" s="106">
        <v>5280</v>
      </c>
      <c r="BD41" s="106">
        <v>5</v>
      </c>
      <c r="BE41" s="106">
        <v>3300</v>
      </c>
      <c r="BF41" s="106">
        <v>7</v>
      </c>
      <c r="BG41" s="106">
        <v>4620</v>
      </c>
      <c r="BH41" s="106">
        <v>63</v>
      </c>
      <c r="BI41" s="106">
        <v>41580</v>
      </c>
      <c r="BJ41" s="106">
        <v>41</v>
      </c>
      <c r="BK41" s="106">
        <v>27060</v>
      </c>
      <c r="BL41" s="106">
        <v>47</v>
      </c>
      <c r="BM41" s="106">
        <v>31020</v>
      </c>
      <c r="BN41" s="106">
        <v>69</v>
      </c>
      <c r="BO41" s="106">
        <v>45540</v>
      </c>
      <c r="BP41" s="106">
        <v>42</v>
      </c>
      <c r="BQ41" s="106">
        <v>27720</v>
      </c>
      <c r="BR41" s="106">
        <v>36</v>
      </c>
      <c r="BS41" s="106">
        <v>23760</v>
      </c>
      <c r="BT41" s="106">
        <v>32</v>
      </c>
      <c r="BU41" s="106">
        <v>21120</v>
      </c>
      <c r="BV41" s="106">
        <v>38</v>
      </c>
      <c r="BW41" s="106">
        <v>25080</v>
      </c>
      <c r="BX41" s="106">
        <v>6</v>
      </c>
      <c r="BY41" s="106">
        <v>3960</v>
      </c>
      <c r="BZ41" s="106">
        <v>12</v>
      </c>
      <c r="CA41" s="106">
        <v>7920</v>
      </c>
      <c r="CB41" s="106">
        <v>13</v>
      </c>
      <c r="CC41" s="106">
        <v>8580</v>
      </c>
      <c r="CD41" s="106">
        <v>7</v>
      </c>
      <c r="CE41" s="106">
        <v>4620</v>
      </c>
      <c r="CF41" s="106">
        <v>5</v>
      </c>
      <c r="CG41" s="106">
        <v>3300</v>
      </c>
      <c r="CH41" s="106">
        <v>5</v>
      </c>
      <c r="CI41" s="106">
        <v>3300</v>
      </c>
      <c r="CJ41" s="106">
        <v>5</v>
      </c>
      <c r="CK41" s="106">
        <v>3300</v>
      </c>
      <c r="CL41" s="106">
        <v>3</v>
      </c>
      <c r="CM41" s="106">
        <v>1980</v>
      </c>
      <c r="CN41" s="106">
        <v>5</v>
      </c>
      <c r="CO41" s="106">
        <v>3300</v>
      </c>
      <c r="CP41" s="106">
        <v>6</v>
      </c>
      <c r="CQ41" s="106">
        <v>3960</v>
      </c>
      <c r="CR41" s="106">
        <v>5</v>
      </c>
      <c r="CS41" s="106">
        <v>3300</v>
      </c>
      <c r="CT41" s="106">
        <v>5</v>
      </c>
      <c r="CU41" s="106">
        <v>3300</v>
      </c>
    </row>
    <row r="42" spans="2:99" x14ac:dyDescent="0.2">
      <c r="C42" s="105" t="s">
        <v>208</v>
      </c>
      <c r="D42" s="106">
        <v>16</v>
      </c>
      <c r="E42" s="106">
        <v>13536</v>
      </c>
      <c r="F42" s="106">
        <v>14</v>
      </c>
      <c r="G42" s="106">
        <v>11844</v>
      </c>
      <c r="H42" s="106">
        <v>9</v>
      </c>
      <c r="I42" s="106">
        <v>7614</v>
      </c>
      <c r="J42" s="106">
        <v>14</v>
      </c>
      <c r="K42" s="106">
        <v>11844</v>
      </c>
      <c r="L42" s="106">
        <v>57</v>
      </c>
      <c r="M42" s="106">
        <v>48222</v>
      </c>
      <c r="N42" s="106">
        <v>57</v>
      </c>
      <c r="O42" s="106">
        <v>48222</v>
      </c>
      <c r="P42" s="106">
        <v>83</v>
      </c>
      <c r="Q42" s="106">
        <v>70218</v>
      </c>
      <c r="R42" s="106">
        <v>83</v>
      </c>
      <c r="S42" s="106">
        <v>70218</v>
      </c>
      <c r="T42" s="106">
        <v>6</v>
      </c>
      <c r="U42" s="106">
        <v>5076</v>
      </c>
      <c r="V42" s="106">
        <v>5</v>
      </c>
      <c r="W42" s="106">
        <v>4230</v>
      </c>
      <c r="X42" s="106">
        <v>6</v>
      </c>
      <c r="Y42" s="106">
        <v>5076</v>
      </c>
      <c r="Z42" s="106">
        <v>4</v>
      </c>
      <c r="AA42" s="106">
        <v>3384</v>
      </c>
      <c r="AB42" s="106">
        <v>66</v>
      </c>
      <c r="AC42" s="106">
        <v>55836</v>
      </c>
      <c r="AD42" s="106">
        <v>67</v>
      </c>
      <c r="AE42" s="106">
        <v>56682</v>
      </c>
      <c r="AF42" s="106">
        <v>53</v>
      </c>
      <c r="AG42" s="106">
        <v>44838</v>
      </c>
      <c r="AH42" s="106">
        <v>49</v>
      </c>
      <c r="AI42" s="106">
        <v>41454</v>
      </c>
      <c r="AJ42" s="106">
        <v>73</v>
      </c>
      <c r="AK42" s="106">
        <v>61758</v>
      </c>
      <c r="AL42" s="106">
        <v>76</v>
      </c>
      <c r="AM42" s="106">
        <v>64296</v>
      </c>
      <c r="AN42" s="106">
        <v>58</v>
      </c>
      <c r="AO42" s="106">
        <v>49068</v>
      </c>
      <c r="AP42" s="106">
        <v>72</v>
      </c>
      <c r="AQ42" s="106">
        <v>60912</v>
      </c>
      <c r="AR42" s="106">
        <v>26</v>
      </c>
      <c r="AS42" s="106">
        <v>21996</v>
      </c>
      <c r="AT42" s="106">
        <v>23</v>
      </c>
      <c r="AU42" s="106">
        <v>19458</v>
      </c>
      <c r="AV42" s="106">
        <v>16</v>
      </c>
      <c r="AW42" s="106">
        <v>13536</v>
      </c>
      <c r="AX42" s="106">
        <v>16</v>
      </c>
      <c r="AY42" s="106">
        <v>13536</v>
      </c>
      <c r="AZ42" s="106">
        <v>5</v>
      </c>
      <c r="BA42" s="106">
        <v>4230</v>
      </c>
      <c r="BB42" s="106">
        <v>7</v>
      </c>
      <c r="BC42" s="106">
        <v>5922</v>
      </c>
      <c r="BD42" s="106">
        <v>5</v>
      </c>
      <c r="BE42" s="106">
        <v>4230</v>
      </c>
      <c r="BF42" s="106">
        <v>7</v>
      </c>
      <c r="BG42" s="106">
        <v>5922</v>
      </c>
      <c r="BH42" s="106">
        <v>59</v>
      </c>
      <c r="BI42" s="106">
        <v>49914</v>
      </c>
      <c r="BJ42" s="106">
        <v>37</v>
      </c>
      <c r="BK42" s="106">
        <v>31302</v>
      </c>
      <c r="BL42" s="106">
        <v>40</v>
      </c>
      <c r="BM42" s="106">
        <v>33840</v>
      </c>
      <c r="BN42" s="106">
        <v>61</v>
      </c>
      <c r="BO42" s="106">
        <v>51606</v>
      </c>
      <c r="BP42" s="106">
        <v>38</v>
      </c>
      <c r="BQ42" s="106">
        <v>32148</v>
      </c>
      <c r="BR42" s="106">
        <v>33</v>
      </c>
      <c r="BS42" s="106">
        <v>27918</v>
      </c>
      <c r="BT42" s="106">
        <v>30</v>
      </c>
      <c r="BU42" s="106">
        <v>25380</v>
      </c>
      <c r="BV42" s="106">
        <v>35</v>
      </c>
      <c r="BW42" s="106">
        <v>29610</v>
      </c>
      <c r="BX42" s="106">
        <v>7</v>
      </c>
      <c r="BY42" s="106">
        <v>5922</v>
      </c>
      <c r="BZ42" s="106">
        <v>10</v>
      </c>
      <c r="CA42" s="106">
        <v>8460</v>
      </c>
      <c r="CB42" s="106">
        <v>12</v>
      </c>
      <c r="CC42" s="106">
        <v>10152</v>
      </c>
      <c r="CD42" s="106">
        <v>7</v>
      </c>
      <c r="CE42" s="106">
        <v>5922</v>
      </c>
      <c r="CF42" s="106">
        <v>5</v>
      </c>
      <c r="CG42" s="106">
        <v>4230</v>
      </c>
      <c r="CH42" s="106">
        <v>6</v>
      </c>
      <c r="CI42" s="106">
        <v>5076</v>
      </c>
      <c r="CJ42" s="106">
        <v>4</v>
      </c>
      <c r="CK42" s="106">
        <v>3384</v>
      </c>
      <c r="CL42" s="106">
        <v>3</v>
      </c>
      <c r="CM42" s="106">
        <v>2538</v>
      </c>
      <c r="CN42" s="106">
        <v>6</v>
      </c>
      <c r="CO42" s="106">
        <v>5076</v>
      </c>
      <c r="CP42" s="106">
        <v>6</v>
      </c>
      <c r="CQ42" s="106">
        <v>5076</v>
      </c>
      <c r="CR42" s="106">
        <v>4</v>
      </c>
      <c r="CS42" s="106">
        <v>3384</v>
      </c>
      <c r="CT42" s="106">
        <v>5</v>
      </c>
      <c r="CU42" s="106">
        <v>4230</v>
      </c>
    </row>
    <row r="43" spans="2:99" x14ac:dyDescent="0.2">
      <c r="C43" s="105" t="s">
        <v>209</v>
      </c>
      <c r="D43" s="106">
        <v>16</v>
      </c>
      <c r="E43" s="106">
        <v>16358.4</v>
      </c>
      <c r="F43" s="106">
        <v>13</v>
      </c>
      <c r="G43" s="106">
        <v>13291.199999999999</v>
      </c>
      <c r="H43" s="106">
        <v>10</v>
      </c>
      <c r="I43" s="106">
        <v>10224</v>
      </c>
      <c r="J43" s="106">
        <v>13</v>
      </c>
      <c r="K43" s="106">
        <v>13291.199999999999</v>
      </c>
      <c r="L43" s="106">
        <v>50</v>
      </c>
      <c r="M43" s="106">
        <v>51120</v>
      </c>
      <c r="N43" s="106">
        <v>54</v>
      </c>
      <c r="O43" s="106">
        <v>55209.599999999999</v>
      </c>
      <c r="P43" s="106">
        <v>74</v>
      </c>
      <c r="Q43" s="106">
        <v>75657.599999999991</v>
      </c>
      <c r="R43" s="106">
        <v>70</v>
      </c>
      <c r="S43" s="106">
        <v>71568</v>
      </c>
      <c r="T43" s="106">
        <v>6</v>
      </c>
      <c r="U43" s="106">
        <v>6134.4</v>
      </c>
      <c r="V43" s="106">
        <v>5</v>
      </c>
      <c r="W43" s="106">
        <v>5112</v>
      </c>
      <c r="X43" s="106">
        <v>6</v>
      </c>
      <c r="Y43" s="106">
        <v>6134.4</v>
      </c>
      <c r="Z43" s="106">
        <v>4</v>
      </c>
      <c r="AA43" s="106">
        <v>4089.6</v>
      </c>
      <c r="AB43" s="106">
        <v>67</v>
      </c>
      <c r="AC43" s="106">
        <v>68500.800000000003</v>
      </c>
      <c r="AD43" s="106">
        <v>65</v>
      </c>
      <c r="AE43" s="106">
        <v>66456</v>
      </c>
      <c r="AF43" s="106">
        <v>53</v>
      </c>
      <c r="AG43" s="106">
        <v>54187.199999999997</v>
      </c>
      <c r="AH43" s="106">
        <v>45</v>
      </c>
      <c r="AI43" s="106">
        <v>46008</v>
      </c>
      <c r="AJ43" s="106">
        <v>64</v>
      </c>
      <c r="AK43" s="106">
        <v>65433.599999999999</v>
      </c>
      <c r="AL43" s="106">
        <v>65</v>
      </c>
      <c r="AM43" s="106">
        <v>66456</v>
      </c>
      <c r="AN43" s="106">
        <v>54</v>
      </c>
      <c r="AO43" s="106">
        <v>55209.599999999999</v>
      </c>
      <c r="AP43" s="106">
        <v>74</v>
      </c>
      <c r="AQ43" s="106">
        <v>75657.599999999991</v>
      </c>
      <c r="AR43" s="106">
        <v>28</v>
      </c>
      <c r="AS43" s="106">
        <v>28627.200000000001</v>
      </c>
      <c r="AT43" s="106">
        <v>23</v>
      </c>
      <c r="AU43" s="106">
        <v>23515.200000000001</v>
      </c>
      <c r="AV43" s="106">
        <v>15</v>
      </c>
      <c r="AW43" s="106">
        <v>15336</v>
      </c>
      <c r="AX43" s="106">
        <v>16</v>
      </c>
      <c r="AY43" s="106">
        <v>16358.4</v>
      </c>
      <c r="AZ43" s="106">
        <v>4</v>
      </c>
      <c r="BA43" s="106">
        <v>4089.6</v>
      </c>
      <c r="BB43" s="106">
        <v>7</v>
      </c>
      <c r="BC43" s="106">
        <v>7156.8</v>
      </c>
      <c r="BD43" s="106">
        <v>5</v>
      </c>
      <c r="BE43" s="106">
        <v>5112</v>
      </c>
      <c r="BF43" s="106">
        <v>7</v>
      </c>
      <c r="BG43" s="106">
        <v>7156.8</v>
      </c>
      <c r="BH43" s="106">
        <v>57</v>
      </c>
      <c r="BI43" s="106">
        <v>58276.799999999996</v>
      </c>
      <c r="BJ43" s="106">
        <v>36</v>
      </c>
      <c r="BK43" s="106">
        <v>36806.400000000001</v>
      </c>
      <c r="BL43" s="106">
        <v>38</v>
      </c>
      <c r="BM43" s="106">
        <v>38851.199999999997</v>
      </c>
      <c r="BN43" s="106">
        <v>65</v>
      </c>
      <c r="BO43" s="106">
        <v>66456</v>
      </c>
      <c r="BP43" s="106">
        <v>42</v>
      </c>
      <c r="BQ43" s="106">
        <v>42940.799999999996</v>
      </c>
      <c r="BR43" s="106">
        <v>33</v>
      </c>
      <c r="BS43" s="106">
        <v>33739.199999999997</v>
      </c>
      <c r="BT43" s="106">
        <v>26</v>
      </c>
      <c r="BU43" s="106">
        <v>26582.399999999998</v>
      </c>
      <c r="BV43" s="106">
        <v>32</v>
      </c>
      <c r="BW43" s="106">
        <v>32716.799999999999</v>
      </c>
      <c r="BX43" s="106">
        <v>7</v>
      </c>
      <c r="BY43" s="106">
        <v>7156.8</v>
      </c>
      <c r="BZ43" s="106">
        <v>11</v>
      </c>
      <c r="CA43" s="106">
        <v>11246.4</v>
      </c>
      <c r="CB43" s="106">
        <v>12</v>
      </c>
      <c r="CC43" s="106">
        <v>12268.8</v>
      </c>
      <c r="CD43" s="106">
        <v>7</v>
      </c>
      <c r="CE43" s="106">
        <v>7156.8</v>
      </c>
      <c r="CF43" s="106">
        <v>5</v>
      </c>
      <c r="CG43" s="106">
        <v>5112</v>
      </c>
      <c r="CH43" s="106">
        <v>5</v>
      </c>
      <c r="CI43" s="106">
        <v>5112</v>
      </c>
      <c r="CJ43" s="106">
        <v>4</v>
      </c>
      <c r="CK43" s="106">
        <v>4089.6</v>
      </c>
      <c r="CL43" s="106">
        <v>3</v>
      </c>
      <c r="CM43" s="106">
        <v>3067.2</v>
      </c>
      <c r="CN43" s="106">
        <v>6</v>
      </c>
      <c r="CO43" s="106">
        <v>6134.4</v>
      </c>
      <c r="CP43" s="106">
        <v>6</v>
      </c>
      <c r="CQ43" s="106">
        <v>6134.4</v>
      </c>
      <c r="CR43" s="106">
        <v>4</v>
      </c>
      <c r="CS43" s="106">
        <v>4089.6</v>
      </c>
      <c r="CT43" s="106">
        <v>5</v>
      </c>
      <c r="CU43" s="106">
        <v>5112</v>
      </c>
    </row>
    <row r="44" spans="2:99" x14ac:dyDescent="0.2">
      <c r="C44" s="105" t="s">
        <v>210</v>
      </c>
      <c r="D44" s="106">
        <v>15</v>
      </c>
      <c r="E44" s="106">
        <v>15336</v>
      </c>
      <c r="F44" s="106">
        <v>14</v>
      </c>
      <c r="G44" s="106">
        <v>14313.6</v>
      </c>
      <c r="H44" s="106">
        <v>10</v>
      </c>
      <c r="I44" s="106">
        <v>10224</v>
      </c>
      <c r="J44" s="106">
        <v>14</v>
      </c>
      <c r="K44" s="106">
        <v>14313.6</v>
      </c>
      <c r="L44" s="106">
        <v>56</v>
      </c>
      <c r="M44" s="106">
        <v>57254.400000000001</v>
      </c>
      <c r="N44" s="106">
        <v>52</v>
      </c>
      <c r="O44" s="106">
        <v>53164.799999999996</v>
      </c>
      <c r="P44" s="106">
        <v>70</v>
      </c>
      <c r="Q44" s="106">
        <v>71568</v>
      </c>
      <c r="R44" s="106">
        <v>71</v>
      </c>
      <c r="S44" s="106">
        <v>72590.399999999994</v>
      </c>
      <c r="T44" s="106">
        <v>7</v>
      </c>
      <c r="U44" s="106">
        <v>7156.8</v>
      </c>
      <c r="V44" s="106">
        <v>5</v>
      </c>
      <c r="W44" s="106">
        <v>5112</v>
      </c>
      <c r="X44" s="106">
        <v>6</v>
      </c>
      <c r="Y44" s="106">
        <v>6134.4</v>
      </c>
      <c r="Z44" s="106">
        <v>4</v>
      </c>
      <c r="AA44" s="106">
        <v>4089.6</v>
      </c>
      <c r="AB44" s="106">
        <v>57</v>
      </c>
      <c r="AC44" s="106">
        <v>58276.799999999996</v>
      </c>
      <c r="AD44" s="106">
        <v>59</v>
      </c>
      <c r="AE44" s="106">
        <v>60321.599999999999</v>
      </c>
      <c r="AF44" s="106">
        <v>52</v>
      </c>
      <c r="AG44" s="106">
        <v>53164.799999999996</v>
      </c>
      <c r="AH44" s="106">
        <v>49</v>
      </c>
      <c r="AI44" s="106">
        <v>50097.599999999999</v>
      </c>
      <c r="AJ44" s="106">
        <v>67</v>
      </c>
      <c r="AK44" s="106">
        <v>68500.800000000003</v>
      </c>
      <c r="AL44" s="106">
        <v>68</v>
      </c>
      <c r="AM44" s="106">
        <v>69523.199999999997</v>
      </c>
      <c r="AN44" s="106">
        <v>65</v>
      </c>
      <c r="AO44" s="106">
        <v>66456</v>
      </c>
      <c r="AP44" s="106">
        <v>68</v>
      </c>
      <c r="AQ44" s="106">
        <v>69523.199999999997</v>
      </c>
      <c r="AR44" s="106">
        <v>25</v>
      </c>
      <c r="AS44" s="106">
        <v>25560</v>
      </c>
      <c r="AT44" s="106">
        <v>24</v>
      </c>
      <c r="AU44" s="106">
        <v>24537.599999999999</v>
      </c>
      <c r="AV44" s="106">
        <v>14</v>
      </c>
      <c r="AW44" s="106">
        <v>14313.6</v>
      </c>
      <c r="AX44" s="106">
        <v>14</v>
      </c>
      <c r="AY44" s="106">
        <v>14313.6</v>
      </c>
      <c r="AZ44" s="106">
        <v>5</v>
      </c>
      <c r="BA44" s="106">
        <v>5112</v>
      </c>
      <c r="BB44" s="106">
        <v>7</v>
      </c>
      <c r="BC44" s="106">
        <v>7156.8</v>
      </c>
      <c r="BD44" s="106">
        <v>5</v>
      </c>
      <c r="BE44" s="106">
        <v>5112</v>
      </c>
      <c r="BF44" s="106">
        <v>7</v>
      </c>
      <c r="BG44" s="106">
        <v>7156.8</v>
      </c>
      <c r="BH44" s="106">
        <v>55</v>
      </c>
      <c r="BI44" s="106">
        <v>56232</v>
      </c>
      <c r="BJ44" s="106">
        <v>38</v>
      </c>
      <c r="BK44" s="106">
        <v>38851.199999999997</v>
      </c>
      <c r="BL44" s="106">
        <v>38</v>
      </c>
      <c r="BM44" s="106">
        <v>38851.199999999997</v>
      </c>
      <c r="BN44" s="106">
        <v>57</v>
      </c>
      <c r="BO44" s="106">
        <v>58276.799999999996</v>
      </c>
      <c r="BP44" s="106">
        <v>37</v>
      </c>
      <c r="BQ44" s="106">
        <v>37828.799999999996</v>
      </c>
      <c r="BR44" s="106">
        <v>35</v>
      </c>
      <c r="BS44" s="106">
        <v>35784</v>
      </c>
      <c r="BT44" s="106">
        <v>26</v>
      </c>
      <c r="BU44" s="106">
        <v>26582.399999999998</v>
      </c>
      <c r="BV44" s="106">
        <v>32</v>
      </c>
      <c r="BW44" s="106">
        <v>32716.799999999999</v>
      </c>
      <c r="BX44" s="106">
        <v>6</v>
      </c>
      <c r="BY44" s="106">
        <v>6134.4</v>
      </c>
      <c r="BZ44" s="106">
        <v>11</v>
      </c>
      <c r="CA44" s="106">
        <v>11246.4</v>
      </c>
      <c r="CB44" s="106">
        <v>12</v>
      </c>
      <c r="CC44" s="106">
        <v>12268.8</v>
      </c>
      <c r="CD44" s="106">
        <v>7</v>
      </c>
      <c r="CE44" s="106">
        <v>7156.8</v>
      </c>
      <c r="CF44" s="106">
        <v>5</v>
      </c>
      <c r="CG44" s="106">
        <v>5112</v>
      </c>
      <c r="CH44" s="106">
        <v>5</v>
      </c>
      <c r="CI44" s="106">
        <v>5112</v>
      </c>
      <c r="CJ44" s="106">
        <v>4</v>
      </c>
      <c r="CK44" s="106">
        <v>4089.6</v>
      </c>
      <c r="CL44" s="106">
        <v>3</v>
      </c>
      <c r="CM44" s="106">
        <v>3067.2</v>
      </c>
      <c r="CN44" s="106">
        <v>6</v>
      </c>
      <c r="CO44" s="106">
        <v>6134.4</v>
      </c>
      <c r="CP44" s="106">
        <v>5</v>
      </c>
      <c r="CQ44" s="106">
        <v>5112</v>
      </c>
      <c r="CR44" s="106">
        <v>4</v>
      </c>
      <c r="CS44" s="106">
        <v>4089.6</v>
      </c>
      <c r="CT44" s="106">
        <v>5</v>
      </c>
      <c r="CU44" s="106">
        <v>5112</v>
      </c>
    </row>
    <row r="45" spans="2:99" x14ac:dyDescent="0.2">
      <c r="C45" s="105" t="s">
        <v>211</v>
      </c>
      <c r="D45" s="106">
        <v>14</v>
      </c>
      <c r="E45" s="106">
        <v>17488.8</v>
      </c>
      <c r="F45" s="106">
        <v>12</v>
      </c>
      <c r="G45" s="106">
        <v>14990.400000000001</v>
      </c>
      <c r="H45" s="106">
        <v>9</v>
      </c>
      <c r="I45" s="106">
        <v>11242.800000000001</v>
      </c>
      <c r="J45" s="106">
        <v>12</v>
      </c>
      <c r="K45" s="106">
        <v>14990.400000000001</v>
      </c>
      <c r="L45" s="106">
        <v>49</v>
      </c>
      <c r="M45" s="106">
        <v>61210.8</v>
      </c>
      <c r="N45" s="106">
        <v>48</v>
      </c>
      <c r="O45" s="106">
        <v>59961.600000000006</v>
      </c>
      <c r="P45" s="106">
        <v>76</v>
      </c>
      <c r="Q45" s="106">
        <v>94939.199999999997</v>
      </c>
      <c r="R45" s="106">
        <v>70</v>
      </c>
      <c r="S45" s="106">
        <v>87444</v>
      </c>
      <c r="T45" s="106">
        <v>6</v>
      </c>
      <c r="U45" s="106">
        <v>7495.2000000000007</v>
      </c>
      <c r="V45" s="106">
        <v>5</v>
      </c>
      <c r="W45" s="106">
        <v>6246</v>
      </c>
      <c r="X45" s="106">
        <v>6</v>
      </c>
      <c r="Y45" s="106">
        <v>7495.2000000000007</v>
      </c>
      <c r="Z45" s="106">
        <v>4</v>
      </c>
      <c r="AA45" s="106">
        <v>4996.8</v>
      </c>
      <c r="AB45" s="106">
        <v>65</v>
      </c>
      <c r="AC45" s="106">
        <v>81198</v>
      </c>
      <c r="AD45" s="106">
        <v>63</v>
      </c>
      <c r="AE45" s="106">
        <v>78699.600000000006</v>
      </c>
      <c r="AF45" s="106">
        <v>48</v>
      </c>
      <c r="AG45" s="106">
        <v>59961.600000000006</v>
      </c>
      <c r="AH45" s="106">
        <v>40</v>
      </c>
      <c r="AI45" s="106">
        <v>49968</v>
      </c>
      <c r="AJ45" s="106">
        <v>59</v>
      </c>
      <c r="AK45" s="106">
        <v>73702.8</v>
      </c>
      <c r="AL45" s="106">
        <v>68</v>
      </c>
      <c r="AM45" s="106">
        <v>84945.600000000006</v>
      </c>
      <c r="AN45" s="106">
        <v>60</v>
      </c>
      <c r="AO45" s="106">
        <v>74952</v>
      </c>
      <c r="AP45" s="106">
        <v>69</v>
      </c>
      <c r="AQ45" s="106">
        <v>86194.8</v>
      </c>
      <c r="AR45" s="106">
        <v>28</v>
      </c>
      <c r="AS45" s="106">
        <v>34977.599999999999</v>
      </c>
      <c r="AT45" s="106">
        <v>22</v>
      </c>
      <c r="AU45" s="106">
        <v>27482.400000000001</v>
      </c>
      <c r="AV45" s="106">
        <v>15</v>
      </c>
      <c r="AW45" s="106">
        <v>18738</v>
      </c>
      <c r="AX45" s="106">
        <v>16</v>
      </c>
      <c r="AY45" s="106">
        <v>19987.2</v>
      </c>
      <c r="AZ45" s="106">
        <v>5</v>
      </c>
      <c r="BA45" s="106">
        <v>6246</v>
      </c>
      <c r="BB45" s="106">
        <v>7</v>
      </c>
      <c r="BC45" s="106">
        <v>8744.4</v>
      </c>
      <c r="BD45" s="106">
        <v>5</v>
      </c>
      <c r="BE45" s="106">
        <v>6246</v>
      </c>
      <c r="BF45" s="106">
        <v>6</v>
      </c>
      <c r="BG45" s="106">
        <v>7495.2000000000007</v>
      </c>
      <c r="BH45" s="106">
        <v>57</v>
      </c>
      <c r="BI45" s="106">
        <v>71204.400000000009</v>
      </c>
      <c r="BJ45" s="106">
        <v>34</v>
      </c>
      <c r="BK45" s="106">
        <v>42472.800000000003</v>
      </c>
      <c r="BL45" s="106">
        <v>36</v>
      </c>
      <c r="BM45" s="106">
        <v>44971.200000000004</v>
      </c>
      <c r="BN45" s="106">
        <v>59</v>
      </c>
      <c r="BO45" s="106">
        <v>73702.8</v>
      </c>
      <c r="BP45" s="106">
        <v>41</v>
      </c>
      <c r="BQ45" s="106">
        <v>51217.200000000004</v>
      </c>
      <c r="BR45" s="106">
        <v>35</v>
      </c>
      <c r="BS45" s="106">
        <v>43722</v>
      </c>
      <c r="BT45" s="106">
        <v>27</v>
      </c>
      <c r="BU45" s="106">
        <v>33728.400000000001</v>
      </c>
      <c r="BV45" s="106">
        <v>35</v>
      </c>
      <c r="BW45" s="106">
        <v>43722</v>
      </c>
      <c r="BX45" s="106">
        <v>5</v>
      </c>
      <c r="BY45" s="106">
        <v>6246</v>
      </c>
      <c r="BZ45" s="106">
        <v>10</v>
      </c>
      <c r="CA45" s="106">
        <v>12492</v>
      </c>
      <c r="CB45" s="106">
        <v>12</v>
      </c>
      <c r="CC45" s="106">
        <v>14990.400000000001</v>
      </c>
      <c r="CD45" s="106">
        <v>7</v>
      </c>
      <c r="CE45" s="106">
        <v>8744.4</v>
      </c>
      <c r="CF45" s="106">
        <v>5</v>
      </c>
      <c r="CG45" s="106">
        <v>6246</v>
      </c>
      <c r="CH45" s="106">
        <v>5</v>
      </c>
      <c r="CI45" s="106">
        <v>6246</v>
      </c>
      <c r="CJ45" s="106">
        <v>4</v>
      </c>
      <c r="CK45" s="106">
        <v>4996.8</v>
      </c>
      <c r="CL45" s="106">
        <v>3</v>
      </c>
      <c r="CM45" s="106">
        <v>3747.6000000000004</v>
      </c>
      <c r="CN45" s="106">
        <v>5</v>
      </c>
      <c r="CO45" s="106">
        <v>6246</v>
      </c>
      <c r="CP45" s="106">
        <v>5</v>
      </c>
      <c r="CQ45" s="106">
        <v>6246</v>
      </c>
      <c r="CR45" s="106">
        <v>4</v>
      </c>
      <c r="CS45" s="106">
        <v>4996.8</v>
      </c>
      <c r="CT45" s="106">
        <v>5</v>
      </c>
      <c r="CU45" s="106">
        <v>6246</v>
      </c>
    </row>
    <row r="46" spans="2:99" x14ac:dyDescent="0.2">
      <c r="C46" s="105" t="s">
        <v>212</v>
      </c>
      <c r="D46" s="106">
        <v>14</v>
      </c>
      <c r="E46" s="106">
        <v>16968</v>
      </c>
      <c r="F46" s="106">
        <v>12</v>
      </c>
      <c r="G46" s="106">
        <v>14544</v>
      </c>
      <c r="H46" s="106">
        <v>10</v>
      </c>
      <c r="I46" s="106">
        <v>12120</v>
      </c>
      <c r="J46" s="106">
        <v>13</v>
      </c>
      <c r="K46" s="106">
        <v>15756</v>
      </c>
      <c r="L46" s="106">
        <v>54</v>
      </c>
      <c r="M46" s="106">
        <v>65448</v>
      </c>
      <c r="N46" s="106">
        <v>49</v>
      </c>
      <c r="O46" s="106">
        <v>59388</v>
      </c>
      <c r="P46" s="106">
        <v>67</v>
      </c>
      <c r="Q46" s="106">
        <v>81204</v>
      </c>
      <c r="R46" s="106">
        <v>73</v>
      </c>
      <c r="S46" s="106">
        <v>88476</v>
      </c>
      <c r="T46" s="106">
        <v>6</v>
      </c>
      <c r="U46" s="106">
        <v>7272</v>
      </c>
      <c r="V46" s="106">
        <v>5</v>
      </c>
      <c r="W46" s="106">
        <v>6060</v>
      </c>
      <c r="X46" s="106">
        <v>6</v>
      </c>
      <c r="Y46" s="106">
        <v>7272</v>
      </c>
      <c r="Z46" s="106">
        <v>4</v>
      </c>
      <c r="AA46" s="106">
        <v>4848</v>
      </c>
      <c r="AB46" s="106">
        <v>57</v>
      </c>
      <c r="AC46" s="106">
        <v>69084</v>
      </c>
      <c r="AD46" s="106">
        <v>67</v>
      </c>
      <c r="AE46" s="106">
        <v>81204</v>
      </c>
      <c r="AF46" s="106">
        <v>45</v>
      </c>
      <c r="AG46" s="106">
        <v>54540</v>
      </c>
      <c r="AH46" s="106">
        <v>46</v>
      </c>
      <c r="AI46" s="106">
        <v>55752</v>
      </c>
      <c r="AJ46" s="106">
        <v>61</v>
      </c>
      <c r="AK46" s="106">
        <v>73932</v>
      </c>
      <c r="AL46" s="106">
        <v>63</v>
      </c>
      <c r="AM46" s="106">
        <v>76356</v>
      </c>
      <c r="AN46" s="106">
        <v>58</v>
      </c>
      <c r="AO46" s="106">
        <v>70296</v>
      </c>
      <c r="AP46" s="106">
        <v>71</v>
      </c>
      <c r="AQ46" s="106">
        <v>86052</v>
      </c>
      <c r="AR46" s="106">
        <v>24</v>
      </c>
      <c r="AS46" s="106">
        <v>29088</v>
      </c>
      <c r="AT46" s="106">
        <v>22</v>
      </c>
      <c r="AU46" s="106">
        <v>26664</v>
      </c>
      <c r="AV46" s="106">
        <v>16</v>
      </c>
      <c r="AW46" s="106">
        <v>19392</v>
      </c>
      <c r="AX46" s="106">
        <v>16</v>
      </c>
      <c r="AY46" s="106">
        <v>19392</v>
      </c>
      <c r="AZ46" s="106">
        <v>4</v>
      </c>
      <c r="BA46" s="106">
        <v>4848</v>
      </c>
      <c r="BB46" s="106">
        <v>7</v>
      </c>
      <c r="BC46" s="106">
        <v>8484</v>
      </c>
      <c r="BD46" s="106">
        <v>4</v>
      </c>
      <c r="BE46" s="106">
        <v>4848</v>
      </c>
      <c r="BF46" s="106">
        <v>7</v>
      </c>
      <c r="BG46" s="106">
        <v>8484</v>
      </c>
      <c r="BH46" s="106">
        <v>54</v>
      </c>
      <c r="BI46" s="106">
        <v>65448</v>
      </c>
      <c r="BJ46" s="106">
        <v>36</v>
      </c>
      <c r="BK46" s="106">
        <v>43632</v>
      </c>
      <c r="BL46" s="106">
        <v>41</v>
      </c>
      <c r="BM46" s="106">
        <v>49692</v>
      </c>
      <c r="BN46" s="106">
        <v>61</v>
      </c>
      <c r="BO46" s="106">
        <v>73932</v>
      </c>
      <c r="BP46" s="106">
        <v>39</v>
      </c>
      <c r="BQ46" s="106">
        <v>47268</v>
      </c>
      <c r="BR46" s="106">
        <v>36</v>
      </c>
      <c r="BS46" s="106">
        <v>43632</v>
      </c>
      <c r="BT46" s="106">
        <v>29</v>
      </c>
      <c r="BU46" s="106">
        <v>35148</v>
      </c>
      <c r="BV46" s="106">
        <v>31</v>
      </c>
      <c r="BW46" s="106">
        <v>37572</v>
      </c>
      <c r="BX46" s="106">
        <v>6</v>
      </c>
      <c r="BY46" s="106">
        <v>7272</v>
      </c>
      <c r="BZ46" s="106">
        <v>11</v>
      </c>
      <c r="CA46" s="106">
        <v>13332</v>
      </c>
      <c r="CB46" s="106">
        <v>11</v>
      </c>
      <c r="CC46" s="106">
        <v>13332</v>
      </c>
      <c r="CD46" s="106">
        <v>7</v>
      </c>
      <c r="CE46" s="106">
        <v>8484</v>
      </c>
      <c r="CF46" s="106">
        <v>4</v>
      </c>
      <c r="CG46" s="106">
        <v>4848</v>
      </c>
      <c r="CH46" s="106">
        <v>5</v>
      </c>
      <c r="CI46" s="106">
        <v>6060</v>
      </c>
      <c r="CJ46" s="106">
        <v>5</v>
      </c>
      <c r="CK46" s="106">
        <v>6060</v>
      </c>
      <c r="CL46" s="106">
        <v>4</v>
      </c>
      <c r="CM46" s="106">
        <v>4848</v>
      </c>
      <c r="CN46" s="106">
        <v>5</v>
      </c>
      <c r="CO46" s="106">
        <v>6060</v>
      </c>
      <c r="CP46" s="106">
        <v>6</v>
      </c>
      <c r="CQ46" s="106">
        <v>7272</v>
      </c>
      <c r="CR46" s="106">
        <v>4</v>
      </c>
      <c r="CS46" s="106">
        <v>4848</v>
      </c>
      <c r="CT46" s="106">
        <v>5</v>
      </c>
      <c r="CU46" s="106">
        <v>6060</v>
      </c>
    </row>
    <row r="47" spans="2:99" x14ac:dyDescent="0.2">
      <c r="C47" s="105" t="s">
        <v>213</v>
      </c>
      <c r="D47" s="106">
        <v>13</v>
      </c>
      <c r="E47" s="106">
        <v>19858.8</v>
      </c>
      <c r="F47" s="106">
        <v>13</v>
      </c>
      <c r="G47" s="106">
        <v>19858.8</v>
      </c>
      <c r="H47" s="106">
        <v>9</v>
      </c>
      <c r="I47" s="106">
        <v>13748.4</v>
      </c>
      <c r="J47" s="106">
        <v>13</v>
      </c>
      <c r="K47" s="106">
        <v>19858.8</v>
      </c>
      <c r="L47" s="106">
        <v>48</v>
      </c>
      <c r="M47" s="106">
        <v>73324.799999999988</v>
      </c>
      <c r="N47" s="106">
        <v>45</v>
      </c>
      <c r="O47" s="106">
        <v>68742</v>
      </c>
      <c r="P47" s="106">
        <v>65</v>
      </c>
      <c r="Q47" s="106">
        <v>99294</v>
      </c>
      <c r="R47" s="106">
        <v>62</v>
      </c>
      <c r="S47" s="106">
        <v>94711.2</v>
      </c>
      <c r="T47" s="106">
        <v>6</v>
      </c>
      <c r="U47" s="106">
        <v>9165.5999999999985</v>
      </c>
      <c r="V47" s="106">
        <v>5</v>
      </c>
      <c r="W47" s="106">
        <v>7638</v>
      </c>
      <c r="X47" s="106">
        <v>6</v>
      </c>
      <c r="Y47" s="106">
        <v>9165.5999999999985</v>
      </c>
      <c r="Z47" s="106">
        <v>4</v>
      </c>
      <c r="AA47" s="106">
        <v>6110.4</v>
      </c>
      <c r="AB47" s="106">
        <v>60</v>
      </c>
      <c r="AC47" s="106">
        <v>91656</v>
      </c>
      <c r="AD47" s="106">
        <v>53</v>
      </c>
      <c r="AE47" s="106">
        <v>80962.799999999988</v>
      </c>
      <c r="AF47" s="106">
        <v>41</v>
      </c>
      <c r="AG47" s="106">
        <v>62631.6</v>
      </c>
      <c r="AH47" s="106">
        <v>46</v>
      </c>
      <c r="AI47" s="106">
        <v>70269.599999999991</v>
      </c>
      <c r="AJ47" s="106">
        <v>62</v>
      </c>
      <c r="AK47" s="106">
        <v>94711.2</v>
      </c>
      <c r="AL47" s="106">
        <v>67</v>
      </c>
      <c r="AM47" s="106">
        <v>102349.2</v>
      </c>
      <c r="AN47" s="106">
        <v>56</v>
      </c>
      <c r="AO47" s="106">
        <v>85545.599999999991</v>
      </c>
      <c r="AP47" s="106">
        <v>61</v>
      </c>
      <c r="AQ47" s="106">
        <v>93183.599999999991</v>
      </c>
      <c r="AR47" s="106">
        <v>23</v>
      </c>
      <c r="AS47" s="106">
        <v>35134.799999999996</v>
      </c>
      <c r="AT47" s="106">
        <v>23</v>
      </c>
      <c r="AU47" s="106">
        <v>35134.799999999996</v>
      </c>
      <c r="AV47" s="106">
        <v>14</v>
      </c>
      <c r="AW47" s="106">
        <v>21386.399999999998</v>
      </c>
      <c r="AX47" s="106">
        <v>14</v>
      </c>
      <c r="AY47" s="106">
        <v>21386.399999999998</v>
      </c>
      <c r="AZ47" s="106">
        <v>5</v>
      </c>
      <c r="BA47" s="106">
        <v>7638</v>
      </c>
      <c r="BB47" s="106">
        <v>7</v>
      </c>
      <c r="BC47" s="106">
        <v>10693.199999999999</v>
      </c>
      <c r="BD47" s="106">
        <v>5</v>
      </c>
      <c r="BE47" s="106">
        <v>7638</v>
      </c>
      <c r="BF47" s="106">
        <v>7</v>
      </c>
      <c r="BG47" s="106">
        <v>10693.199999999999</v>
      </c>
      <c r="BH47" s="106">
        <v>54</v>
      </c>
      <c r="BI47" s="106">
        <v>82490.399999999994</v>
      </c>
      <c r="BJ47" s="106">
        <v>37</v>
      </c>
      <c r="BK47" s="106">
        <v>56521.2</v>
      </c>
      <c r="BL47" s="106">
        <v>39</v>
      </c>
      <c r="BM47" s="106">
        <v>59576.399999999994</v>
      </c>
      <c r="BN47" s="106">
        <v>55</v>
      </c>
      <c r="BO47" s="106">
        <v>84018</v>
      </c>
      <c r="BP47" s="106">
        <v>34</v>
      </c>
      <c r="BQ47" s="106">
        <v>51938.399999999994</v>
      </c>
      <c r="BR47" s="106">
        <v>36</v>
      </c>
      <c r="BS47" s="106">
        <v>54993.599999999999</v>
      </c>
      <c r="BT47" s="106">
        <v>25</v>
      </c>
      <c r="BU47" s="106">
        <v>38190</v>
      </c>
      <c r="BV47" s="106">
        <v>31</v>
      </c>
      <c r="BW47" s="106">
        <v>47355.6</v>
      </c>
      <c r="BX47" s="106">
        <v>6</v>
      </c>
      <c r="BY47" s="106">
        <v>9165.5999999999985</v>
      </c>
      <c r="BZ47" s="106">
        <v>11</v>
      </c>
      <c r="CA47" s="106">
        <v>16803.599999999999</v>
      </c>
      <c r="CB47" s="106">
        <v>12</v>
      </c>
      <c r="CC47" s="106">
        <v>18331.199999999997</v>
      </c>
      <c r="CD47" s="106">
        <v>7</v>
      </c>
      <c r="CE47" s="106">
        <v>10693.199999999999</v>
      </c>
      <c r="CF47" s="106">
        <v>5</v>
      </c>
      <c r="CG47" s="106">
        <v>7638</v>
      </c>
      <c r="CH47" s="106">
        <v>6</v>
      </c>
      <c r="CI47" s="106">
        <v>9165.5999999999985</v>
      </c>
      <c r="CJ47" s="106">
        <v>4</v>
      </c>
      <c r="CK47" s="106">
        <v>6110.4</v>
      </c>
      <c r="CL47" s="106">
        <v>4</v>
      </c>
      <c r="CM47" s="106">
        <v>6110.4</v>
      </c>
      <c r="CN47" s="106">
        <v>5</v>
      </c>
      <c r="CO47" s="106">
        <v>7638</v>
      </c>
      <c r="CP47" s="106">
        <v>5</v>
      </c>
      <c r="CQ47" s="106">
        <v>7638</v>
      </c>
      <c r="CR47" s="106">
        <v>4</v>
      </c>
      <c r="CS47" s="106">
        <v>6110.4</v>
      </c>
      <c r="CT47" s="106">
        <v>5</v>
      </c>
      <c r="CU47" s="106">
        <v>7638</v>
      </c>
    </row>
    <row r="48" spans="2:99" x14ac:dyDescent="0.2">
      <c r="C48" s="105" t="s">
        <v>214</v>
      </c>
      <c r="D48" s="106">
        <v>14</v>
      </c>
      <c r="E48" s="106">
        <v>12146.4</v>
      </c>
      <c r="F48" s="106">
        <v>13</v>
      </c>
      <c r="G48" s="106">
        <v>11278.800000000001</v>
      </c>
      <c r="H48" s="106">
        <v>11</v>
      </c>
      <c r="I48" s="106">
        <v>9543.6</v>
      </c>
      <c r="J48" s="106">
        <v>14</v>
      </c>
      <c r="K48" s="106">
        <v>12146.4</v>
      </c>
      <c r="L48" s="106">
        <v>59</v>
      </c>
      <c r="M48" s="106">
        <v>51188.4</v>
      </c>
      <c r="N48" s="106">
        <v>48</v>
      </c>
      <c r="O48" s="106">
        <v>41644.800000000003</v>
      </c>
      <c r="P48" s="106">
        <v>79</v>
      </c>
      <c r="Q48" s="106">
        <v>68540.400000000009</v>
      </c>
      <c r="R48" s="106">
        <v>79</v>
      </c>
      <c r="S48" s="106">
        <v>68540.400000000009</v>
      </c>
      <c r="T48" s="106">
        <v>6</v>
      </c>
      <c r="U48" s="106">
        <v>5205.6000000000004</v>
      </c>
      <c r="V48" s="106">
        <v>5</v>
      </c>
      <c r="W48" s="106">
        <v>4338</v>
      </c>
      <c r="X48" s="106">
        <v>6</v>
      </c>
      <c r="Y48" s="106">
        <v>5205.6000000000004</v>
      </c>
      <c r="Z48" s="106">
        <v>4</v>
      </c>
      <c r="AA48" s="106">
        <v>3470.4</v>
      </c>
      <c r="AB48" s="106">
        <v>62</v>
      </c>
      <c r="AC48" s="106">
        <v>53791.200000000004</v>
      </c>
      <c r="AD48" s="106">
        <v>62</v>
      </c>
      <c r="AE48" s="106">
        <v>53791.200000000004</v>
      </c>
      <c r="AF48" s="106">
        <v>53</v>
      </c>
      <c r="AG48" s="106">
        <v>45982.8</v>
      </c>
      <c r="AH48" s="106">
        <v>49</v>
      </c>
      <c r="AI48" s="106">
        <v>42512.4</v>
      </c>
      <c r="AJ48" s="106">
        <v>64</v>
      </c>
      <c r="AK48" s="106">
        <v>55526.400000000001</v>
      </c>
      <c r="AL48" s="106">
        <v>72</v>
      </c>
      <c r="AM48" s="106">
        <v>62467.200000000004</v>
      </c>
      <c r="AN48" s="106">
        <v>60</v>
      </c>
      <c r="AO48" s="106">
        <v>52056</v>
      </c>
      <c r="AP48" s="106">
        <v>80</v>
      </c>
      <c r="AQ48" s="106">
        <v>69408</v>
      </c>
      <c r="AR48" s="106">
        <v>26</v>
      </c>
      <c r="AS48" s="106">
        <v>22557.600000000002</v>
      </c>
      <c r="AT48" s="106">
        <v>26</v>
      </c>
      <c r="AU48" s="106">
        <v>22557.600000000002</v>
      </c>
      <c r="AV48" s="106">
        <v>15</v>
      </c>
      <c r="AW48" s="106">
        <v>13014</v>
      </c>
      <c r="AX48" s="106">
        <v>15</v>
      </c>
      <c r="AY48" s="106">
        <v>13014</v>
      </c>
      <c r="AZ48" s="106">
        <v>5</v>
      </c>
      <c r="BA48" s="106">
        <v>4338</v>
      </c>
      <c r="BB48" s="106">
        <v>7</v>
      </c>
      <c r="BC48" s="106">
        <v>6073.2</v>
      </c>
      <c r="BD48" s="106">
        <v>5</v>
      </c>
      <c r="BE48" s="106">
        <v>4338</v>
      </c>
      <c r="BF48" s="106">
        <v>7</v>
      </c>
      <c r="BG48" s="106">
        <v>6073.2</v>
      </c>
      <c r="BH48" s="106">
        <v>62</v>
      </c>
      <c r="BI48" s="106">
        <v>53791.200000000004</v>
      </c>
      <c r="BJ48" s="106">
        <v>37</v>
      </c>
      <c r="BK48" s="106">
        <v>32101.200000000001</v>
      </c>
      <c r="BL48" s="106">
        <v>45</v>
      </c>
      <c r="BM48" s="106">
        <v>39042</v>
      </c>
      <c r="BN48" s="106">
        <v>68</v>
      </c>
      <c r="BO48" s="106">
        <v>58996.800000000003</v>
      </c>
      <c r="BP48" s="106">
        <v>42</v>
      </c>
      <c r="BQ48" s="106">
        <v>36439.200000000004</v>
      </c>
      <c r="BR48" s="106">
        <v>35</v>
      </c>
      <c r="BS48" s="106">
        <v>30366</v>
      </c>
      <c r="BT48" s="106">
        <v>27</v>
      </c>
      <c r="BU48" s="106">
        <v>23425.200000000001</v>
      </c>
      <c r="BV48" s="106">
        <v>35</v>
      </c>
      <c r="BW48" s="106">
        <v>30366</v>
      </c>
      <c r="BX48" s="106">
        <v>6</v>
      </c>
      <c r="BY48" s="106">
        <v>5205.6000000000004</v>
      </c>
      <c r="BZ48" s="106">
        <v>11</v>
      </c>
      <c r="CA48" s="106">
        <v>9543.6</v>
      </c>
      <c r="CB48" s="106">
        <v>13</v>
      </c>
      <c r="CC48" s="106">
        <v>11278.800000000001</v>
      </c>
      <c r="CD48" s="106">
        <v>7</v>
      </c>
      <c r="CE48" s="106">
        <v>6073.2</v>
      </c>
      <c r="CF48" s="106">
        <v>5</v>
      </c>
      <c r="CG48" s="106">
        <v>4338</v>
      </c>
      <c r="CH48" s="106">
        <v>5</v>
      </c>
      <c r="CI48" s="106">
        <v>4338</v>
      </c>
      <c r="CJ48" s="106">
        <v>4</v>
      </c>
      <c r="CK48" s="106">
        <v>3470.4</v>
      </c>
      <c r="CL48" s="106">
        <v>4</v>
      </c>
      <c r="CM48" s="106">
        <v>3470.4</v>
      </c>
      <c r="CN48" s="106">
        <v>6</v>
      </c>
      <c r="CO48" s="106">
        <v>5205.6000000000004</v>
      </c>
      <c r="CP48" s="106">
        <v>6</v>
      </c>
      <c r="CQ48" s="106">
        <v>5205.6000000000004</v>
      </c>
      <c r="CR48" s="106">
        <v>4</v>
      </c>
      <c r="CS48" s="106">
        <v>3470.4</v>
      </c>
      <c r="CT48" s="106">
        <v>5</v>
      </c>
      <c r="CU48" s="106">
        <v>4338</v>
      </c>
    </row>
    <row r="49" spans="2:99" x14ac:dyDescent="0.2">
      <c r="B49" s="105" t="s">
        <v>129</v>
      </c>
      <c r="C49" s="105" t="s">
        <v>215</v>
      </c>
      <c r="D49" s="106">
        <v>7.1096889253162736</v>
      </c>
      <c r="E49" s="106">
        <v>7004.4655292215921</v>
      </c>
      <c r="F49" s="106">
        <v>7</v>
      </c>
      <c r="G49" s="106">
        <v>6896.4</v>
      </c>
      <c r="H49" s="106">
        <v>6.2838048563154381</v>
      </c>
      <c r="I49" s="106">
        <v>6190.8045444419695</v>
      </c>
      <c r="J49" s="106">
        <v>6.1533280245306337</v>
      </c>
      <c r="K49" s="106">
        <v>6062.2587697675799</v>
      </c>
      <c r="L49" s="106">
        <v>33.029527639502398</v>
      </c>
      <c r="M49" s="106">
        <v>32540.690630437759</v>
      </c>
      <c r="N49" s="106">
        <v>19.033634817727709</v>
      </c>
      <c r="O49" s="106">
        <v>18751.937022425336</v>
      </c>
      <c r="P49" s="106">
        <v>27.02385963756598</v>
      </c>
      <c r="Q49" s="106">
        <v>26623.90651493</v>
      </c>
      <c r="R49" s="106">
        <v>24.015287487544036</v>
      </c>
      <c r="S49" s="106">
        <v>23659.861232728384</v>
      </c>
      <c r="T49" s="106">
        <v>3.0098021860618016</v>
      </c>
      <c r="U49" s="106">
        <v>2965.2571137080868</v>
      </c>
      <c r="V49" s="106">
        <v>3.0231185914750816</v>
      </c>
      <c r="W49" s="106">
        <v>2978.3764363212499</v>
      </c>
      <c r="X49" s="106">
        <v>3</v>
      </c>
      <c r="Y49" s="106">
        <v>2955.6</v>
      </c>
      <c r="Z49" s="106">
        <v>5.0385017922289306</v>
      </c>
      <c r="AA49" s="106">
        <v>4963.9319657039423</v>
      </c>
      <c r="AB49" s="106">
        <v>7</v>
      </c>
      <c r="AC49" s="106">
        <v>6896.4</v>
      </c>
      <c r="AD49" s="106">
        <v>6.0366464964243658</v>
      </c>
      <c r="AE49" s="106">
        <v>5947.3041282772847</v>
      </c>
      <c r="AF49" s="106">
        <v>5.0322368258211432</v>
      </c>
      <c r="AG49" s="106">
        <v>4957.7597207989902</v>
      </c>
      <c r="AH49" s="106">
        <v>8.036993036536332</v>
      </c>
      <c r="AI49" s="106">
        <v>7918.0455395955942</v>
      </c>
      <c r="AJ49" s="106">
        <v>4.031692108877686</v>
      </c>
      <c r="AK49" s="106">
        <v>3972.0230656662961</v>
      </c>
      <c r="AL49" s="106">
        <v>8.1077744666384444</v>
      </c>
      <c r="AM49" s="106">
        <v>7987.7794045321953</v>
      </c>
      <c r="AN49" s="106">
        <v>6.05756388204526</v>
      </c>
      <c r="AO49" s="106">
        <v>5967.9119365909901</v>
      </c>
      <c r="AP49" s="106">
        <v>7</v>
      </c>
      <c r="AQ49" s="106">
        <v>6896.4</v>
      </c>
      <c r="AR49" s="106">
        <v>5</v>
      </c>
      <c r="AS49" s="106">
        <v>4926</v>
      </c>
      <c r="AT49" s="106">
        <v>4.1117442661675261</v>
      </c>
      <c r="AU49" s="106">
        <v>4050.8904510282464</v>
      </c>
      <c r="AV49" s="106">
        <v>2</v>
      </c>
      <c r="AW49" s="106">
        <v>1970.3999999999999</v>
      </c>
      <c r="AX49" s="106">
        <v>3.0213689804077148</v>
      </c>
      <c r="AY49" s="106">
        <v>2976.6527194976807</v>
      </c>
      <c r="AZ49" s="106">
        <v>7.1261631271160359</v>
      </c>
      <c r="BA49" s="106">
        <v>7020.695912834718</v>
      </c>
      <c r="BB49" s="106">
        <v>7.0461361014994237</v>
      </c>
      <c r="BC49" s="106">
        <v>6941.853287197232</v>
      </c>
      <c r="BD49" s="106">
        <v>5.051627347965435</v>
      </c>
      <c r="BE49" s="106">
        <v>4976.8632632155459</v>
      </c>
      <c r="BF49" s="106">
        <v>5.0322893787044292</v>
      </c>
      <c r="BG49" s="106">
        <v>4957.811495899603</v>
      </c>
      <c r="BH49" s="106">
        <v>4.0295551765304651</v>
      </c>
      <c r="BI49" s="106">
        <v>3969.9177599178138</v>
      </c>
      <c r="BJ49" s="106">
        <v>5.0477306000267177</v>
      </c>
      <c r="BK49" s="106">
        <v>4973.0241871463222</v>
      </c>
      <c r="BL49" s="106">
        <v>4</v>
      </c>
      <c r="BM49" s="106">
        <v>3940.7999999999997</v>
      </c>
      <c r="BN49" s="106">
        <v>5.0646364676890085</v>
      </c>
      <c r="BO49" s="106">
        <v>4989.6798479672107</v>
      </c>
      <c r="BP49" s="106">
        <v>4.0647780304820413</v>
      </c>
      <c r="BQ49" s="106">
        <v>4004.6193156309068</v>
      </c>
      <c r="BR49" s="106">
        <v>4</v>
      </c>
      <c r="BS49" s="106">
        <v>3940.7999999999997</v>
      </c>
      <c r="BT49" s="106">
        <v>3.0623396273524546</v>
      </c>
      <c r="BU49" s="106">
        <v>3017.0170008676382</v>
      </c>
      <c r="BV49" s="106">
        <v>4</v>
      </c>
      <c r="BW49" s="106">
        <v>3940.7999999999997</v>
      </c>
      <c r="BX49" s="106">
        <v>53.049400518956723</v>
      </c>
      <c r="BY49" s="106">
        <v>52264.269391276161</v>
      </c>
      <c r="BZ49" s="106">
        <v>77.047742143368666</v>
      </c>
      <c r="CA49" s="106">
        <v>75907.435559646809</v>
      </c>
      <c r="CB49" s="106">
        <v>60</v>
      </c>
      <c r="CC49" s="106">
        <v>59111.999999999993</v>
      </c>
      <c r="CD49" s="106">
        <v>67.058619291601687</v>
      </c>
      <c r="CE49" s="106">
        <v>66066.151726085984</v>
      </c>
      <c r="CF49" s="106">
        <v>30.126453126496216</v>
      </c>
      <c r="CG49" s="106">
        <v>29680.581620224071</v>
      </c>
      <c r="CH49" s="106">
        <v>20</v>
      </c>
      <c r="CI49" s="106">
        <v>19704</v>
      </c>
      <c r="CJ49" s="106">
        <v>26.059866255144033</v>
      </c>
      <c r="CK49" s="106">
        <v>25674.180234567899</v>
      </c>
      <c r="CL49" s="106">
        <v>23</v>
      </c>
      <c r="CM49" s="106">
        <v>22659.599999999999</v>
      </c>
      <c r="CN49" s="106">
        <v>4.0317836126798072</v>
      </c>
      <c r="CO49" s="106">
        <v>3972.1132152121459</v>
      </c>
      <c r="CP49" s="106">
        <v>3.0950864833749074</v>
      </c>
      <c r="CQ49" s="106">
        <v>3049.2792034209588</v>
      </c>
      <c r="CR49" s="106">
        <v>4.0340574545653904</v>
      </c>
      <c r="CS49" s="106">
        <v>3974.3534042378224</v>
      </c>
      <c r="CT49" s="106">
        <v>3.0451189713220859</v>
      </c>
      <c r="CU49" s="106">
        <v>3000.0512105465186</v>
      </c>
    </row>
    <row r="50" spans="2:99" x14ac:dyDescent="0.2">
      <c r="C50" s="105" t="s">
        <v>216</v>
      </c>
      <c r="D50" s="106">
        <v>7</v>
      </c>
      <c r="E50" s="106">
        <v>1974</v>
      </c>
      <c r="F50" s="106">
        <v>7</v>
      </c>
      <c r="G50" s="106">
        <v>1974</v>
      </c>
      <c r="H50" s="106">
        <v>5</v>
      </c>
      <c r="I50" s="106">
        <v>1410</v>
      </c>
      <c r="J50" s="106">
        <v>8</v>
      </c>
      <c r="K50" s="106">
        <v>2256</v>
      </c>
      <c r="L50" s="106">
        <v>37</v>
      </c>
      <c r="M50" s="106">
        <v>10434</v>
      </c>
      <c r="N50" s="106">
        <v>21</v>
      </c>
      <c r="O50" s="106">
        <v>5922</v>
      </c>
      <c r="P50" s="106">
        <v>26</v>
      </c>
      <c r="Q50" s="106">
        <v>7332</v>
      </c>
      <c r="R50" s="106">
        <v>29</v>
      </c>
      <c r="S50" s="106">
        <v>8178</v>
      </c>
      <c r="T50" s="106">
        <v>2</v>
      </c>
      <c r="U50" s="106">
        <v>564</v>
      </c>
      <c r="V50" s="106">
        <v>3</v>
      </c>
      <c r="W50" s="106">
        <v>846</v>
      </c>
      <c r="X50" s="106">
        <v>3</v>
      </c>
      <c r="Y50" s="106">
        <v>846</v>
      </c>
      <c r="Z50" s="106">
        <v>5</v>
      </c>
      <c r="AA50" s="106">
        <v>1410</v>
      </c>
      <c r="AB50" s="106">
        <v>8</v>
      </c>
      <c r="AC50" s="106">
        <v>2256</v>
      </c>
      <c r="AD50" s="106">
        <v>7</v>
      </c>
      <c r="AE50" s="106">
        <v>1974</v>
      </c>
      <c r="AF50" s="106">
        <v>6</v>
      </c>
      <c r="AG50" s="106">
        <v>1692</v>
      </c>
      <c r="AH50" s="106">
        <v>8</v>
      </c>
      <c r="AI50" s="106">
        <v>2256</v>
      </c>
      <c r="AJ50" s="106">
        <v>5</v>
      </c>
      <c r="AK50" s="106">
        <v>1410</v>
      </c>
      <c r="AL50" s="106">
        <v>9</v>
      </c>
      <c r="AM50" s="106">
        <v>2538</v>
      </c>
      <c r="AN50" s="106">
        <v>6</v>
      </c>
      <c r="AO50" s="106">
        <v>1692</v>
      </c>
      <c r="AP50" s="106">
        <v>8</v>
      </c>
      <c r="AQ50" s="106">
        <v>2256</v>
      </c>
      <c r="AR50" s="106">
        <v>5</v>
      </c>
      <c r="AS50" s="106">
        <v>1410</v>
      </c>
      <c r="AT50" s="106">
        <v>4</v>
      </c>
      <c r="AU50" s="106">
        <v>1128</v>
      </c>
      <c r="AV50" s="106">
        <v>3</v>
      </c>
      <c r="AW50" s="106">
        <v>846</v>
      </c>
      <c r="AX50" s="106">
        <v>3</v>
      </c>
      <c r="AY50" s="106">
        <v>846</v>
      </c>
      <c r="AZ50" s="106">
        <v>8</v>
      </c>
      <c r="BA50" s="106">
        <v>2256</v>
      </c>
      <c r="BB50" s="106">
        <v>7</v>
      </c>
      <c r="BC50" s="106">
        <v>1974</v>
      </c>
      <c r="BD50" s="106">
        <v>5</v>
      </c>
      <c r="BE50" s="106">
        <v>1410</v>
      </c>
      <c r="BF50" s="106">
        <v>5</v>
      </c>
      <c r="BG50" s="106">
        <v>1410</v>
      </c>
      <c r="BH50" s="106">
        <v>5</v>
      </c>
      <c r="BI50" s="106">
        <v>1410</v>
      </c>
      <c r="BJ50" s="106">
        <v>6</v>
      </c>
      <c r="BK50" s="106">
        <v>1692</v>
      </c>
      <c r="BL50" s="106">
        <v>5</v>
      </c>
      <c r="BM50" s="106">
        <v>1410</v>
      </c>
      <c r="BN50" s="106">
        <v>5</v>
      </c>
      <c r="BO50" s="106">
        <v>1410</v>
      </c>
      <c r="BP50" s="106">
        <v>4</v>
      </c>
      <c r="BQ50" s="106">
        <v>1128</v>
      </c>
      <c r="BR50" s="106">
        <v>4</v>
      </c>
      <c r="BS50" s="106">
        <v>1128</v>
      </c>
      <c r="BT50" s="106">
        <v>3</v>
      </c>
      <c r="BU50" s="106">
        <v>846</v>
      </c>
      <c r="BV50" s="106">
        <v>4</v>
      </c>
      <c r="BW50" s="106">
        <v>1128</v>
      </c>
      <c r="BX50" s="106">
        <v>57</v>
      </c>
      <c r="BY50" s="106">
        <v>16074</v>
      </c>
      <c r="BZ50" s="106">
        <v>92</v>
      </c>
      <c r="CA50" s="106">
        <v>25944</v>
      </c>
      <c r="CB50" s="106">
        <v>76</v>
      </c>
      <c r="CC50" s="106">
        <v>21432</v>
      </c>
      <c r="CD50" s="106">
        <v>79</v>
      </c>
      <c r="CE50" s="106">
        <v>22278</v>
      </c>
      <c r="CF50" s="106">
        <v>32</v>
      </c>
      <c r="CG50" s="106">
        <v>9024</v>
      </c>
      <c r="CH50" s="106">
        <v>22</v>
      </c>
      <c r="CI50" s="106">
        <v>6204</v>
      </c>
      <c r="CJ50" s="106">
        <v>25</v>
      </c>
      <c r="CK50" s="106">
        <v>7050</v>
      </c>
      <c r="CL50" s="106">
        <v>23</v>
      </c>
      <c r="CM50" s="106">
        <v>6486</v>
      </c>
      <c r="CN50" s="106">
        <v>4</v>
      </c>
      <c r="CO50" s="106">
        <v>1128</v>
      </c>
      <c r="CP50" s="106">
        <v>4</v>
      </c>
      <c r="CQ50" s="106">
        <v>1128</v>
      </c>
      <c r="CR50" s="106">
        <v>4</v>
      </c>
      <c r="CS50" s="106">
        <v>1128</v>
      </c>
      <c r="CT50" s="106">
        <v>3</v>
      </c>
      <c r="CU50" s="106">
        <v>846</v>
      </c>
    </row>
    <row r="51" spans="2:99" x14ac:dyDescent="0.2">
      <c r="C51" s="105" t="s">
        <v>217</v>
      </c>
      <c r="D51" s="106">
        <v>7</v>
      </c>
      <c r="E51" s="106">
        <v>5980.8</v>
      </c>
      <c r="F51" s="106">
        <v>7</v>
      </c>
      <c r="G51" s="106">
        <v>5980.8</v>
      </c>
      <c r="H51" s="106">
        <v>5</v>
      </c>
      <c r="I51" s="106">
        <v>4272</v>
      </c>
      <c r="J51" s="106">
        <v>6</v>
      </c>
      <c r="K51" s="106">
        <v>5126.3999999999996</v>
      </c>
      <c r="L51" s="106">
        <v>38</v>
      </c>
      <c r="M51" s="106">
        <v>32467.200000000001</v>
      </c>
      <c r="N51" s="106">
        <v>20</v>
      </c>
      <c r="O51" s="106">
        <v>17088</v>
      </c>
      <c r="P51" s="106">
        <v>24</v>
      </c>
      <c r="Q51" s="106">
        <v>20505.599999999999</v>
      </c>
      <c r="R51" s="106">
        <v>24</v>
      </c>
      <c r="S51" s="106">
        <v>20505.599999999999</v>
      </c>
      <c r="T51" s="106">
        <v>3</v>
      </c>
      <c r="U51" s="106">
        <v>2563.1999999999998</v>
      </c>
      <c r="V51" s="106">
        <v>3</v>
      </c>
      <c r="W51" s="106">
        <v>2563.1999999999998</v>
      </c>
      <c r="X51" s="106">
        <v>3</v>
      </c>
      <c r="Y51" s="106">
        <v>2563.1999999999998</v>
      </c>
      <c r="Z51" s="106">
        <v>5</v>
      </c>
      <c r="AA51" s="106">
        <v>4272</v>
      </c>
      <c r="AB51" s="106">
        <v>7</v>
      </c>
      <c r="AC51" s="106">
        <v>5980.8</v>
      </c>
      <c r="AD51" s="106">
        <v>7</v>
      </c>
      <c r="AE51" s="106">
        <v>5980.8</v>
      </c>
      <c r="AF51" s="106">
        <v>6</v>
      </c>
      <c r="AG51" s="106">
        <v>5126.3999999999996</v>
      </c>
      <c r="AH51" s="106">
        <v>8</v>
      </c>
      <c r="AI51" s="106">
        <v>6835.2</v>
      </c>
      <c r="AJ51" s="106">
        <v>4</v>
      </c>
      <c r="AK51" s="106">
        <v>3417.6</v>
      </c>
      <c r="AL51" s="106">
        <v>9</v>
      </c>
      <c r="AM51" s="106">
        <v>7689.5999999999995</v>
      </c>
      <c r="AN51" s="106">
        <v>6</v>
      </c>
      <c r="AO51" s="106">
        <v>5126.3999999999996</v>
      </c>
      <c r="AP51" s="106">
        <v>7</v>
      </c>
      <c r="AQ51" s="106">
        <v>5980.8</v>
      </c>
      <c r="AR51" s="106">
        <v>5</v>
      </c>
      <c r="AS51" s="106">
        <v>4272</v>
      </c>
      <c r="AT51" s="106">
        <v>4</v>
      </c>
      <c r="AU51" s="106">
        <v>3417.6</v>
      </c>
      <c r="AV51" s="106">
        <v>3</v>
      </c>
      <c r="AW51" s="106">
        <v>2563.1999999999998</v>
      </c>
      <c r="AX51" s="106">
        <v>3</v>
      </c>
      <c r="AY51" s="106">
        <v>2563.1999999999998</v>
      </c>
      <c r="AZ51" s="106">
        <v>7</v>
      </c>
      <c r="BA51" s="106">
        <v>5980.8</v>
      </c>
      <c r="BB51" s="106">
        <v>6</v>
      </c>
      <c r="BC51" s="106">
        <v>5126.3999999999996</v>
      </c>
      <c r="BD51" s="106">
        <v>5</v>
      </c>
      <c r="BE51" s="106">
        <v>4272</v>
      </c>
      <c r="BF51" s="106">
        <v>4</v>
      </c>
      <c r="BG51" s="106">
        <v>3417.6</v>
      </c>
      <c r="BH51" s="106">
        <v>5</v>
      </c>
      <c r="BI51" s="106">
        <v>4272</v>
      </c>
      <c r="BJ51" s="106">
        <v>5</v>
      </c>
      <c r="BK51" s="106">
        <v>4272</v>
      </c>
      <c r="BL51" s="106">
        <v>4</v>
      </c>
      <c r="BM51" s="106">
        <v>3417.6</v>
      </c>
      <c r="BN51" s="106">
        <v>5</v>
      </c>
      <c r="BO51" s="106">
        <v>4272</v>
      </c>
      <c r="BP51" s="106">
        <v>4</v>
      </c>
      <c r="BQ51" s="106">
        <v>3417.6</v>
      </c>
      <c r="BR51" s="106">
        <v>4</v>
      </c>
      <c r="BS51" s="106">
        <v>3417.6</v>
      </c>
      <c r="BT51" s="106">
        <v>4</v>
      </c>
      <c r="BU51" s="106">
        <v>3417.6</v>
      </c>
      <c r="BV51" s="106">
        <v>3</v>
      </c>
      <c r="BW51" s="106">
        <v>2563.1999999999998</v>
      </c>
      <c r="BX51" s="106">
        <v>48</v>
      </c>
      <c r="BY51" s="106">
        <v>41011.199999999997</v>
      </c>
      <c r="BZ51" s="106">
        <v>69</v>
      </c>
      <c r="CA51" s="106">
        <v>58953.599999999999</v>
      </c>
      <c r="CB51" s="106">
        <v>67</v>
      </c>
      <c r="CC51" s="106">
        <v>57244.799999999996</v>
      </c>
      <c r="CD51" s="106">
        <v>72</v>
      </c>
      <c r="CE51" s="106">
        <v>61516.799999999996</v>
      </c>
      <c r="CF51" s="106">
        <v>29</v>
      </c>
      <c r="CG51" s="106">
        <v>24777.599999999999</v>
      </c>
      <c r="CH51" s="106">
        <v>20</v>
      </c>
      <c r="CI51" s="106">
        <v>17088</v>
      </c>
      <c r="CJ51" s="106">
        <v>27</v>
      </c>
      <c r="CK51" s="106">
        <v>23068.799999999999</v>
      </c>
      <c r="CL51" s="106">
        <v>21</v>
      </c>
      <c r="CM51" s="106">
        <v>17942.399999999998</v>
      </c>
      <c r="CN51" s="106">
        <v>4</v>
      </c>
      <c r="CO51" s="106">
        <v>3417.6</v>
      </c>
      <c r="CP51" s="106">
        <v>3</v>
      </c>
      <c r="CQ51" s="106">
        <v>2563.1999999999998</v>
      </c>
      <c r="CR51" s="106">
        <v>4</v>
      </c>
      <c r="CS51" s="106">
        <v>3417.6</v>
      </c>
      <c r="CT51" s="106">
        <v>3</v>
      </c>
      <c r="CU51" s="106">
        <v>2563.1999999999998</v>
      </c>
    </row>
    <row r="52" spans="2:99" x14ac:dyDescent="0.2">
      <c r="C52" s="105" t="s">
        <v>218</v>
      </c>
      <c r="D52" s="106">
        <v>7</v>
      </c>
      <c r="E52" s="106">
        <v>3780</v>
      </c>
      <c r="F52" s="106">
        <v>7</v>
      </c>
      <c r="G52" s="106">
        <v>3780</v>
      </c>
      <c r="H52" s="106">
        <v>6</v>
      </c>
      <c r="I52" s="106">
        <v>3240</v>
      </c>
      <c r="J52" s="106">
        <v>8</v>
      </c>
      <c r="K52" s="106">
        <v>4320</v>
      </c>
      <c r="L52" s="106">
        <v>41</v>
      </c>
      <c r="M52" s="106">
        <v>22140</v>
      </c>
      <c r="N52" s="106">
        <v>19</v>
      </c>
      <c r="O52" s="106">
        <v>10260</v>
      </c>
      <c r="P52" s="106">
        <v>27</v>
      </c>
      <c r="Q52" s="106">
        <v>14580</v>
      </c>
      <c r="R52" s="106">
        <v>31</v>
      </c>
      <c r="S52" s="106">
        <v>16740</v>
      </c>
      <c r="T52" s="106">
        <v>2</v>
      </c>
      <c r="U52" s="106">
        <v>1080</v>
      </c>
      <c r="V52" s="106">
        <v>4</v>
      </c>
      <c r="W52" s="106">
        <v>2160</v>
      </c>
      <c r="X52" s="106">
        <v>3</v>
      </c>
      <c r="Y52" s="106">
        <v>1620</v>
      </c>
      <c r="Z52" s="106">
        <v>5</v>
      </c>
      <c r="AA52" s="106">
        <v>2700</v>
      </c>
      <c r="AB52" s="106">
        <v>8</v>
      </c>
      <c r="AC52" s="106">
        <v>4320</v>
      </c>
      <c r="AD52" s="106">
        <v>7</v>
      </c>
      <c r="AE52" s="106">
        <v>3780</v>
      </c>
      <c r="AF52" s="106">
        <v>5</v>
      </c>
      <c r="AG52" s="106">
        <v>2700</v>
      </c>
      <c r="AH52" s="106">
        <v>8</v>
      </c>
      <c r="AI52" s="106">
        <v>4320</v>
      </c>
      <c r="AJ52" s="106">
        <v>5</v>
      </c>
      <c r="AK52" s="106">
        <v>2700</v>
      </c>
      <c r="AL52" s="106">
        <v>8</v>
      </c>
      <c r="AM52" s="106">
        <v>4320</v>
      </c>
      <c r="AN52" s="106">
        <v>6</v>
      </c>
      <c r="AO52" s="106">
        <v>3240</v>
      </c>
      <c r="AP52" s="106">
        <v>7</v>
      </c>
      <c r="AQ52" s="106">
        <v>3780</v>
      </c>
      <c r="AR52" s="106">
        <v>5</v>
      </c>
      <c r="AS52" s="106">
        <v>2700</v>
      </c>
      <c r="AT52" s="106">
        <v>4</v>
      </c>
      <c r="AU52" s="106">
        <v>2160</v>
      </c>
      <c r="AV52" s="106">
        <v>3</v>
      </c>
      <c r="AW52" s="106">
        <v>1620</v>
      </c>
      <c r="AX52" s="106">
        <v>3</v>
      </c>
      <c r="AY52" s="106">
        <v>1620</v>
      </c>
      <c r="AZ52" s="106">
        <v>8</v>
      </c>
      <c r="BA52" s="106">
        <v>4320</v>
      </c>
      <c r="BB52" s="106">
        <v>7</v>
      </c>
      <c r="BC52" s="106">
        <v>3780</v>
      </c>
      <c r="BD52" s="106">
        <v>5</v>
      </c>
      <c r="BE52" s="106">
        <v>2700</v>
      </c>
      <c r="BF52" s="106">
        <v>5</v>
      </c>
      <c r="BG52" s="106">
        <v>2700</v>
      </c>
      <c r="BH52" s="106">
        <v>5</v>
      </c>
      <c r="BI52" s="106">
        <v>2700</v>
      </c>
      <c r="BJ52" s="106">
        <v>6</v>
      </c>
      <c r="BK52" s="106">
        <v>3240</v>
      </c>
      <c r="BL52" s="106">
        <v>4</v>
      </c>
      <c r="BM52" s="106">
        <v>2160</v>
      </c>
      <c r="BN52" s="106">
        <v>6</v>
      </c>
      <c r="BO52" s="106">
        <v>3240</v>
      </c>
      <c r="BP52" s="106">
        <v>4</v>
      </c>
      <c r="BQ52" s="106">
        <v>2160</v>
      </c>
      <c r="BR52" s="106">
        <v>4</v>
      </c>
      <c r="BS52" s="106">
        <v>2160</v>
      </c>
      <c r="BT52" s="106">
        <v>4</v>
      </c>
      <c r="BU52" s="106">
        <v>2160</v>
      </c>
      <c r="BV52" s="106">
        <v>3</v>
      </c>
      <c r="BW52" s="106">
        <v>1620</v>
      </c>
      <c r="BX52" s="106">
        <v>59</v>
      </c>
      <c r="BY52" s="106">
        <v>31860</v>
      </c>
      <c r="BZ52" s="106">
        <v>73</v>
      </c>
      <c r="CA52" s="106">
        <v>39420</v>
      </c>
      <c r="CB52" s="106">
        <v>81</v>
      </c>
      <c r="CC52" s="106">
        <v>43740</v>
      </c>
      <c r="CD52" s="106">
        <v>66</v>
      </c>
      <c r="CE52" s="106">
        <v>35640</v>
      </c>
      <c r="CF52" s="106">
        <v>28</v>
      </c>
      <c r="CG52" s="106">
        <v>15120</v>
      </c>
      <c r="CH52" s="106">
        <v>19</v>
      </c>
      <c r="CI52" s="106">
        <v>10260</v>
      </c>
      <c r="CJ52" s="106">
        <v>27</v>
      </c>
      <c r="CK52" s="106">
        <v>14580</v>
      </c>
      <c r="CL52" s="106">
        <v>24</v>
      </c>
      <c r="CM52" s="106">
        <v>12960</v>
      </c>
      <c r="CN52" s="106">
        <v>4</v>
      </c>
      <c r="CO52" s="106">
        <v>2160</v>
      </c>
      <c r="CP52" s="106">
        <v>3</v>
      </c>
      <c r="CQ52" s="106">
        <v>1620</v>
      </c>
      <c r="CR52" s="106">
        <v>4</v>
      </c>
      <c r="CS52" s="106">
        <v>2160</v>
      </c>
      <c r="CT52" s="106">
        <v>3</v>
      </c>
      <c r="CU52" s="106">
        <v>1620</v>
      </c>
    </row>
    <row r="53" spans="2:99" x14ac:dyDescent="0.2">
      <c r="C53" s="105" t="s">
        <v>219</v>
      </c>
      <c r="D53" s="106">
        <v>7</v>
      </c>
      <c r="E53" s="106">
        <v>2847.6</v>
      </c>
      <c r="F53" s="106">
        <v>8</v>
      </c>
      <c r="G53" s="106">
        <v>3254.4</v>
      </c>
      <c r="H53" s="106">
        <v>5</v>
      </c>
      <c r="I53" s="106">
        <v>2034</v>
      </c>
      <c r="J53" s="106">
        <v>7</v>
      </c>
      <c r="K53" s="106">
        <v>2847.6</v>
      </c>
      <c r="L53" s="106">
        <v>43</v>
      </c>
      <c r="M53" s="106">
        <v>17492.400000000001</v>
      </c>
      <c r="N53" s="106">
        <v>24</v>
      </c>
      <c r="O53" s="106">
        <v>9763.2000000000007</v>
      </c>
      <c r="P53" s="106">
        <v>29</v>
      </c>
      <c r="Q53" s="106">
        <v>11797.2</v>
      </c>
      <c r="R53" s="106">
        <v>30</v>
      </c>
      <c r="S53" s="106">
        <v>12204</v>
      </c>
      <c r="T53" s="106">
        <v>2</v>
      </c>
      <c r="U53" s="106">
        <v>813.6</v>
      </c>
      <c r="V53" s="106">
        <v>4</v>
      </c>
      <c r="W53" s="106">
        <v>1627.2</v>
      </c>
      <c r="X53" s="106">
        <v>3</v>
      </c>
      <c r="Y53" s="106">
        <v>1220.4000000000001</v>
      </c>
      <c r="Z53" s="106">
        <v>5</v>
      </c>
      <c r="AA53" s="106">
        <v>2034</v>
      </c>
      <c r="AB53" s="106">
        <v>9</v>
      </c>
      <c r="AC53" s="106">
        <v>3661.2000000000003</v>
      </c>
      <c r="AD53" s="106">
        <v>6</v>
      </c>
      <c r="AE53" s="106">
        <v>2440.8000000000002</v>
      </c>
      <c r="AF53" s="106">
        <v>5</v>
      </c>
      <c r="AG53" s="106">
        <v>2034</v>
      </c>
      <c r="AH53" s="106">
        <v>9</v>
      </c>
      <c r="AI53" s="106">
        <v>3661.2000000000003</v>
      </c>
      <c r="AJ53" s="106">
        <v>5</v>
      </c>
      <c r="AK53" s="106">
        <v>2034</v>
      </c>
      <c r="AL53" s="106">
        <v>10</v>
      </c>
      <c r="AM53" s="106">
        <v>4068</v>
      </c>
      <c r="AN53" s="106">
        <v>6</v>
      </c>
      <c r="AO53" s="106">
        <v>2440.8000000000002</v>
      </c>
      <c r="AP53" s="106">
        <v>8</v>
      </c>
      <c r="AQ53" s="106">
        <v>3254.4</v>
      </c>
      <c r="AR53" s="106">
        <v>5</v>
      </c>
      <c r="AS53" s="106">
        <v>2034</v>
      </c>
      <c r="AT53" s="106">
        <v>4</v>
      </c>
      <c r="AU53" s="106">
        <v>1627.2</v>
      </c>
      <c r="AV53" s="106">
        <v>3</v>
      </c>
      <c r="AW53" s="106">
        <v>1220.4000000000001</v>
      </c>
      <c r="AX53" s="106">
        <v>3</v>
      </c>
      <c r="AY53" s="106">
        <v>1220.4000000000001</v>
      </c>
      <c r="AZ53" s="106">
        <v>8</v>
      </c>
      <c r="BA53" s="106">
        <v>3254.4</v>
      </c>
      <c r="BB53" s="106">
        <v>7</v>
      </c>
      <c r="BC53" s="106">
        <v>2847.6</v>
      </c>
      <c r="BD53" s="106">
        <v>5</v>
      </c>
      <c r="BE53" s="106">
        <v>2034</v>
      </c>
      <c r="BF53" s="106">
        <v>4</v>
      </c>
      <c r="BG53" s="106">
        <v>1627.2</v>
      </c>
      <c r="BH53" s="106">
        <v>4</v>
      </c>
      <c r="BI53" s="106">
        <v>1627.2</v>
      </c>
      <c r="BJ53" s="106">
        <v>6</v>
      </c>
      <c r="BK53" s="106">
        <v>2440.8000000000002</v>
      </c>
      <c r="BL53" s="106">
        <v>4</v>
      </c>
      <c r="BM53" s="106">
        <v>1627.2</v>
      </c>
      <c r="BN53" s="106">
        <v>5</v>
      </c>
      <c r="BO53" s="106">
        <v>2034</v>
      </c>
      <c r="BP53" s="106">
        <v>4</v>
      </c>
      <c r="BQ53" s="106">
        <v>1627.2</v>
      </c>
      <c r="BR53" s="106">
        <v>4</v>
      </c>
      <c r="BS53" s="106">
        <v>1627.2</v>
      </c>
      <c r="BT53" s="106">
        <v>4</v>
      </c>
      <c r="BU53" s="106">
        <v>1627.2</v>
      </c>
      <c r="BV53" s="106">
        <v>4</v>
      </c>
      <c r="BW53" s="106">
        <v>1627.2</v>
      </c>
      <c r="BX53" s="106">
        <v>63</v>
      </c>
      <c r="BY53" s="106">
        <v>25628.400000000001</v>
      </c>
      <c r="BZ53" s="106">
        <v>83</v>
      </c>
      <c r="CA53" s="106">
        <v>33764.400000000001</v>
      </c>
      <c r="CB53" s="106">
        <v>83</v>
      </c>
      <c r="CC53" s="106">
        <v>33764.400000000001</v>
      </c>
      <c r="CD53" s="106">
        <v>73</v>
      </c>
      <c r="CE53" s="106">
        <v>29696.400000000001</v>
      </c>
      <c r="CF53" s="106">
        <v>34</v>
      </c>
      <c r="CG53" s="106">
        <v>13831.2</v>
      </c>
      <c r="CH53" s="106">
        <v>20</v>
      </c>
      <c r="CI53" s="106">
        <v>8136</v>
      </c>
      <c r="CJ53" s="106">
        <v>25</v>
      </c>
      <c r="CK53" s="106">
        <v>10170</v>
      </c>
      <c r="CL53" s="106">
        <v>24</v>
      </c>
      <c r="CM53" s="106">
        <v>9763.2000000000007</v>
      </c>
      <c r="CN53" s="106">
        <v>4</v>
      </c>
      <c r="CO53" s="106">
        <v>1627.2</v>
      </c>
      <c r="CP53" s="106">
        <v>3</v>
      </c>
      <c r="CQ53" s="106">
        <v>1220.4000000000001</v>
      </c>
      <c r="CR53" s="106">
        <v>5</v>
      </c>
      <c r="CS53" s="106">
        <v>2034</v>
      </c>
      <c r="CT53" s="106">
        <v>3</v>
      </c>
      <c r="CU53" s="106">
        <v>1220.4000000000001</v>
      </c>
    </row>
    <row r="54" spans="2:99" x14ac:dyDescent="0.2">
      <c r="C54" s="105" t="s">
        <v>220</v>
      </c>
      <c r="D54" s="106">
        <v>8</v>
      </c>
      <c r="E54" s="106">
        <v>2678.4</v>
      </c>
      <c r="F54" s="106">
        <v>7</v>
      </c>
      <c r="G54" s="106">
        <v>2343.6</v>
      </c>
      <c r="H54" s="106">
        <v>5</v>
      </c>
      <c r="I54" s="106">
        <v>1674</v>
      </c>
      <c r="J54" s="106">
        <v>7</v>
      </c>
      <c r="K54" s="106">
        <v>2343.6</v>
      </c>
      <c r="L54" s="106">
        <v>36</v>
      </c>
      <c r="M54" s="106">
        <v>12052.800000000001</v>
      </c>
      <c r="N54" s="106">
        <v>20</v>
      </c>
      <c r="O54" s="106">
        <v>6696</v>
      </c>
      <c r="P54" s="106">
        <v>26</v>
      </c>
      <c r="Q54" s="106">
        <v>8704.8000000000011</v>
      </c>
      <c r="R54" s="106">
        <v>28</v>
      </c>
      <c r="S54" s="106">
        <v>9374.4</v>
      </c>
      <c r="T54" s="106">
        <v>2</v>
      </c>
      <c r="U54" s="106">
        <v>669.6</v>
      </c>
      <c r="V54" s="106">
        <v>3</v>
      </c>
      <c r="W54" s="106">
        <v>1004.4000000000001</v>
      </c>
      <c r="X54" s="106">
        <v>3</v>
      </c>
      <c r="Y54" s="106">
        <v>1004.4000000000001</v>
      </c>
      <c r="Z54" s="106">
        <v>5</v>
      </c>
      <c r="AA54" s="106">
        <v>1674</v>
      </c>
      <c r="AB54" s="106">
        <v>9</v>
      </c>
      <c r="AC54" s="106">
        <v>3013.2000000000003</v>
      </c>
      <c r="AD54" s="106">
        <v>7</v>
      </c>
      <c r="AE54" s="106">
        <v>2343.6</v>
      </c>
      <c r="AF54" s="106">
        <v>6</v>
      </c>
      <c r="AG54" s="106">
        <v>2008.8000000000002</v>
      </c>
      <c r="AH54" s="106">
        <v>8</v>
      </c>
      <c r="AI54" s="106">
        <v>2678.4</v>
      </c>
      <c r="AJ54" s="106">
        <v>5</v>
      </c>
      <c r="AK54" s="106">
        <v>1674</v>
      </c>
      <c r="AL54" s="106">
        <v>8</v>
      </c>
      <c r="AM54" s="106">
        <v>2678.4</v>
      </c>
      <c r="AN54" s="106">
        <v>6</v>
      </c>
      <c r="AO54" s="106">
        <v>2008.8000000000002</v>
      </c>
      <c r="AP54" s="106">
        <v>6</v>
      </c>
      <c r="AQ54" s="106">
        <v>2008.8000000000002</v>
      </c>
      <c r="AR54" s="106">
        <v>5</v>
      </c>
      <c r="AS54" s="106">
        <v>1674</v>
      </c>
      <c r="AT54" s="106">
        <v>5</v>
      </c>
      <c r="AU54" s="106">
        <v>1674</v>
      </c>
      <c r="AV54" s="106">
        <v>3</v>
      </c>
      <c r="AW54" s="106">
        <v>1004.4000000000001</v>
      </c>
      <c r="AX54" s="106">
        <v>3</v>
      </c>
      <c r="AY54" s="106">
        <v>1004.4000000000001</v>
      </c>
      <c r="AZ54" s="106">
        <v>7</v>
      </c>
      <c r="BA54" s="106">
        <v>2343.6</v>
      </c>
      <c r="BB54" s="106">
        <v>7</v>
      </c>
      <c r="BC54" s="106">
        <v>2343.6</v>
      </c>
      <c r="BD54" s="106">
        <v>5</v>
      </c>
      <c r="BE54" s="106">
        <v>1674</v>
      </c>
      <c r="BF54" s="106">
        <v>5</v>
      </c>
      <c r="BG54" s="106">
        <v>1674</v>
      </c>
      <c r="BH54" s="106">
        <v>5</v>
      </c>
      <c r="BI54" s="106">
        <v>1674</v>
      </c>
      <c r="BJ54" s="106">
        <v>5</v>
      </c>
      <c r="BK54" s="106">
        <v>1674</v>
      </c>
      <c r="BL54" s="106">
        <v>5</v>
      </c>
      <c r="BM54" s="106">
        <v>1674</v>
      </c>
      <c r="BN54" s="106">
        <v>5</v>
      </c>
      <c r="BO54" s="106">
        <v>1674</v>
      </c>
      <c r="BP54" s="106">
        <v>4</v>
      </c>
      <c r="BQ54" s="106">
        <v>1339.2</v>
      </c>
      <c r="BR54" s="106">
        <v>4</v>
      </c>
      <c r="BS54" s="106">
        <v>1339.2</v>
      </c>
      <c r="BT54" s="106">
        <v>4</v>
      </c>
      <c r="BU54" s="106">
        <v>1339.2</v>
      </c>
      <c r="BV54" s="106">
        <v>4</v>
      </c>
      <c r="BW54" s="106">
        <v>1339.2</v>
      </c>
      <c r="BX54" s="106">
        <v>59</v>
      </c>
      <c r="BY54" s="106">
        <v>19753.2</v>
      </c>
      <c r="BZ54" s="106">
        <v>92</v>
      </c>
      <c r="CA54" s="106">
        <v>30801.600000000002</v>
      </c>
      <c r="CB54" s="106">
        <v>84</v>
      </c>
      <c r="CC54" s="106">
        <v>28123.200000000001</v>
      </c>
      <c r="CD54" s="106">
        <v>75</v>
      </c>
      <c r="CE54" s="106">
        <v>25110</v>
      </c>
      <c r="CF54" s="106">
        <v>33</v>
      </c>
      <c r="CG54" s="106">
        <v>11048.4</v>
      </c>
      <c r="CH54" s="106">
        <v>22</v>
      </c>
      <c r="CI54" s="106">
        <v>7365.6</v>
      </c>
      <c r="CJ54" s="106">
        <v>25</v>
      </c>
      <c r="CK54" s="106">
        <v>8370</v>
      </c>
      <c r="CL54" s="106">
        <v>24</v>
      </c>
      <c r="CM54" s="106">
        <v>8035.2000000000007</v>
      </c>
      <c r="CN54" s="106">
        <v>4</v>
      </c>
      <c r="CO54" s="106">
        <v>1339.2</v>
      </c>
      <c r="CP54" s="106">
        <v>3</v>
      </c>
      <c r="CQ54" s="106">
        <v>1004.4000000000001</v>
      </c>
      <c r="CR54" s="106">
        <v>4</v>
      </c>
      <c r="CS54" s="106">
        <v>1339.2</v>
      </c>
      <c r="CT54" s="106">
        <v>4</v>
      </c>
      <c r="CU54" s="106">
        <v>1339.2</v>
      </c>
    </row>
    <row r="55" spans="2:99" x14ac:dyDescent="0.2">
      <c r="C55" s="105" t="s">
        <v>221</v>
      </c>
      <c r="D55" s="106">
        <v>8</v>
      </c>
      <c r="E55" s="106">
        <v>5308.8</v>
      </c>
      <c r="F55" s="106">
        <v>8</v>
      </c>
      <c r="G55" s="106">
        <v>5308.8</v>
      </c>
      <c r="H55" s="106">
        <v>6</v>
      </c>
      <c r="I55" s="106">
        <v>3981.6000000000004</v>
      </c>
      <c r="J55" s="106">
        <v>7</v>
      </c>
      <c r="K55" s="106">
        <v>4645.2</v>
      </c>
      <c r="L55" s="106">
        <v>38</v>
      </c>
      <c r="M55" s="106">
        <v>25216.799999999999</v>
      </c>
      <c r="N55" s="106">
        <v>20</v>
      </c>
      <c r="O55" s="106">
        <v>13272</v>
      </c>
      <c r="P55" s="106">
        <v>24</v>
      </c>
      <c r="Q55" s="106">
        <v>15926.400000000001</v>
      </c>
      <c r="R55" s="106">
        <v>28</v>
      </c>
      <c r="S55" s="106">
        <v>18580.8</v>
      </c>
      <c r="T55" s="106">
        <v>2</v>
      </c>
      <c r="U55" s="106">
        <v>1327.2</v>
      </c>
      <c r="V55" s="106">
        <v>3</v>
      </c>
      <c r="W55" s="106">
        <v>1990.8000000000002</v>
      </c>
      <c r="X55" s="106">
        <v>3</v>
      </c>
      <c r="Y55" s="106">
        <v>1990.8000000000002</v>
      </c>
      <c r="Z55" s="106">
        <v>5</v>
      </c>
      <c r="AA55" s="106">
        <v>3318</v>
      </c>
      <c r="AB55" s="106">
        <v>8</v>
      </c>
      <c r="AC55" s="106">
        <v>5308.8</v>
      </c>
      <c r="AD55" s="106">
        <v>7</v>
      </c>
      <c r="AE55" s="106">
        <v>4645.2</v>
      </c>
      <c r="AF55" s="106">
        <v>5</v>
      </c>
      <c r="AG55" s="106">
        <v>3318</v>
      </c>
      <c r="AH55" s="106">
        <v>8</v>
      </c>
      <c r="AI55" s="106">
        <v>5308.8</v>
      </c>
      <c r="AJ55" s="106">
        <v>4</v>
      </c>
      <c r="AK55" s="106">
        <v>2654.4</v>
      </c>
      <c r="AL55" s="106">
        <v>8</v>
      </c>
      <c r="AM55" s="106">
        <v>5308.8</v>
      </c>
      <c r="AN55" s="106">
        <v>6</v>
      </c>
      <c r="AO55" s="106">
        <v>3981.6000000000004</v>
      </c>
      <c r="AP55" s="106">
        <v>6</v>
      </c>
      <c r="AQ55" s="106">
        <v>3981.6000000000004</v>
      </c>
      <c r="AR55" s="106">
        <v>5</v>
      </c>
      <c r="AS55" s="106">
        <v>3318</v>
      </c>
      <c r="AT55" s="106">
        <v>4</v>
      </c>
      <c r="AU55" s="106">
        <v>2654.4</v>
      </c>
      <c r="AV55" s="106">
        <v>3</v>
      </c>
      <c r="AW55" s="106">
        <v>1990.8000000000002</v>
      </c>
      <c r="AX55" s="106">
        <v>3</v>
      </c>
      <c r="AY55" s="106">
        <v>1990.8000000000002</v>
      </c>
      <c r="AZ55" s="106">
        <v>8</v>
      </c>
      <c r="BA55" s="106">
        <v>5308.8</v>
      </c>
      <c r="BB55" s="106">
        <v>7</v>
      </c>
      <c r="BC55" s="106">
        <v>4645.2</v>
      </c>
      <c r="BD55" s="106">
        <v>5</v>
      </c>
      <c r="BE55" s="106">
        <v>3318</v>
      </c>
      <c r="BF55" s="106">
        <v>5</v>
      </c>
      <c r="BG55" s="106">
        <v>3318</v>
      </c>
      <c r="BH55" s="106">
        <v>4</v>
      </c>
      <c r="BI55" s="106">
        <v>2654.4</v>
      </c>
      <c r="BJ55" s="106">
        <v>6</v>
      </c>
      <c r="BK55" s="106">
        <v>3981.6000000000004</v>
      </c>
      <c r="BL55" s="106">
        <v>5</v>
      </c>
      <c r="BM55" s="106">
        <v>3318</v>
      </c>
      <c r="BN55" s="106">
        <v>5</v>
      </c>
      <c r="BO55" s="106">
        <v>3318</v>
      </c>
      <c r="BP55" s="106">
        <v>4</v>
      </c>
      <c r="BQ55" s="106">
        <v>2654.4</v>
      </c>
      <c r="BR55" s="106">
        <v>4</v>
      </c>
      <c r="BS55" s="106">
        <v>2654.4</v>
      </c>
      <c r="BT55" s="106">
        <v>4</v>
      </c>
      <c r="BU55" s="106">
        <v>2654.4</v>
      </c>
      <c r="BV55" s="106">
        <v>4</v>
      </c>
      <c r="BW55" s="106">
        <v>2654.4</v>
      </c>
      <c r="BX55" s="106">
        <v>54</v>
      </c>
      <c r="BY55" s="106">
        <v>35834.400000000001</v>
      </c>
      <c r="BZ55" s="106">
        <v>84</v>
      </c>
      <c r="CA55" s="106">
        <v>55742.400000000001</v>
      </c>
      <c r="CB55" s="106">
        <v>74</v>
      </c>
      <c r="CC55" s="106">
        <v>49106.400000000001</v>
      </c>
      <c r="CD55" s="106">
        <v>75</v>
      </c>
      <c r="CE55" s="106">
        <v>49770</v>
      </c>
      <c r="CF55" s="106">
        <v>31</v>
      </c>
      <c r="CG55" s="106">
        <v>20571.600000000002</v>
      </c>
      <c r="CH55" s="106">
        <v>19</v>
      </c>
      <c r="CI55" s="106">
        <v>12608.4</v>
      </c>
      <c r="CJ55" s="106">
        <v>25</v>
      </c>
      <c r="CK55" s="106">
        <v>16590</v>
      </c>
      <c r="CL55" s="106">
        <v>20</v>
      </c>
      <c r="CM55" s="106">
        <v>13272</v>
      </c>
      <c r="CN55" s="106">
        <v>4</v>
      </c>
      <c r="CO55" s="106">
        <v>2654.4</v>
      </c>
      <c r="CP55" s="106">
        <v>3</v>
      </c>
      <c r="CQ55" s="106">
        <v>1990.8000000000002</v>
      </c>
      <c r="CR55" s="106">
        <v>4</v>
      </c>
      <c r="CS55" s="106">
        <v>2654.4</v>
      </c>
      <c r="CT55" s="106">
        <v>4</v>
      </c>
      <c r="CU55" s="106">
        <v>2654.4</v>
      </c>
    </row>
    <row r="56" spans="2:99" x14ac:dyDescent="0.2">
      <c r="C56" s="105" t="s">
        <v>222</v>
      </c>
      <c r="D56" s="106">
        <v>7.1172536787863612</v>
      </c>
      <c r="E56" s="106">
        <v>8190.5355335473441</v>
      </c>
      <c r="F56" s="106">
        <v>7</v>
      </c>
      <c r="G56" s="106">
        <v>8055.5999999999995</v>
      </c>
      <c r="H56" s="106">
        <v>5.2664290487859216</v>
      </c>
      <c r="I56" s="106">
        <v>6060.6065493428387</v>
      </c>
      <c r="J56" s="106">
        <v>7.1644791535874068</v>
      </c>
      <c r="K56" s="106">
        <v>8244.8826099483867</v>
      </c>
      <c r="L56" s="106">
        <v>31.025836684564595</v>
      </c>
      <c r="M56" s="106">
        <v>35704.532856596932</v>
      </c>
      <c r="N56" s="106">
        <v>20.035877138909555</v>
      </c>
      <c r="O56" s="106">
        <v>23057.287411457117</v>
      </c>
      <c r="P56" s="106">
        <v>25.02385963756598</v>
      </c>
      <c r="Q56" s="106">
        <v>28797.457670910928</v>
      </c>
      <c r="R56" s="106">
        <v>24.016816236298443</v>
      </c>
      <c r="S56" s="106">
        <v>27638.552124732247</v>
      </c>
      <c r="T56" s="106">
        <v>2.0098021860618016</v>
      </c>
      <c r="U56" s="106">
        <v>2312.8803557199212</v>
      </c>
      <c r="V56" s="106">
        <v>4.0195618850942996</v>
      </c>
      <c r="W56" s="106">
        <v>4625.7118173665194</v>
      </c>
      <c r="X56" s="106">
        <v>3</v>
      </c>
      <c r="Y56" s="106">
        <v>3452.3999999999996</v>
      </c>
      <c r="Z56" s="106">
        <v>5.035293309543186</v>
      </c>
      <c r="AA56" s="106">
        <v>5794.6155406222979</v>
      </c>
      <c r="AB56" s="106">
        <v>7</v>
      </c>
      <c r="AC56" s="106">
        <v>8055.5999999999995</v>
      </c>
      <c r="AD56" s="106">
        <v>6.0366464964243658</v>
      </c>
      <c r="AE56" s="106">
        <v>6946.9727880851597</v>
      </c>
      <c r="AF56" s="106">
        <v>5.0322368258211432</v>
      </c>
      <c r="AG56" s="106">
        <v>5791.0981391549712</v>
      </c>
      <c r="AH56" s="106">
        <v>8.036993036536332</v>
      </c>
      <c r="AI56" s="106">
        <v>9248.9715864460104</v>
      </c>
      <c r="AJ56" s="106">
        <v>5.0354205922750612</v>
      </c>
      <c r="AK56" s="106">
        <v>5794.7620175901402</v>
      </c>
      <c r="AL56" s="106">
        <v>9.1119196384322301</v>
      </c>
      <c r="AM56" s="106">
        <v>10485.99711990781</v>
      </c>
      <c r="AN56" s="106">
        <v>6.0596197349754473</v>
      </c>
      <c r="AO56" s="106">
        <v>6973.4103910097447</v>
      </c>
      <c r="AP56" s="106">
        <v>6</v>
      </c>
      <c r="AQ56" s="106">
        <v>6904.7999999999993</v>
      </c>
      <c r="AR56" s="106">
        <v>5</v>
      </c>
      <c r="AS56" s="106">
        <v>5754</v>
      </c>
      <c r="AT56" s="106">
        <v>4.1158829426922487</v>
      </c>
      <c r="AU56" s="106">
        <v>4736.5580904502394</v>
      </c>
      <c r="AV56" s="106">
        <v>3</v>
      </c>
      <c r="AW56" s="106">
        <v>3452.3999999999996</v>
      </c>
      <c r="AX56" s="106">
        <v>3.0192320823669432</v>
      </c>
      <c r="AY56" s="106">
        <v>3474.532280387878</v>
      </c>
      <c r="AZ56" s="106">
        <v>8.1187417666974451</v>
      </c>
      <c r="BA56" s="106">
        <v>9343.0480251154186</v>
      </c>
      <c r="BB56" s="106">
        <v>6.0538254517493275</v>
      </c>
      <c r="BC56" s="106">
        <v>6966.7423298731255</v>
      </c>
      <c r="BD56" s="106">
        <v>5.051627347965435</v>
      </c>
      <c r="BE56" s="106">
        <v>5813.4127520386228</v>
      </c>
      <c r="BF56" s="106">
        <v>5.0322893787044292</v>
      </c>
      <c r="BG56" s="106">
        <v>5791.1586170130568</v>
      </c>
      <c r="BH56" s="106">
        <v>4.0337773446062464</v>
      </c>
      <c r="BI56" s="106">
        <v>4642.0709681728686</v>
      </c>
      <c r="BJ56" s="106">
        <v>5.0415048695884499</v>
      </c>
      <c r="BK56" s="106">
        <v>5801.7638039223875</v>
      </c>
      <c r="BL56" s="106">
        <v>4</v>
      </c>
      <c r="BM56" s="106">
        <v>4603.2</v>
      </c>
      <c r="BN56" s="106">
        <v>4.0680383870410619</v>
      </c>
      <c r="BO56" s="106">
        <v>4681.4985758068542</v>
      </c>
      <c r="BP56" s="106">
        <v>4.058889118620038</v>
      </c>
      <c r="BQ56" s="106">
        <v>4670.9695977079391</v>
      </c>
      <c r="BR56" s="106">
        <v>4</v>
      </c>
      <c r="BS56" s="106">
        <v>4603.2</v>
      </c>
      <c r="BT56" s="106">
        <v>4.052748915452077</v>
      </c>
      <c r="BU56" s="106">
        <v>4663.9034519022498</v>
      </c>
      <c r="BV56" s="106">
        <v>3</v>
      </c>
      <c r="BW56" s="106">
        <v>3452.3999999999996</v>
      </c>
      <c r="BX56" s="106">
        <v>48.049400518956723</v>
      </c>
      <c r="BY56" s="106">
        <v>55295.250117215393</v>
      </c>
      <c r="BZ56" s="106">
        <v>64.047742143368666</v>
      </c>
      <c r="CA56" s="106">
        <v>73706.141658588662</v>
      </c>
      <c r="CB56" s="106">
        <v>63</v>
      </c>
      <c r="CC56" s="106">
        <v>72500.399999999994</v>
      </c>
      <c r="CD56" s="106">
        <v>58.060247605257295</v>
      </c>
      <c r="CE56" s="106">
        <v>66815.732944130097</v>
      </c>
      <c r="CF56" s="106">
        <v>27.132474703948418</v>
      </c>
      <c r="CG56" s="106">
        <v>31224.051889303839</v>
      </c>
      <c r="CH56" s="106">
        <v>19</v>
      </c>
      <c r="CI56" s="106">
        <v>21865.200000000001</v>
      </c>
      <c r="CJ56" s="106">
        <v>21.067848422496571</v>
      </c>
      <c r="CK56" s="106">
        <v>24244.879964609052</v>
      </c>
      <c r="CL56" s="106">
        <v>22</v>
      </c>
      <c r="CM56" s="106">
        <v>25317.599999999999</v>
      </c>
      <c r="CN56" s="106">
        <v>4.0317836126798072</v>
      </c>
      <c r="CO56" s="106">
        <v>4639.7765814719223</v>
      </c>
      <c r="CP56" s="106">
        <v>3.0894931608234422</v>
      </c>
      <c r="CQ56" s="106">
        <v>3555.3887294756173</v>
      </c>
      <c r="CR56" s="106">
        <v>4.0283812121378251</v>
      </c>
      <c r="CS56" s="106">
        <v>4635.8610989282088</v>
      </c>
      <c r="CT56" s="106">
        <v>3.0451189713220859</v>
      </c>
      <c r="CU56" s="106">
        <v>3504.3229121974564</v>
      </c>
    </row>
    <row r="57" spans="2:99" x14ac:dyDescent="0.2">
      <c r="C57" s="105" t="s">
        <v>223</v>
      </c>
      <c r="D57" s="106">
        <v>6</v>
      </c>
      <c r="E57" s="106">
        <v>8467.2000000000007</v>
      </c>
      <c r="F57" s="106">
        <v>7</v>
      </c>
      <c r="G57" s="106">
        <v>9878.4</v>
      </c>
      <c r="H57" s="106">
        <v>5</v>
      </c>
      <c r="I57" s="106">
        <v>7056</v>
      </c>
      <c r="J57" s="106">
        <v>6</v>
      </c>
      <c r="K57" s="106">
        <v>8467.2000000000007</v>
      </c>
      <c r="L57" s="106">
        <v>36</v>
      </c>
      <c r="M57" s="106">
        <v>50803.200000000004</v>
      </c>
      <c r="N57" s="106">
        <v>16</v>
      </c>
      <c r="O57" s="106">
        <v>22579.200000000001</v>
      </c>
      <c r="P57" s="106">
        <v>24</v>
      </c>
      <c r="Q57" s="106">
        <v>33868.800000000003</v>
      </c>
      <c r="R57" s="106">
        <v>23</v>
      </c>
      <c r="S57" s="106">
        <v>32457.600000000002</v>
      </c>
      <c r="T57" s="106">
        <v>2</v>
      </c>
      <c r="U57" s="106">
        <v>2822.4</v>
      </c>
      <c r="V57" s="106">
        <v>3</v>
      </c>
      <c r="W57" s="106">
        <v>4233.6000000000004</v>
      </c>
      <c r="X57" s="106">
        <v>3</v>
      </c>
      <c r="Y57" s="106">
        <v>4233.6000000000004</v>
      </c>
      <c r="Z57" s="106">
        <v>4</v>
      </c>
      <c r="AA57" s="106">
        <v>5644.8</v>
      </c>
      <c r="AB57" s="106">
        <v>7</v>
      </c>
      <c r="AC57" s="106">
        <v>9878.4</v>
      </c>
      <c r="AD57" s="106">
        <v>6</v>
      </c>
      <c r="AE57" s="106">
        <v>8467.2000000000007</v>
      </c>
      <c r="AF57" s="106">
        <v>5</v>
      </c>
      <c r="AG57" s="106">
        <v>7056</v>
      </c>
      <c r="AH57" s="106">
        <v>8</v>
      </c>
      <c r="AI57" s="106">
        <v>11289.6</v>
      </c>
      <c r="AJ57" s="106">
        <v>4</v>
      </c>
      <c r="AK57" s="106">
        <v>5644.8</v>
      </c>
      <c r="AL57" s="106">
        <v>7</v>
      </c>
      <c r="AM57" s="106">
        <v>9878.4</v>
      </c>
      <c r="AN57" s="106">
        <v>5</v>
      </c>
      <c r="AO57" s="106">
        <v>7056</v>
      </c>
      <c r="AP57" s="106">
        <v>6</v>
      </c>
      <c r="AQ57" s="106">
        <v>8467.2000000000007</v>
      </c>
      <c r="AR57" s="106">
        <v>4</v>
      </c>
      <c r="AS57" s="106">
        <v>5644.8</v>
      </c>
      <c r="AT57" s="106">
        <v>4</v>
      </c>
      <c r="AU57" s="106">
        <v>5644.8</v>
      </c>
      <c r="AV57" s="106">
        <v>2</v>
      </c>
      <c r="AW57" s="106">
        <v>2822.4</v>
      </c>
      <c r="AX57" s="106">
        <v>3</v>
      </c>
      <c r="AY57" s="106">
        <v>4233.6000000000004</v>
      </c>
      <c r="AZ57" s="106">
        <v>7</v>
      </c>
      <c r="BA57" s="106">
        <v>9878.4</v>
      </c>
      <c r="BB57" s="106">
        <v>6</v>
      </c>
      <c r="BC57" s="106">
        <v>8467.2000000000007</v>
      </c>
      <c r="BD57" s="106">
        <v>4</v>
      </c>
      <c r="BE57" s="106">
        <v>5644.8</v>
      </c>
      <c r="BF57" s="106">
        <v>5</v>
      </c>
      <c r="BG57" s="106">
        <v>7056</v>
      </c>
      <c r="BH57" s="106">
        <v>4</v>
      </c>
      <c r="BI57" s="106">
        <v>5644.8</v>
      </c>
      <c r="BJ57" s="106">
        <v>5</v>
      </c>
      <c r="BK57" s="106">
        <v>7056</v>
      </c>
      <c r="BL57" s="106">
        <v>4</v>
      </c>
      <c r="BM57" s="106">
        <v>5644.8</v>
      </c>
      <c r="BN57" s="106">
        <v>5</v>
      </c>
      <c r="BO57" s="106">
        <v>7056</v>
      </c>
      <c r="BP57" s="106">
        <v>4</v>
      </c>
      <c r="BQ57" s="106">
        <v>5644.8</v>
      </c>
      <c r="BR57" s="106">
        <v>4</v>
      </c>
      <c r="BS57" s="106">
        <v>5644.8</v>
      </c>
      <c r="BT57" s="106">
        <v>3</v>
      </c>
      <c r="BU57" s="106">
        <v>4233.6000000000004</v>
      </c>
      <c r="BV57" s="106">
        <v>4</v>
      </c>
      <c r="BW57" s="106">
        <v>5644.8</v>
      </c>
      <c r="BX57" s="106">
        <v>49</v>
      </c>
      <c r="BY57" s="106">
        <v>69148.800000000003</v>
      </c>
      <c r="BZ57" s="106">
        <v>69</v>
      </c>
      <c r="CA57" s="106">
        <v>97372.800000000003</v>
      </c>
      <c r="CB57" s="106">
        <v>64</v>
      </c>
      <c r="CC57" s="106">
        <v>90316.800000000003</v>
      </c>
      <c r="CD57" s="106">
        <v>63</v>
      </c>
      <c r="CE57" s="106">
        <v>88905.600000000006</v>
      </c>
      <c r="CF57" s="106">
        <v>28</v>
      </c>
      <c r="CG57" s="106">
        <v>39513.599999999999</v>
      </c>
      <c r="CH57" s="106">
        <v>19</v>
      </c>
      <c r="CI57" s="106">
        <v>26812.799999999999</v>
      </c>
      <c r="CJ57" s="106">
        <v>22</v>
      </c>
      <c r="CK57" s="106">
        <v>31046.400000000001</v>
      </c>
      <c r="CL57" s="106">
        <v>21</v>
      </c>
      <c r="CM57" s="106">
        <v>29635.200000000001</v>
      </c>
      <c r="CN57" s="106">
        <v>4</v>
      </c>
      <c r="CO57" s="106">
        <v>5644.8</v>
      </c>
      <c r="CP57" s="106">
        <v>3</v>
      </c>
      <c r="CQ57" s="106">
        <v>4233.6000000000004</v>
      </c>
      <c r="CR57" s="106">
        <v>4</v>
      </c>
      <c r="CS57" s="106">
        <v>5644.8</v>
      </c>
      <c r="CT57" s="106">
        <v>3</v>
      </c>
      <c r="CU57" s="106">
        <v>4233.6000000000004</v>
      </c>
    </row>
    <row r="58" spans="2:99" x14ac:dyDescent="0.2">
      <c r="C58" s="105" t="s">
        <v>224</v>
      </c>
      <c r="D58" s="106">
        <v>7.1096889253162736</v>
      </c>
      <c r="E58" s="106">
        <v>8369.5258028823173</v>
      </c>
      <c r="F58" s="106">
        <v>8</v>
      </c>
      <c r="G58" s="106">
        <v>9417.6</v>
      </c>
      <c r="H58" s="106">
        <v>5.2664290487859216</v>
      </c>
      <c r="I58" s="106">
        <v>6199.6402762307871</v>
      </c>
      <c r="J58" s="106">
        <v>7.1421768954738605</v>
      </c>
      <c r="K58" s="106">
        <v>8407.7706413518281</v>
      </c>
      <c r="L58" s="106">
        <v>37.029527639502398</v>
      </c>
      <c r="M58" s="106">
        <v>43591.159937222226</v>
      </c>
      <c r="N58" s="106">
        <v>18.035877138909555</v>
      </c>
      <c r="O58" s="106">
        <v>21231.834567924328</v>
      </c>
      <c r="P58" s="106">
        <v>23.027040922574777</v>
      </c>
      <c r="Q58" s="106">
        <v>27107.43257405503</v>
      </c>
      <c r="R58" s="106">
        <v>24.016816236298443</v>
      </c>
      <c r="S58" s="106">
        <v>28272.596073370529</v>
      </c>
      <c r="T58" s="106">
        <v>2.0098021860618016</v>
      </c>
      <c r="U58" s="106">
        <v>2365.939133431953</v>
      </c>
      <c r="V58" s="106">
        <v>3.021340238284691</v>
      </c>
      <c r="W58" s="106">
        <v>3556.7217285087386</v>
      </c>
      <c r="X58" s="106">
        <v>3</v>
      </c>
      <c r="Y58" s="106">
        <v>3531.6000000000004</v>
      </c>
      <c r="Z58" s="106">
        <v>5.0385017922289306</v>
      </c>
      <c r="AA58" s="106">
        <v>5931.3243098118974</v>
      </c>
      <c r="AB58" s="106">
        <v>7</v>
      </c>
      <c r="AC58" s="106">
        <v>8240.4</v>
      </c>
      <c r="AD58" s="106">
        <v>6.0366464964243658</v>
      </c>
      <c r="AE58" s="106">
        <v>7106.3402555907633</v>
      </c>
      <c r="AF58" s="106">
        <v>6.0286549562854601</v>
      </c>
      <c r="AG58" s="106">
        <v>7096.9326145392442</v>
      </c>
      <c r="AH58" s="106">
        <v>8.032882699143407</v>
      </c>
      <c r="AI58" s="106">
        <v>9456.3095134316191</v>
      </c>
      <c r="AJ58" s="106">
        <v>4.031692108877686</v>
      </c>
      <c r="AK58" s="106">
        <v>4746.1079505708121</v>
      </c>
      <c r="AL58" s="106">
        <v>8.1077744666384444</v>
      </c>
      <c r="AM58" s="106">
        <v>9544.4721021267778</v>
      </c>
      <c r="AN58" s="106">
        <v>5.0637314408358236</v>
      </c>
      <c r="AO58" s="106">
        <v>5961.0246521519321</v>
      </c>
      <c r="AP58" s="106">
        <v>6</v>
      </c>
      <c r="AQ58" s="106">
        <v>7063.2000000000007</v>
      </c>
      <c r="AR58" s="106">
        <v>5</v>
      </c>
      <c r="AS58" s="106">
        <v>5886</v>
      </c>
      <c r="AT58" s="106">
        <v>4.1117442661675261</v>
      </c>
      <c r="AU58" s="106">
        <v>4840.345350132412</v>
      </c>
      <c r="AV58" s="106">
        <v>3</v>
      </c>
      <c r="AW58" s="106">
        <v>3531.6000000000004</v>
      </c>
      <c r="AX58" s="106">
        <v>3.020300531387329</v>
      </c>
      <c r="AY58" s="106">
        <v>3555.4977855491638</v>
      </c>
      <c r="AZ58" s="106">
        <v>7.1187417666974451</v>
      </c>
      <c r="BA58" s="106">
        <v>8380.1828077562332</v>
      </c>
      <c r="BB58" s="106">
        <v>6.0538254517493275</v>
      </c>
      <c r="BC58" s="106">
        <v>7126.5633217993091</v>
      </c>
      <c r="BD58" s="106">
        <v>4.0481855247677387</v>
      </c>
      <c r="BE58" s="106">
        <v>4765.5239997565823</v>
      </c>
      <c r="BF58" s="106">
        <v>4.0322893787044292</v>
      </c>
      <c r="BG58" s="106">
        <v>4746.8110566108544</v>
      </c>
      <c r="BH58" s="106">
        <v>4.0337773446062464</v>
      </c>
      <c r="BI58" s="106">
        <v>4748.5626900704738</v>
      </c>
      <c r="BJ58" s="106">
        <v>5.0415048695884499</v>
      </c>
      <c r="BK58" s="106">
        <v>5934.8595324795233</v>
      </c>
      <c r="BL58" s="106">
        <v>4</v>
      </c>
      <c r="BM58" s="106">
        <v>4708.8</v>
      </c>
      <c r="BN58" s="106">
        <v>5.0680383870410619</v>
      </c>
      <c r="BO58" s="106">
        <v>5966.0947892247386</v>
      </c>
      <c r="BP58" s="106">
        <v>3.0618335745510397</v>
      </c>
      <c r="BQ58" s="106">
        <v>3604.3904839614838</v>
      </c>
      <c r="BR58" s="106">
        <v>4</v>
      </c>
      <c r="BS58" s="106">
        <v>4708.8</v>
      </c>
      <c r="BT58" s="106">
        <v>4.052748915452077</v>
      </c>
      <c r="BU58" s="106">
        <v>4770.8960232701857</v>
      </c>
      <c r="BV58" s="106">
        <v>4</v>
      </c>
      <c r="BW58" s="106">
        <v>4708.8</v>
      </c>
      <c r="BX58" s="106">
        <v>47.049400518956723</v>
      </c>
      <c r="BY58" s="106">
        <v>55386.554290915854</v>
      </c>
      <c r="BZ58" s="106">
        <v>71.045905907085256</v>
      </c>
      <c r="CA58" s="106">
        <v>83635.240433820771</v>
      </c>
      <c r="CB58" s="106">
        <v>67</v>
      </c>
      <c r="CC58" s="106">
        <v>78872.400000000009</v>
      </c>
      <c r="CD58" s="106">
        <v>57.052106036979282</v>
      </c>
      <c r="CE58" s="106">
        <v>67161.73922673201</v>
      </c>
      <c r="CF58" s="106">
        <v>27.13849628140062</v>
      </c>
      <c r="CG58" s="106">
        <v>31947.43782246481</v>
      </c>
      <c r="CH58" s="106">
        <v>17</v>
      </c>
      <c r="CI58" s="106">
        <v>20012.400000000001</v>
      </c>
      <c r="CJ58" s="106">
        <v>23.063857338820302</v>
      </c>
      <c r="CK58" s="106">
        <v>27150.772859259261</v>
      </c>
      <c r="CL58" s="106">
        <v>21</v>
      </c>
      <c r="CM58" s="106">
        <v>24721.200000000001</v>
      </c>
      <c r="CN58" s="106">
        <v>4.0349619739477873</v>
      </c>
      <c r="CO58" s="106">
        <v>4749.9572357313355</v>
      </c>
      <c r="CP58" s="106">
        <v>3.0783065157205121</v>
      </c>
      <c r="CQ58" s="106">
        <v>3623.7824303061871</v>
      </c>
      <c r="CR58" s="106">
        <v>4.0283812121378251</v>
      </c>
      <c r="CS58" s="106">
        <v>4742.2103629286476</v>
      </c>
      <c r="CT58" s="106">
        <v>3.0507588427373467</v>
      </c>
      <c r="CU58" s="106">
        <v>3591.3533096704045</v>
      </c>
    </row>
    <row r="59" spans="2:99" x14ac:dyDescent="0.2">
      <c r="C59" s="105" t="s">
        <v>225</v>
      </c>
      <c r="D59" s="106">
        <v>8</v>
      </c>
      <c r="E59" s="106">
        <v>2428.7999999999997</v>
      </c>
      <c r="F59" s="106">
        <v>7</v>
      </c>
      <c r="G59" s="106">
        <v>2125.1999999999998</v>
      </c>
      <c r="H59" s="106">
        <v>6</v>
      </c>
      <c r="I59" s="106">
        <v>1821.6</v>
      </c>
      <c r="J59" s="106">
        <v>7</v>
      </c>
      <c r="K59" s="106">
        <v>2125.1999999999998</v>
      </c>
      <c r="L59" s="106">
        <v>38</v>
      </c>
      <c r="M59" s="106">
        <v>11536.8</v>
      </c>
      <c r="N59" s="106">
        <v>23</v>
      </c>
      <c r="O59" s="106">
        <v>6982.7999999999993</v>
      </c>
      <c r="P59" s="106">
        <v>27</v>
      </c>
      <c r="Q59" s="106">
        <v>8197.1999999999989</v>
      </c>
      <c r="R59" s="106">
        <v>32</v>
      </c>
      <c r="S59" s="106">
        <v>9715.1999999999989</v>
      </c>
      <c r="T59" s="106">
        <v>2</v>
      </c>
      <c r="U59" s="106">
        <v>607.19999999999993</v>
      </c>
      <c r="V59" s="106">
        <v>3</v>
      </c>
      <c r="W59" s="106">
        <v>910.8</v>
      </c>
      <c r="X59" s="106">
        <v>3</v>
      </c>
      <c r="Y59" s="106">
        <v>910.8</v>
      </c>
      <c r="Z59" s="106">
        <v>5</v>
      </c>
      <c r="AA59" s="106">
        <v>1517.9999999999998</v>
      </c>
      <c r="AB59" s="106">
        <v>7</v>
      </c>
      <c r="AC59" s="106">
        <v>2125.1999999999998</v>
      </c>
      <c r="AD59" s="106">
        <v>7</v>
      </c>
      <c r="AE59" s="106">
        <v>2125.1999999999998</v>
      </c>
      <c r="AF59" s="106">
        <v>5</v>
      </c>
      <c r="AG59" s="106">
        <v>1517.9999999999998</v>
      </c>
      <c r="AH59" s="106">
        <v>9</v>
      </c>
      <c r="AI59" s="106">
        <v>2732.3999999999996</v>
      </c>
      <c r="AJ59" s="106">
        <v>5</v>
      </c>
      <c r="AK59" s="106">
        <v>1517.9999999999998</v>
      </c>
      <c r="AL59" s="106">
        <v>10</v>
      </c>
      <c r="AM59" s="106">
        <v>3035.9999999999995</v>
      </c>
      <c r="AN59" s="106">
        <v>6</v>
      </c>
      <c r="AO59" s="106">
        <v>1821.6</v>
      </c>
      <c r="AP59" s="106">
        <v>7</v>
      </c>
      <c r="AQ59" s="106">
        <v>2125.1999999999998</v>
      </c>
      <c r="AR59" s="106">
        <v>5</v>
      </c>
      <c r="AS59" s="106">
        <v>1517.9999999999998</v>
      </c>
      <c r="AT59" s="106">
        <v>5</v>
      </c>
      <c r="AU59" s="106">
        <v>1517.9999999999998</v>
      </c>
      <c r="AV59" s="106">
        <v>3</v>
      </c>
      <c r="AW59" s="106">
        <v>910.8</v>
      </c>
      <c r="AX59" s="106">
        <v>4</v>
      </c>
      <c r="AY59" s="106">
        <v>1214.3999999999999</v>
      </c>
      <c r="AZ59" s="106">
        <v>9</v>
      </c>
      <c r="BA59" s="106">
        <v>2732.3999999999996</v>
      </c>
      <c r="BB59" s="106">
        <v>6</v>
      </c>
      <c r="BC59" s="106">
        <v>1821.6</v>
      </c>
      <c r="BD59" s="106">
        <v>5</v>
      </c>
      <c r="BE59" s="106">
        <v>1517.9999999999998</v>
      </c>
      <c r="BF59" s="106">
        <v>5</v>
      </c>
      <c r="BG59" s="106">
        <v>1517.9999999999998</v>
      </c>
      <c r="BH59" s="106">
        <v>4</v>
      </c>
      <c r="BI59" s="106">
        <v>1214.3999999999999</v>
      </c>
      <c r="BJ59" s="106">
        <v>6</v>
      </c>
      <c r="BK59" s="106">
        <v>1821.6</v>
      </c>
      <c r="BL59" s="106">
        <v>4</v>
      </c>
      <c r="BM59" s="106">
        <v>1214.3999999999999</v>
      </c>
      <c r="BN59" s="106">
        <v>6</v>
      </c>
      <c r="BO59" s="106">
        <v>1821.6</v>
      </c>
      <c r="BP59" s="106">
        <v>4</v>
      </c>
      <c r="BQ59" s="106">
        <v>1214.3999999999999</v>
      </c>
      <c r="BR59" s="106">
        <v>4</v>
      </c>
      <c r="BS59" s="106">
        <v>1214.3999999999999</v>
      </c>
      <c r="BT59" s="106">
        <v>4</v>
      </c>
      <c r="BU59" s="106">
        <v>1214.3999999999999</v>
      </c>
      <c r="BV59" s="106">
        <v>4</v>
      </c>
      <c r="BW59" s="106">
        <v>1214.3999999999999</v>
      </c>
      <c r="BX59" s="106">
        <v>55</v>
      </c>
      <c r="BY59" s="106">
        <v>16697.999999999996</v>
      </c>
      <c r="BZ59" s="106">
        <v>77</v>
      </c>
      <c r="CA59" s="106">
        <v>23377.199999999997</v>
      </c>
      <c r="CB59" s="106">
        <v>75</v>
      </c>
      <c r="CC59" s="106">
        <v>22769.999999999996</v>
      </c>
      <c r="CD59" s="106">
        <v>80</v>
      </c>
      <c r="CE59" s="106">
        <v>24287.999999999996</v>
      </c>
      <c r="CF59" s="106">
        <v>31</v>
      </c>
      <c r="CG59" s="106">
        <v>9411.5999999999985</v>
      </c>
      <c r="CH59" s="106">
        <v>19</v>
      </c>
      <c r="CI59" s="106">
        <v>5768.4</v>
      </c>
      <c r="CJ59" s="106">
        <v>27</v>
      </c>
      <c r="CK59" s="106">
        <v>8197.1999999999989</v>
      </c>
      <c r="CL59" s="106">
        <v>25</v>
      </c>
      <c r="CM59" s="106">
        <v>7589.9999999999991</v>
      </c>
      <c r="CN59" s="106">
        <v>5</v>
      </c>
      <c r="CO59" s="106">
        <v>1517.9999999999998</v>
      </c>
      <c r="CP59" s="106">
        <v>3</v>
      </c>
      <c r="CQ59" s="106">
        <v>910.8</v>
      </c>
      <c r="CR59" s="106">
        <v>4</v>
      </c>
      <c r="CS59" s="106">
        <v>1214.3999999999999</v>
      </c>
      <c r="CT59" s="106">
        <v>3</v>
      </c>
      <c r="CU59" s="106">
        <v>910.8</v>
      </c>
    </row>
    <row r="60" spans="2:99" x14ac:dyDescent="0.2">
      <c r="C60" s="105" t="s">
        <v>226</v>
      </c>
      <c r="D60" s="106">
        <v>7</v>
      </c>
      <c r="E60" s="106">
        <v>4561.2</v>
      </c>
      <c r="F60" s="106">
        <v>8</v>
      </c>
      <c r="G60" s="106">
        <v>5212.8</v>
      </c>
      <c r="H60" s="106">
        <v>6</v>
      </c>
      <c r="I60" s="106">
        <v>3909.6000000000004</v>
      </c>
      <c r="J60" s="106">
        <v>7</v>
      </c>
      <c r="K60" s="106">
        <v>4561.2</v>
      </c>
      <c r="L60" s="106">
        <v>40</v>
      </c>
      <c r="M60" s="106">
        <v>26064</v>
      </c>
      <c r="N60" s="106">
        <v>20</v>
      </c>
      <c r="O60" s="106">
        <v>13032</v>
      </c>
      <c r="P60" s="106">
        <v>25</v>
      </c>
      <c r="Q60" s="106">
        <v>16290</v>
      </c>
      <c r="R60" s="106">
        <v>29</v>
      </c>
      <c r="S60" s="106">
        <v>18896.400000000001</v>
      </c>
      <c r="T60" s="106">
        <v>2</v>
      </c>
      <c r="U60" s="106">
        <v>1303.2</v>
      </c>
      <c r="V60" s="106">
        <v>3</v>
      </c>
      <c r="W60" s="106">
        <v>1954.8000000000002</v>
      </c>
      <c r="X60" s="106">
        <v>3</v>
      </c>
      <c r="Y60" s="106">
        <v>1954.8000000000002</v>
      </c>
      <c r="Z60" s="106">
        <v>5</v>
      </c>
      <c r="AA60" s="106">
        <v>3258</v>
      </c>
      <c r="AB60" s="106">
        <v>7</v>
      </c>
      <c r="AC60" s="106">
        <v>4561.2</v>
      </c>
      <c r="AD60" s="106">
        <v>7</v>
      </c>
      <c r="AE60" s="106">
        <v>4561.2</v>
      </c>
      <c r="AF60" s="106">
        <v>6</v>
      </c>
      <c r="AG60" s="106">
        <v>3909.6000000000004</v>
      </c>
      <c r="AH60" s="106">
        <v>9</v>
      </c>
      <c r="AI60" s="106">
        <v>5864.4000000000005</v>
      </c>
      <c r="AJ60" s="106">
        <v>4</v>
      </c>
      <c r="AK60" s="106">
        <v>2606.4</v>
      </c>
      <c r="AL60" s="106">
        <v>8</v>
      </c>
      <c r="AM60" s="106">
        <v>5212.8</v>
      </c>
      <c r="AN60" s="106">
        <v>6</v>
      </c>
      <c r="AO60" s="106">
        <v>3909.6000000000004</v>
      </c>
      <c r="AP60" s="106">
        <v>7</v>
      </c>
      <c r="AQ60" s="106">
        <v>4561.2</v>
      </c>
      <c r="AR60" s="106">
        <v>5</v>
      </c>
      <c r="AS60" s="106">
        <v>3258</v>
      </c>
      <c r="AT60" s="106">
        <v>4</v>
      </c>
      <c r="AU60" s="106">
        <v>2606.4</v>
      </c>
      <c r="AV60" s="106">
        <v>3</v>
      </c>
      <c r="AW60" s="106">
        <v>1954.8000000000002</v>
      </c>
      <c r="AX60" s="106">
        <v>3</v>
      </c>
      <c r="AY60" s="106">
        <v>1954.8000000000002</v>
      </c>
      <c r="AZ60" s="106">
        <v>8</v>
      </c>
      <c r="BA60" s="106">
        <v>5212.8</v>
      </c>
      <c r="BB60" s="106">
        <v>7</v>
      </c>
      <c r="BC60" s="106">
        <v>4561.2</v>
      </c>
      <c r="BD60" s="106">
        <v>5</v>
      </c>
      <c r="BE60" s="106">
        <v>3258</v>
      </c>
      <c r="BF60" s="106">
        <v>5</v>
      </c>
      <c r="BG60" s="106">
        <v>3258</v>
      </c>
      <c r="BH60" s="106">
        <v>5</v>
      </c>
      <c r="BI60" s="106">
        <v>3258</v>
      </c>
      <c r="BJ60" s="106">
        <v>5</v>
      </c>
      <c r="BK60" s="106">
        <v>3258</v>
      </c>
      <c r="BL60" s="106">
        <v>4</v>
      </c>
      <c r="BM60" s="106">
        <v>2606.4</v>
      </c>
      <c r="BN60" s="106">
        <v>5</v>
      </c>
      <c r="BO60" s="106">
        <v>3258</v>
      </c>
      <c r="BP60" s="106">
        <v>4</v>
      </c>
      <c r="BQ60" s="106">
        <v>2606.4</v>
      </c>
      <c r="BR60" s="106">
        <v>4</v>
      </c>
      <c r="BS60" s="106">
        <v>2606.4</v>
      </c>
      <c r="BT60" s="106">
        <v>3</v>
      </c>
      <c r="BU60" s="106">
        <v>1954.8000000000002</v>
      </c>
      <c r="BV60" s="106">
        <v>4</v>
      </c>
      <c r="BW60" s="106">
        <v>2606.4</v>
      </c>
      <c r="BX60" s="106">
        <v>57</v>
      </c>
      <c r="BY60" s="106">
        <v>37141.200000000004</v>
      </c>
      <c r="BZ60" s="106">
        <v>78</v>
      </c>
      <c r="CA60" s="106">
        <v>50824.800000000003</v>
      </c>
      <c r="CB60" s="106">
        <v>66</v>
      </c>
      <c r="CC60" s="106">
        <v>43005.599999999999</v>
      </c>
      <c r="CD60" s="106">
        <v>77</v>
      </c>
      <c r="CE60" s="106">
        <v>50173.200000000004</v>
      </c>
      <c r="CF60" s="106">
        <v>30</v>
      </c>
      <c r="CG60" s="106">
        <v>19548</v>
      </c>
      <c r="CH60" s="106">
        <v>19</v>
      </c>
      <c r="CI60" s="106">
        <v>12380.4</v>
      </c>
      <c r="CJ60" s="106">
        <v>23</v>
      </c>
      <c r="CK60" s="106">
        <v>14986.800000000001</v>
      </c>
      <c r="CL60" s="106">
        <v>24</v>
      </c>
      <c r="CM60" s="106">
        <v>15638.400000000001</v>
      </c>
      <c r="CN60" s="106">
        <v>4</v>
      </c>
      <c r="CO60" s="106">
        <v>2606.4</v>
      </c>
      <c r="CP60" s="106">
        <v>3</v>
      </c>
      <c r="CQ60" s="106">
        <v>1954.8000000000002</v>
      </c>
      <c r="CR60" s="106">
        <v>4</v>
      </c>
      <c r="CS60" s="106">
        <v>2606.4</v>
      </c>
      <c r="CT60" s="106">
        <v>3</v>
      </c>
      <c r="CU60" s="106">
        <v>1954.8000000000002</v>
      </c>
    </row>
    <row r="61" spans="2:99" x14ac:dyDescent="0.2">
      <c r="C61" s="105" t="s">
        <v>227</v>
      </c>
      <c r="D61" s="106">
        <v>7</v>
      </c>
      <c r="E61" s="106">
        <v>6661.1999999999989</v>
      </c>
      <c r="F61" s="106">
        <v>7</v>
      </c>
      <c r="G61" s="106">
        <v>6661.1999999999989</v>
      </c>
      <c r="H61" s="106">
        <v>5</v>
      </c>
      <c r="I61" s="106">
        <v>4758</v>
      </c>
      <c r="J61" s="106">
        <v>7</v>
      </c>
      <c r="K61" s="106">
        <v>6661.1999999999989</v>
      </c>
      <c r="L61" s="106">
        <v>38</v>
      </c>
      <c r="M61" s="106">
        <v>36160.799999999996</v>
      </c>
      <c r="N61" s="106">
        <v>19</v>
      </c>
      <c r="O61" s="106">
        <v>18080.399999999998</v>
      </c>
      <c r="P61" s="106">
        <v>25</v>
      </c>
      <c r="Q61" s="106">
        <v>23789.999999999996</v>
      </c>
      <c r="R61" s="106">
        <v>26</v>
      </c>
      <c r="S61" s="106">
        <v>24741.599999999999</v>
      </c>
      <c r="T61" s="106">
        <v>2</v>
      </c>
      <c r="U61" s="106">
        <v>1903.1999999999998</v>
      </c>
      <c r="V61" s="106">
        <v>3</v>
      </c>
      <c r="W61" s="106">
        <v>2854.7999999999997</v>
      </c>
      <c r="X61" s="106">
        <v>3</v>
      </c>
      <c r="Y61" s="106">
        <v>2854.7999999999997</v>
      </c>
      <c r="Z61" s="106">
        <v>4</v>
      </c>
      <c r="AA61" s="106">
        <v>3806.3999999999996</v>
      </c>
      <c r="AB61" s="106">
        <v>8</v>
      </c>
      <c r="AC61" s="106">
        <v>7612.7999999999993</v>
      </c>
      <c r="AD61" s="106">
        <v>6</v>
      </c>
      <c r="AE61" s="106">
        <v>5709.5999999999995</v>
      </c>
      <c r="AF61" s="106">
        <v>6</v>
      </c>
      <c r="AG61" s="106">
        <v>5709.5999999999995</v>
      </c>
      <c r="AH61" s="106">
        <v>8</v>
      </c>
      <c r="AI61" s="106">
        <v>7612.7999999999993</v>
      </c>
      <c r="AJ61" s="106">
        <v>4</v>
      </c>
      <c r="AK61" s="106">
        <v>3806.3999999999996</v>
      </c>
      <c r="AL61" s="106">
        <v>8</v>
      </c>
      <c r="AM61" s="106">
        <v>7612.7999999999993</v>
      </c>
      <c r="AN61" s="106">
        <v>6</v>
      </c>
      <c r="AO61" s="106">
        <v>5709.5999999999995</v>
      </c>
      <c r="AP61" s="106">
        <v>7</v>
      </c>
      <c r="AQ61" s="106">
        <v>6661.1999999999989</v>
      </c>
      <c r="AR61" s="106">
        <v>5</v>
      </c>
      <c r="AS61" s="106">
        <v>4758</v>
      </c>
      <c r="AT61" s="106">
        <v>4</v>
      </c>
      <c r="AU61" s="106">
        <v>3806.3999999999996</v>
      </c>
      <c r="AV61" s="106">
        <v>3</v>
      </c>
      <c r="AW61" s="106">
        <v>2854.7999999999997</v>
      </c>
      <c r="AX61" s="106">
        <v>3</v>
      </c>
      <c r="AY61" s="106">
        <v>2854.7999999999997</v>
      </c>
      <c r="AZ61" s="106">
        <v>7</v>
      </c>
      <c r="BA61" s="106">
        <v>6661.1999999999989</v>
      </c>
      <c r="BB61" s="106">
        <v>6</v>
      </c>
      <c r="BC61" s="106">
        <v>5709.5999999999995</v>
      </c>
      <c r="BD61" s="106">
        <v>5</v>
      </c>
      <c r="BE61" s="106">
        <v>4758</v>
      </c>
      <c r="BF61" s="106">
        <v>5</v>
      </c>
      <c r="BG61" s="106">
        <v>4758</v>
      </c>
      <c r="BH61" s="106">
        <v>4</v>
      </c>
      <c r="BI61" s="106">
        <v>3806.3999999999996</v>
      </c>
      <c r="BJ61" s="106">
        <v>5</v>
      </c>
      <c r="BK61" s="106">
        <v>4758</v>
      </c>
      <c r="BL61" s="106">
        <v>4</v>
      </c>
      <c r="BM61" s="106">
        <v>3806.3999999999996</v>
      </c>
      <c r="BN61" s="106">
        <v>5</v>
      </c>
      <c r="BO61" s="106">
        <v>4758</v>
      </c>
      <c r="BP61" s="106">
        <v>4</v>
      </c>
      <c r="BQ61" s="106">
        <v>3806.3999999999996</v>
      </c>
      <c r="BR61" s="106">
        <v>4</v>
      </c>
      <c r="BS61" s="106">
        <v>3806.3999999999996</v>
      </c>
      <c r="BT61" s="106">
        <v>4</v>
      </c>
      <c r="BU61" s="106">
        <v>3806.3999999999996</v>
      </c>
      <c r="BV61" s="106">
        <v>3</v>
      </c>
      <c r="BW61" s="106">
        <v>2854.7999999999997</v>
      </c>
      <c r="BX61" s="106">
        <v>55</v>
      </c>
      <c r="BY61" s="106">
        <v>52337.999999999993</v>
      </c>
      <c r="BZ61" s="106">
        <v>80</v>
      </c>
      <c r="CA61" s="106">
        <v>76128</v>
      </c>
      <c r="CB61" s="106">
        <v>61</v>
      </c>
      <c r="CC61" s="106">
        <v>58047.599999999991</v>
      </c>
      <c r="CD61" s="106">
        <v>68</v>
      </c>
      <c r="CE61" s="106">
        <v>64708.799999999996</v>
      </c>
      <c r="CF61" s="106">
        <v>32</v>
      </c>
      <c r="CG61" s="106">
        <v>30451.199999999997</v>
      </c>
      <c r="CH61" s="106">
        <v>18</v>
      </c>
      <c r="CI61" s="106">
        <v>17128.8</v>
      </c>
      <c r="CJ61" s="106">
        <v>23</v>
      </c>
      <c r="CK61" s="106">
        <v>21886.799999999999</v>
      </c>
      <c r="CL61" s="106">
        <v>22</v>
      </c>
      <c r="CM61" s="106">
        <v>20935.199999999997</v>
      </c>
      <c r="CN61" s="106">
        <v>4</v>
      </c>
      <c r="CO61" s="106">
        <v>3806.3999999999996</v>
      </c>
      <c r="CP61" s="106">
        <v>3</v>
      </c>
      <c r="CQ61" s="106">
        <v>2854.7999999999997</v>
      </c>
      <c r="CR61" s="106">
        <v>4</v>
      </c>
      <c r="CS61" s="106">
        <v>3806.3999999999996</v>
      </c>
      <c r="CT61" s="106">
        <v>3</v>
      </c>
      <c r="CU61" s="106">
        <v>2854.7999999999997</v>
      </c>
    </row>
    <row r="62" spans="2:99" x14ac:dyDescent="0.2">
      <c r="C62" s="105" t="s">
        <v>228</v>
      </c>
      <c r="D62" s="106">
        <v>7</v>
      </c>
      <c r="E62" s="106">
        <v>11936.4</v>
      </c>
      <c r="F62" s="106">
        <v>7</v>
      </c>
      <c r="G62" s="106">
        <v>11936.4</v>
      </c>
      <c r="H62" s="106">
        <v>6</v>
      </c>
      <c r="I62" s="106">
        <v>10231.200000000001</v>
      </c>
      <c r="J62" s="106">
        <v>7</v>
      </c>
      <c r="K62" s="106">
        <v>11936.4</v>
      </c>
      <c r="L62" s="106">
        <v>34</v>
      </c>
      <c r="M62" s="106">
        <v>57976.800000000003</v>
      </c>
      <c r="N62" s="106">
        <v>17</v>
      </c>
      <c r="O62" s="106">
        <v>28988.400000000001</v>
      </c>
      <c r="P62" s="106">
        <v>23</v>
      </c>
      <c r="Q62" s="106">
        <v>39219.599999999999</v>
      </c>
      <c r="R62" s="106">
        <v>23</v>
      </c>
      <c r="S62" s="106">
        <v>39219.599999999999</v>
      </c>
      <c r="T62" s="106">
        <v>2</v>
      </c>
      <c r="U62" s="106">
        <v>3410.4</v>
      </c>
      <c r="V62" s="106">
        <v>3</v>
      </c>
      <c r="W62" s="106">
        <v>5115.6000000000004</v>
      </c>
      <c r="X62" s="106">
        <v>3</v>
      </c>
      <c r="Y62" s="106">
        <v>5115.6000000000004</v>
      </c>
      <c r="Z62" s="106">
        <v>4</v>
      </c>
      <c r="AA62" s="106">
        <v>6820.8</v>
      </c>
      <c r="AB62" s="106">
        <v>7</v>
      </c>
      <c r="AC62" s="106">
        <v>11936.4</v>
      </c>
      <c r="AD62" s="106">
        <v>5</v>
      </c>
      <c r="AE62" s="106">
        <v>8526</v>
      </c>
      <c r="AF62" s="106">
        <v>5</v>
      </c>
      <c r="AG62" s="106">
        <v>8526</v>
      </c>
      <c r="AH62" s="106">
        <v>7</v>
      </c>
      <c r="AI62" s="106">
        <v>11936.4</v>
      </c>
      <c r="AJ62" s="106">
        <v>4</v>
      </c>
      <c r="AK62" s="106">
        <v>6820.8</v>
      </c>
      <c r="AL62" s="106">
        <v>8</v>
      </c>
      <c r="AM62" s="106">
        <v>13641.6</v>
      </c>
      <c r="AN62" s="106">
        <v>6</v>
      </c>
      <c r="AO62" s="106">
        <v>10231.200000000001</v>
      </c>
      <c r="AP62" s="106">
        <v>7</v>
      </c>
      <c r="AQ62" s="106">
        <v>11936.4</v>
      </c>
      <c r="AR62" s="106">
        <v>5</v>
      </c>
      <c r="AS62" s="106">
        <v>8526</v>
      </c>
      <c r="AT62" s="106">
        <v>4</v>
      </c>
      <c r="AU62" s="106">
        <v>6820.8</v>
      </c>
      <c r="AV62" s="106">
        <v>2</v>
      </c>
      <c r="AW62" s="106">
        <v>3410.4</v>
      </c>
      <c r="AX62" s="106">
        <v>3</v>
      </c>
      <c r="AY62" s="106">
        <v>5115.6000000000004</v>
      </c>
      <c r="AZ62" s="106">
        <v>7</v>
      </c>
      <c r="BA62" s="106">
        <v>11936.4</v>
      </c>
      <c r="BB62" s="106">
        <v>6</v>
      </c>
      <c r="BC62" s="106">
        <v>10231.200000000001</v>
      </c>
      <c r="BD62" s="106">
        <v>5</v>
      </c>
      <c r="BE62" s="106">
        <v>8526</v>
      </c>
      <c r="BF62" s="106">
        <v>4</v>
      </c>
      <c r="BG62" s="106">
        <v>6820.8</v>
      </c>
      <c r="BH62" s="106">
        <v>4</v>
      </c>
      <c r="BI62" s="106">
        <v>6820.8</v>
      </c>
      <c r="BJ62" s="106">
        <v>6</v>
      </c>
      <c r="BK62" s="106">
        <v>10231.200000000001</v>
      </c>
      <c r="BL62" s="106">
        <v>4</v>
      </c>
      <c r="BM62" s="106">
        <v>6820.8</v>
      </c>
      <c r="BN62" s="106">
        <v>4</v>
      </c>
      <c r="BO62" s="106">
        <v>6820.8</v>
      </c>
      <c r="BP62" s="106">
        <v>4</v>
      </c>
      <c r="BQ62" s="106">
        <v>6820.8</v>
      </c>
      <c r="BR62" s="106">
        <v>3</v>
      </c>
      <c r="BS62" s="106">
        <v>5115.6000000000004</v>
      </c>
      <c r="BT62" s="106">
        <v>4</v>
      </c>
      <c r="BU62" s="106">
        <v>6820.8</v>
      </c>
      <c r="BV62" s="106">
        <v>3</v>
      </c>
      <c r="BW62" s="106">
        <v>5115.6000000000004</v>
      </c>
      <c r="BX62" s="106">
        <v>42</v>
      </c>
      <c r="BY62" s="106">
        <v>71618.400000000009</v>
      </c>
      <c r="BZ62" s="106">
        <v>58</v>
      </c>
      <c r="CA62" s="106">
        <v>98901.6</v>
      </c>
      <c r="CB62" s="106">
        <v>54</v>
      </c>
      <c r="CC62" s="106">
        <v>92080.8</v>
      </c>
      <c r="CD62" s="106">
        <v>51</v>
      </c>
      <c r="CE62" s="106">
        <v>86965.2</v>
      </c>
      <c r="CF62" s="106">
        <v>27</v>
      </c>
      <c r="CG62" s="106">
        <v>46040.4</v>
      </c>
      <c r="CH62" s="106">
        <v>16</v>
      </c>
      <c r="CI62" s="106">
        <v>27283.200000000001</v>
      </c>
      <c r="CJ62" s="106">
        <v>21</v>
      </c>
      <c r="CK62" s="106">
        <v>35809.200000000004</v>
      </c>
      <c r="CL62" s="106">
        <v>19</v>
      </c>
      <c r="CM62" s="106">
        <v>32398.799999999999</v>
      </c>
      <c r="CN62" s="106">
        <v>4</v>
      </c>
      <c r="CO62" s="106">
        <v>6820.8</v>
      </c>
      <c r="CP62" s="106">
        <v>3</v>
      </c>
      <c r="CQ62" s="106">
        <v>5115.6000000000004</v>
      </c>
      <c r="CR62" s="106">
        <v>3</v>
      </c>
      <c r="CS62" s="106">
        <v>5115.6000000000004</v>
      </c>
      <c r="CT62" s="106">
        <v>3</v>
      </c>
      <c r="CU62" s="106">
        <v>5115.6000000000004</v>
      </c>
    </row>
    <row r="63" spans="2:99" x14ac:dyDescent="0.2">
      <c r="C63" s="105" t="s">
        <v>229</v>
      </c>
      <c r="D63" s="106">
        <v>7</v>
      </c>
      <c r="E63" s="106">
        <v>5569.2</v>
      </c>
      <c r="F63" s="106">
        <v>7</v>
      </c>
      <c r="G63" s="106">
        <v>5569.2</v>
      </c>
      <c r="H63" s="106">
        <v>6</v>
      </c>
      <c r="I63" s="106">
        <v>4773.6000000000004</v>
      </c>
      <c r="J63" s="106">
        <v>8</v>
      </c>
      <c r="K63" s="106">
        <v>6364.8</v>
      </c>
      <c r="L63" s="106">
        <v>35</v>
      </c>
      <c r="M63" s="106">
        <v>27846</v>
      </c>
      <c r="N63" s="106">
        <v>22</v>
      </c>
      <c r="O63" s="106">
        <v>17503.2</v>
      </c>
      <c r="P63" s="106">
        <v>24</v>
      </c>
      <c r="Q63" s="106">
        <v>19094.400000000001</v>
      </c>
      <c r="R63" s="106">
        <v>24</v>
      </c>
      <c r="S63" s="106">
        <v>19094.400000000001</v>
      </c>
      <c r="T63" s="106">
        <v>2</v>
      </c>
      <c r="U63" s="106">
        <v>1591.2</v>
      </c>
      <c r="V63" s="106">
        <v>3</v>
      </c>
      <c r="W63" s="106">
        <v>2386.8000000000002</v>
      </c>
      <c r="X63" s="106">
        <v>3</v>
      </c>
      <c r="Y63" s="106">
        <v>2386.8000000000002</v>
      </c>
      <c r="Z63" s="106">
        <v>4</v>
      </c>
      <c r="AA63" s="106">
        <v>3182.4</v>
      </c>
      <c r="AB63" s="106">
        <v>8</v>
      </c>
      <c r="AC63" s="106">
        <v>6364.8</v>
      </c>
      <c r="AD63" s="106">
        <v>6</v>
      </c>
      <c r="AE63" s="106">
        <v>4773.6000000000004</v>
      </c>
      <c r="AF63" s="106">
        <v>5</v>
      </c>
      <c r="AG63" s="106">
        <v>3978</v>
      </c>
      <c r="AH63" s="106">
        <v>7</v>
      </c>
      <c r="AI63" s="106">
        <v>5569.2</v>
      </c>
      <c r="AJ63" s="106">
        <v>4</v>
      </c>
      <c r="AK63" s="106">
        <v>3182.4</v>
      </c>
      <c r="AL63" s="106">
        <v>9</v>
      </c>
      <c r="AM63" s="106">
        <v>7160.4000000000005</v>
      </c>
      <c r="AN63" s="106">
        <v>7</v>
      </c>
      <c r="AO63" s="106">
        <v>5569.2</v>
      </c>
      <c r="AP63" s="106">
        <v>6</v>
      </c>
      <c r="AQ63" s="106">
        <v>4773.6000000000004</v>
      </c>
      <c r="AR63" s="106">
        <v>5</v>
      </c>
      <c r="AS63" s="106">
        <v>3978</v>
      </c>
      <c r="AT63" s="106">
        <v>4</v>
      </c>
      <c r="AU63" s="106">
        <v>3182.4</v>
      </c>
      <c r="AV63" s="106">
        <v>3</v>
      </c>
      <c r="AW63" s="106">
        <v>2386.8000000000002</v>
      </c>
      <c r="AX63" s="106">
        <v>3</v>
      </c>
      <c r="AY63" s="106">
        <v>2386.8000000000002</v>
      </c>
      <c r="AZ63" s="106">
        <v>7</v>
      </c>
      <c r="BA63" s="106">
        <v>5569.2</v>
      </c>
      <c r="BB63" s="106">
        <v>7</v>
      </c>
      <c r="BC63" s="106">
        <v>5569.2</v>
      </c>
      <c r="BD63" s="106">
        <v>5</v>
      </c>
      <c r="BE63" s="106">
        <v>3978</v>
      </c>
      <c r="BF63" s="106">
        <v>5</v>
      </c>
      <c r="BG63" s="106">
        <v>3978</v>
      </c>
      <c r="BH63" s="106">
        <v>4</v>
      </c>
      <c r="BI63" s="106">
        <v>3182.4</v>
      </c>
      <c r="BJ63" s="106">
        <v>5</v>
      </c>
      <c r="BK63" s="106">
        <v>3978</v>
      </c>
      <c r="BL63" s="106">
        <v>4</v>
      </c>
      <c r="BM63" s="106">
        <v>3182.4</v>
      </c>
      <c r="BN63" s="106">
        <v>6</v>
      </c>
      <c r="BO63" s="106">
        <v>4773.6000000000004</v>
      </c>
      <c r="BP63" s="106">
        <v>4</v>
      </c>
      <c r="BQ63" s="106">
        <v>3182.4</v>
      </c>
      <c r="BR63" s="106">
        <v>4</v>
      </c>
      <c r="BS63" s="106">
        <v>3182.4</v>
      </c>
      <c r="BT63" s="106">
        <v>3</v>
      </c>
      <c r="BU63" s="106">
        <v>2386.8000000000002</v>
      </c>
      <c r="BV63" s="106">
        <v>3</v>
      </c>
      <c r="BW63" s="106">
        <v>2386.8000000000002</v>
      </c>
      <c r="BX63" s="106">
        <v>55</v>
      </c>
      <c r="BY63" s="106">
        <v>43758</v>
      </c>
      <c r="BZ63" s="106">
        <v>83</v>
      </c>
      <c r="CA63" s="106">
        <v>66034.8</v>
      </c>
      <c r="CB63" s="106">
        <v>76</v>
      </c>
      <c r="CC63" s="106">
        <v>60465.599999999999</v>
      </c>
      <c r="CD63" s="106">
        <v>67</v>
      </c>
      <c r="CE63" s="106">
        <v>53305.200000000004</v>
      </c>
      <c r="CF63" s="106">
        <v>27</v>
      </c>
      <c r="CG63" s="106">
        <v>21481.200000000001</v>
      </c>
      <c r="CH63" s="106">
        <v>20</v>
      </c>
      <c r="CI63" s="106">
        <v>15912</v>
      </c>
      <c r="CJ63" s="106">
        <v>26</v>
      </c>
      <c r="CK63" s="106">
        <v>20685.600000000002</v>
      </c>
      <c r="CL63" s="106">
        <v>24</v>
      </c>
      <c r="CM63" s="106">
        <v>19094.400000000001</v>
      </c>
      <c r="CN63" s="106">
        <v>4</v>
      </c>
      <c r="CO63" s="106">
        <v>3182.4</v>
      </c>
      <c r="CP63" s="106">
        <v>3</v>
      </c>
      <c r="CQ63" s="106">
        <v>2386.8000000000002</v>
      </c>
      <c r="CR63" s="106">
        <v>4</v>
      </c>
      <c r="CS63" s="106">
        <v>3182.4</v>
      </c>
      <c r="CT63" s="106">
        <v>3</v>
      </c>
      <c r="CU63" s="106">
        <v>2386.8000000000002</v>
      </c>
    </row>
    <row r="64" spans="2:99" x14ac:dyDescent="0.2">
      <c r="C64" s="105" t="s">
        <v>230</v>
      </c>
      <c r="D64" s="106">
        <v>6</v>
      </c>
      <c r="E64" s="106">
        <v>6055.1999999999989</v>
      </c>
      <c r="F64" s="106">
        <v>7</v>
      </c>
      <c r="G64" s="106">
        <v>7064.3999999999987</v>
      </c>
      <c r="H64" s="106">
        <v>6</v>
      </c>
      <c r="I64" s="106">
        <v>6055.1999999999989</v>
      </c>
      <c r="J64" s="106">
        <v>7</v>
      </c>
      <c r="K64" s="106">
        <v>7064.3999999999987</v>
      </c>
      <c r="L64" s="106">
        <v>35</v>
      </c>
      <c r="M64" s="106">
        <v>35321.999999999993</v>
      </c>
      <c r="N64" s="106">
        <v>18</v>
      </c>
      <c r="O64" s="106">
        <v>18165.599999999999</v>
      </c>
      <c r="P64" s="106">
        <v>23</v>
      </c>
      <c r="Q64" s="106">
        <v>23211.599999999995</v>
      </c>
      <c r="R64" s="106">
        <v>25</v>
      </c>
      <c r="S64" s="106">
        <v>25229.999999999996</v>
      </c>
      <c r="T64" s="106">
        <v>2</v>
      </c>
      <c r="U64" s="106">
        <v>2018.3999999999996</v>
      </c>
      <c r="V64" s="106">
        <v>3</v>
      </c>
      <c r="W64" s="106">
        <v>3027.5999999999995</v>
      </c>
      <c r="X64" s="106">
        <v>3</v>
      </c>
      <c r="Y64" s="106">
        <v>3027.5999999999995</v>
      </c>
      <c r="Z64" s="106">
        <v>4</v>
      </c>
      <c r="AA64" s="106">
        <v>4036.7999999999993</v>
      </c>
      <c r="AB64" s="106">
        <v>8</v>
      </c>
      <c r="AC64" s="106">
        <v>8073.5999999999985</v>
      </c>
      <c r="AD64" s="106">
        <v>6</v>
      </c>
      <c r="AE64" s="106">
        <v>6055.1999999999989</v>
      </c>
      <c r="AF64" s="106">
        <v>6</v>
      </c>
      <c r="AG64" s="106">
        <v>6055.1999999999989</v>
      </c>
      <c r="AH64" s="106">
        <v>9</v>
      </c>
      <c r="AI64" s="106">
        <v>9082.7999999999993</v>
      </c>
      <c r="AJ64" s="106">
        <v>4</v>
      </c>
      <c r="AK64" s="106">
        <v>4036.7999999999993</v>
      </c>
      <c r="AL64" s="106">
        <v>8</v>
      </c>
      <c r="AM64" s="106">
        <v>8073.5999999999985</v>
      </c>
      <c r="AN64" s="106">
        <v>6</v>
      </c>
      <c r="AO64" s="106">
        <v>6055.1999999999989</v>
      </c>
      <c r="AP64" s="106">
        <v>7</v>
      </c>
      <c r="AQ64" s="106">
        <v>7064.3999999999987</v>
      </c>
      <c r="AR64" s="106">
        <v>5</v>
      </c>
      <c r="AS64" s="106">
        <v>5045.9999999999991</v>
      </c>
      <c r="AT64" s="106">
        <v>4</v>
      </c>
      <c r="AU64" s="106">
        <v>4036.7999999999993</v>
      </c>
      <c r="AV64" s="106">
        <v>3</v>
      </c>
      <c r="AW64" s="106">
        <v>3027.5999999999995</v>
      </c>
      <c r="AX64" s="106">
        <v>3</v>
      </c>
      <c r="AY64" s="106">
        <v>3027.5999999999995</v>
      </c>
      <c r="AZ64" s="106">
        <v>7</v>
      </c>
      <c r="BA64" s="106">
        <v>7064.3999999999987</v>
      </c>
      <c r="BB64" s="106">
        <v>6</v>
      </c>
      <c r="BC64" s="106">
        <v>6055.1999999999989</v>
      </c>
      <c r="BD64" s="106">
        <v>5</v>
      </c>
      <c r="BE64" s="106">
        <v>5045.9999999999991</v>
      </c>
      <c r="BF64" s="106">
        <v>5</v>
      </c>
      <c r="BG64" s="106">
        <v>5045.9999999999991</v>
      </c>
      <c r="BH64" s="106">
        <v>5</v>
      </c>
      <c r="BI64" s="106">
        <v>5045.9999999999991</v>
      </c>
      <c r="BJ64" s="106">
        <v>6</v>
      </c>
      <c r="BK64" s="106">
        <v>6055.1999999999989</v>
      </c>
      <c r="BL64" s="106">
        <v>4</v>
      </c>
      <c r="BM64" s="106">
        <v>4036.7999999999993</v>
      </c>
      <c r="BN64" s="106">
        <v>5</v>
      </c>
      <c r="BO64" s="106">
        <v>5045.9999999999991</v>
      </c>
      <c r="BP64" s="106">
        <v>3</v>
      </c>
      <c r="BQ64" s="106">
        <v>3027.5999999999995</v>
      </c>
      <c r="BR64" s="106">
        <v>4</v>
      </c>
      <c r="BS64" s="106">
        <v>4036.7999999999993</v>
      </c>
      <c r="BT64" s="106">
        <v>4</v>
      </c>
      <c r="BU64" s="106">
        <v>4036.7999999999993</v>
      </c>
      <c r="BV64" s="106">
        <v>3</v>
      </c>
      <c r="BW64" s="106">
        <v>3027.5999999999995</v>
      </c>
      <c r="BX64" s="106">
        <v>46</v>
      </c>
      <c r="BY64" s="106">
        <v>46423.19999999999</v>
      </c>
      <c r="BZ64" s="106">
        <v>72</v>
      </c>
      <c r="CA64" s="106">
        <v>72662.399999999994</v>
      </c>
      <c r="CB64" s="106">
        <v>70</v>
      </c>
      <c r="CC64" s="106">
        <v>70643.999999999985</v>
      </c>
      <c r="CD64" s="106">
        <v>60</v>
      </c>
      <c r="CE64" s="106">
        <v>60551.999999999985</v>
      </c>
      <c r="CF64" s="106">
        <v>30</v>
      </c>
      <c r="CG64" s="106">
        <v>30275.999999999993</v>
      </c>
      <c r="CH64" s="106">
        <v>17</v>
      </c>
      <c r="CI64" s="106">
        <v>17156.399999999998</v>
      </c>
      <c r="CJ64" s="106">
        <v>26</v>
      </c>
      <c r="CK64" s="106">
        <v>26239.199999999997</v>
      </c>
      <c r="CL64" s="106">
        <v>23</v>
      </c>
      <c r="CM64" s="106">
        <v>23211.599999999995</v>
      </c>
      <c r="CN64" s="106">
        <v>4</v>
      </c>
      <c r="CO64" s="106">
        <v>4036.7999999999993</v>
      </c>
      <c r="CP64" s="106">
        <v>3</v>
      </c>
      <c r="CQ64" s="106">
        <v>3027.5999999999995</v>
      </c>
      <c r="CR64" s="106">
        <v>4</v>
      </c>
      <c r="CS64" s="106">
        <v>4036.7999999999993</v>
      </c>
      <c r="CT64" s="106">
        <v>3</v>
      </c>
      <c r="CU64" s="106">
        <v>3027.5999999999995</v>
      </c>
    </row>
    <row r="65" spans="2:99" x14ac:dyDescent="0.2">
      <c r="C65" s="105" t="s">
        <v>231</v>
      </c>
      <c r="D65" s="106">
        <v>7</v>
      </c>
      <c r="E65" s="106">
        <v>7182</v>
      </c>
      <c r="F65" s="106">
        <v>7</v>
      </c>
      <c r="G65" s="106">
        <v>7182</v>
      </c>
      <c r="H65" s="106">
        <v>6</v>
      </c>
      <c r="I65" s="106">
        <v>6156</v>
      </c>
      <c r="J65" s="106">
        <v>7</v>
      </c>
      <c r="K65" s="106">
        <v>7182</v>
      </c>
      <c r="L65" s="106">
        <v>35</v>
      </c>
      <c r="M65" s="106">
        <v>35910</v>
      </c>
      <c r="N65" s="106">
        <v>21</v>
      </c>
      <c r="O65" s="106">
        <v>21546</v>
      </c>
      <c r="P65" s="106">
        <v>26</v>
      </c>
      <c r="Q65" s="106">
        <v>26676</v>
      </c>
      <c r="R65" s="106">
        <v>26</v>
      </c>
      <c r="S65" s="106">
        <v>26676</v>
      </c>
      <c r="T65" s="106">
        <v>2</v>
      </c>
      <c r="U65" s="106">
        <v>2052</v>
      </c>
      <c r="V65" s="106">
        <v>3</v>
      </c>
      <c r="W65" s="106">
        <v>3078</v>
      </c>
      <c r="X65" s="106">
        <v>3</v>
      </c>
      <c r="Y65" s="106">
        <v>3078</v>
      </c>
      <c r="Z65" s="106">
        <v>4</v>
      </c>
      <c r="AA65" s="106">
        <v>4104</v>
      </c>
      <c r="AB65" s="106">
        <v>7</v>
      </c>
      <c r="AC65" s="106">
        <v>7182</v>
      </c>
      <c r="AD65" s="106">
        <v>6</v>
      </c>
      <c r="AE65" s="106">
        <v>6156</v>
      </c>
      <c r="AF65" s="106">
        <v>5</v>
      </c>
      <c r="AG65" s="106">
        <v>5130</v>
      </c>
      <c r="AH65" s="106">
        <v>9</v>
      </c>
      <c r="AI65" s="106">
        <v>9234</v>
      </c>
      <c r="AJ65" s="106">
        <v>4</v>
      </c>
      <c r="AK65" s="106">
        <v>4104</v>
      </c>
      <c r="AL65" s="106">
        <v>8</v>
      </c>
      <c r="AM65" s="106">
        <v>8208</v>
      </c>
      <c r="AN65" s="106">
        <v>6</v>
      </c>
      <c r="AO65" s="106">
        <v>6156</v>
      </c>
      <c r="AP65" s="106">
        <v>7</v>
      </c>
      <c r="AQ65" s="106">
        <v>7182</v>
      </c>
      <c r="AR65" s="106">
        <v>5</v>
      </c>
      <c r="AS65" s="106">
        <v>5130</v>
      </c>
      <c r="AT65" s="106">
        <v>4</v>
      </c>
      <c r="AU65" s="106">
        <v>4104</v>
      </c>
      <c r="AV65" s="106">
        <v>3</v>
      </c>
      <c r="AW65" s="106">
        <v>3078</v>
      </c>
      <c r="AX65" s="106">
        <v>3</v>
      </c>
      <c r="AY65" s="106">
        <v>3078</v>
      </c>
      <c r="AZ65" s="106">
        <v>7</v>
      </c>
      <c r="BA65" s="106">
        <v>7182</v>
      </c>
      <c r="BB65" s="106">
        <v>6</v>
      </c>
      <c r="BC65" s="106">
        <v>6156</v>
      </c>
      <c r="BD65" s="106">
        <v>4</v>
      </c>
      <c r="BE65" s="106">
        <v>4104</v>
      </c>
      <c r="BF65" s="106">
        <v>4</v>
      </c>
      <c r="BG65" s="106">
        <v>4104</v>
      </c>
      <c r="BH65" s="106">
        <v>4</v>
      </c>
      <c r="BI65" s="106">
        <v>4104</v>
      </c>
      <c r="BJ65" s="106">
        <v>5</v>
      </c>
      <c r="BK65" s="106">
        <v>5130</v>
      </c>
      <c r="BL65" s="106">
        <v>4</v>
      </c>
      <c r="BM65" s="106">
        <v>4104</v>
      </c>
      <c r="BN65" s="106">
        <v>5</v>
      </c>
      <c r="BO65" s="106">
        <v>5130</v>
      </c>
      <c r="BP65" s="106">
        <v>4</v>
      </c>
      <c r="BQ65" s="106">
        <v>4104</v>
      </c>
      <c r="BR65" s="106">
        <v>4</v>
      </c>
      <c r="BS65" s="106">
        <v>4104</v>
      </c>
      <c r="BT65" s="106">
        <v>4</v>
      </c>
      <c r="BU65" s="106">
        <v>4104</v>
      </c>
      <c r="BV65" s="106">
        <v>4</v>
      </c>
      <c r="BW65" s="106">
        <v>4104</v>
      </c>
      <c r="BX65" s="106">
        <v>53</v>
      </c>
      <c r="BY65" s="106">
        <v>54378</v>
      </c>
      <c r="BZ65" s="106">
        <v>79</v>
      </c>
      <c r="CA65" s="106">
        <v>81054</v>
      </c>
      <c r="CB65" s="106">
        <v>69</v>
      </c>
      <c r="CC65" s="106">
        <v>70794</v>
      </c>
      <c r="CD65" s="106">
        <v>64</v>
      </c>
      <c r="CE65" s="106">
        <v>65664</v>
      </c>
      <c r="CF65" s="106">
        <v>31</v>
      </c>
      <c r="CG65" s="106">
        <v>31806</v>
      </c>
      <c r="CH65" s="106">
        <v>18</v>
      </c>
      <c r="CI65" s="106">
        <v>18468</v>
      </c>
      <c r="CJ65" s="106">
        <v>22</v>
      </c>
      <c r="CK65" s="106">
        <v>22572</v>
      </c>
      <c r="CL65" s="106">
        <v>21</v>
      </c>
      <c r="CM65" s="106">
        <v>21546</v>
      </c>
      <c r="CN65" s="106">
        <v>4</v>
      </c>
      <c r="CO65" s="106">
        <v>4104</v>
      </c>
      <c r="CP65" s="106">
        <v>3</v>
      </c>
      <c r="CQ65" s="106">
        <v>3078</v>
      </c>
      <c r="CR65" s="106">
        <v>4</v>
      </c>
      <c r="CS65" s="106">
        <v>4104</v>
      </c>
      <c r="CT65" s="106">
        <v>3</v>
      </c>
      <c r="CU65" s="106">
        <v>3078</v>
      </c>
    </row>
    <row r="66" spans="2:99" x14ac:dyDescent="0.2">
      <c r="C66" s="105" t="s">
        <v>232</v>
      </c>
      <c r="D66" s="106">
        <v>7</v>
      </c>
      <c r="E66" s="106">
        <v>8332.7999999999993</v>
      </c>
      <c r="F66" s="106">
        <v>7</v>
      </c>
      <c r="G66" s="106">
        <v>8332.7999999999993</v>
      </c>
      <c r="H66" s="106">
        <v>5</v>
      </c>
      <c r="I66" s="106">
        <v>5951.9999999999991</v>
      </c>
      <c r="J66" s="106">
        <v>7</v>
      </c>
      <c r="K66" s="106">
        <v>8332.7999999999993</v>
      </c>
      <c r="L66" s="106">
        <v>31</v>
      </c>
      <c r="M66" s="106">
        <v>36902.399999999994</v>
      </c>
      <c r="N66" s="106">
        <v>18</v>
      </c>
      <c r="O66" s="106">
        <v>21427.199999999997</v>
      </c>
      <c r="P66" s="106">
        <v>24</v>
      </c>
      <c r="Q66" s="106">
        <v>28569.599999999999</v>
      </c>
      <c r="R66" s="106">
        <v>27</v>
      </c>
      <c r="S66" s="106">
        <v>32140.799999999996</v>
      </c>
      <c r="T66" s="106">
        <v>2</v>
      </c>
      <c r="U66" s="106">
        <v>2380.7999999999997</v>
      </c>
      <c r="V66" s="106">
        <v>4</v>
      </c>
      <c r="W66" s="106">
        <v>4761.5999999999995</v>
      </c>
      <c r="X66" s="106">
        <v>3</v>
      </c>
      <c r="Y66" s="106">
        <v>3571.2</v>
      </c>
      <c r="Z66" s="106">
        <v>5</v>
      </c>
      <c r="AA66" s="106">
        <v>5951.9999999999991</v>
      </c>
      <c r="AB66" s="106">
        <v>7</v>
      </c>
      <c r="AC66" s="106">
        <v>8332.7999999999993</v>
      </c>
      <c r="AD66" s="106">
        <v>7</v>
      </c>
      <c r="AE66" s="106">
        <v>8332.7999999999993</v>
      </c>
      <c r="AF66" s="106">
        <v>5</v>
      </c>
      <c r="AG66" s="106">
        <v>5951.9999999999991</v>
      </c>
      <c r="AH66" s="106">
        <v>8</v>
      </c>
      <c r="AI66" s="106">
        <v>9523.1999999999989</v>
      </c>
      <c r="AJ66" s="106">
        <v>5</v>
      </c>
      <c r="AK66" s="106">
        <v>5951.9999999999991</v>
      </c>
      <c r="AL66" s="106">
        <v>9</v>
      </c>
      <c r="AM66" s="106">
        <v>10713.599999999999</v>
      </c>
      <c r="AN66" s="106">
        <v>5</v>
      </c>
      <c r="AO66" s="106">
        <v>5951.9999999999991</v>
      </c>
      <c r="AP66" s="106">
        <v>6</v>
      </c>
      <c r="AQ66" s="106">
        <v>7142.4</v>
      </c>
      <c r="AR66" s="106">
        <v>5</v>
      </c>
      <c r="AS66" s="106">
        <v>5951.9999999999991</v>
      </c>
      <c r="AT66" s="106">
        <v>4</v>
      </c>
      <c r="AU66" s="106">
        <v>4761.5999999999995</v>
      </c>
      <c r="AV66" s="106">
        <v>3</v>
      </c>
      <c r="AW66" s="106">
        <v>3571.2</v>
      </c>
      <c r="AX66" s="106">
        <v>3</v>
      </c>
      <c r="AY66" s="106">
        <v>3571.2</v>
      </c>
      <c r="AZ66" s="106">
        <v>8</v>
      </c>
      <c r="BA66" s="106">
        <v>9523.1999999999989</v>
      </c>
      <c r="BB66" s="106">
        <v>7</v>
      </c>
      <c r="BC66" s="106">
        <v>8332.7999999999993</v>
      </c>
      <c r="BD66" s="106">
        <v>5</v>
      </c>
      <c r="BE66" s="106">
        <v>5951.9999999999991</v>
      </c>
      <c r="BF66" s="106">
        <v>4</v>
      </c>
      <c r="BG66" s="106">
        <v>4761.5999999999995</v>
      </c>
      <c r="BH66" s="106">
        <v>4</v>
      </c>
      <c r="BI66" s="106">
        <v>4761.5999999999995</v>
      </c>
      <c r="BJ66" s="106">
        <v>5</v>
      </c>
      <c r="BK66" s="106">
        <v>5951.9999999999991</v>
      </c>
      <c r="BL66" s="106">
        <v>4</v>
      </c>
      <c r="BM66" s="106">
        <v>4761.5999999999995</v>
      </c>
      <c r="BN66" s="106">
        <v>5</v>
      </c>
      <c r="BO66" s="106">
        <v>5951.9999999999991</v>
      </c>
      <c r="BP66" s="106">
        <v>4</v>
      </c>
      <c r="BQ66" s="106">
        <v>4761.5999999999995</v>
      </c>
      <c r="BR66" s="106">
        <v>4</v>
      </c>
      <c r="BS66" s="106">
        <v>4761.5999999999995</v>
      </c>
      <c r="BT66" s="106">
        <v>3</v>
      </c>
      <c r="BU66" s="106">
        <v>3571.2</v>
      </c>
      <c r="BV66" s="106">
        <v>4</v>
      </c>
      <c r="BW66" s="106">
        <v>4761.5999999999995</v>
      </c>
      <c r="BX66" s="106">
        <v>52</v>
      </c>
      <c r="BY66" s="106">
        <v>61900.799999999996</v>
      </c>
      <c r="BZ66" s="106">
        <v>71</v>
      </c>
      <c r="CA66" s="106">
        <v>84518.399999999994</v>
      </c>
      <c r="CB66" s="106">
        <v>66</v>
      </c>
      <c r="CC66" s="106">
        <v>78566.399999999994</v>
      </c>
      <c r="CD66" s="106">
        <v>57</v>
      </c>
      <c r="CE66" s="106">
        <v>67852.799999999988</v>
      </c>
      <c r="CF66" s="106">
        <v>30</v>
      </c>
      <c r="CG66" s="106">
        <v>35711.999999999993</v>
      </c>
      <c r="CH66" s="106">
        <v>17</v>
      </c>
      <c r="CI66" s="106">
        <v>20236.8</v>
      </c>
      <c r="CJ66" s="106">
        <v>22</v>
      </c>
      <c r="CK66" s="106">
        <v>26188.799999999996</v>
      </c>
      <c r="CL66" s="106">
        <v>20</v>
      </c>
      <c r="CM66" s="106">
        <v>23807.999999999996</v>
      </c>
      <c r="CN66" s="106">
        <v>4</v>
      </c>
      <c r="CO66" s="106">
        <v>4761.5999999999995</v>
      </c>
      <c r="CP66" s="106">
        <v>3</v>
      </c>
      <c r="CQ66" s="106">
        <v>3571.2</v>
      </c>
      <c r="CR66" s="106">
        <v>4</v>
      </c>
      <c r="CS66" s="106">
        <v>4761.5999999999995</v>
      </c>
      <c r="CT66" s="106">
        <v>3</v>
      </c>
      <c r="CU66" s="106">
        <v>3571.2</v>
      </c>
    </row>
    <row r="67" spans="2:99" x14ac:dyDescent="0.2">
      <c r="C67" s="105" t="s">
        <v>233</v>
      </c>
      <c r="D67" s="106">
        <v>7</v>
      </c>
      <c r="E67" s="106">
        <v>7862.4000000000005</v>
      </c>
      <c r="F67" s="106">
        <v>7</v>
      </c>
      <c r="G67" s="106">
        <v>7862.4000000000005</v>
      </c>
      <c r="H67" s="106">
        <v>5</v>
      </c>
      <c r="I67" s="106">
        <v>5616</v>
      </c>
      <c r="J67" s="106">
        <v>7</v>
      </c>
      <c r="K67" s="106">
        <v>7862.4000000000005</v>
      </c>
      <c r="L67" s="106">
        <v>32</v>
      </c>
      <c r="M67" s="106">
        <v>35942.400000000001</v>
      </c>
      <c r="N67" s="106">
        <v>19</v>
      </c>
      <c r="O67" s="106">
        <v>21340.799999999999</v>
      </c>
      <c r="P67" s="106">
        <v>23</v>
      </c>
      <c r="Q67" s="106">
        <v>25833.600000000002</v>
      </c>
      <c r="R67" s="106">
        <v>27</v>
      </c>
      <c r="S67" s="106">
        <v>30326.400000000001</v>
      </c>
      <c r="T67" s="106">
        <v>2</v>
      </c>
      <c r="U67" s="106">
        <v>2246.4</v>
      </c>
      <c r="V67" s="106">
        <v>3</v>
      </c>
      <c r="W67" s="106">
        <v>3369.6000000000004</v>
      </c>
      <c r="X67" s="106">
        <v>3</v>
      </c>
      <c r="Y67" s="106">
        <v>3369.6000000000004</v>
      </c>
      <c r="Z67" s="106">
        <v>4</v>
      </c>
      <c r="AA67" s="106">
        <v>4492.8</v>
      </c>
      <c r="AB67" s="106">
        <v>7</v>
      </c>
      <c r="AC67" s="106">
        <v>7862.4000000000005</v>
      </c>
      <c r="AD67" s="106">
        <v>6</v>
      </c>
      <c r="AE67" s="106">
        <v>6739.2000000000007</v>
      </c>
      <c r="AF67" s="106">
        <v>5</v>
      </c>
      <c r="AG67" s="106">
        <v>5616</v>
      </c>
      <c r="AH67" s="106">
        <v>9</v>
      </c>
      <c r="AI67" s="106">
        <v>10108.800000000001</v>
      </c>
      <c r="AJ67" s="106">
        <v>4</v>
      </c>
      <c r="AK67" s="106">
        <v>4492.8</v>
      </c>
      <c r="AL67" s="106">
        <v>9</v>
      </c>
      <c r="AM67" s="106">
        <v>10108.800000000001</v>
      </c>
      <c r="AN67" s="106">
        <v>6</v>
      </c>
      <c r="AO67" s="106">
        <v>6739.2000000000007</v>
      </c>
      <c r="AP67" s="106">
        <v>6</v>
      </c>
      <c r="AQ67" s="106">
        <v>6739.2000000000007</v>
      </c>
      <c r="AR67" s="106">
        <v>4</v>
      </c>
      <c r="AS67" s="106">
        <v>4492.8</v>
      </c>
      <c r="AT67" s="106">
        <v>4</v>
      </c>
      <c r="AU67" s="106">
        <v>4492.8</v>
      </c>
      <c r="AV67" s="106">
        <v>3</v>
      </c>
      <c r="AW67" s="106">
        <v>3369.6000000000004</v>
      </c>
      <c r="AX67" s="106">
        <v>3</v>
      </c>
      <c r="AY67" s="106">
        <v>3369.6000000000004</v>
      </c>
      <c r="AZ67" s="106">
        <v>8</v>
      </c>
      <c r="BA67" s="106">
        <v>8985.6</v>
      </c>
      <c r="BB67" s="106">
        <v>6</v>
      </c>
      <c r="BC67" s="106">
        <v>6739.2000000000007</v>
      </c>
      <c r="BD67" s="106">
        <v>5</v>
      </c>
      <c r="BE67" s="106">
        <v>5616</v>
      </c>
      <c r="BF67" s="106">
        <v>4</v>
      </c>
      <c r="BG67" s="106">
        <v>4492.8</v>
      </c>
      <c r="BH67" s="106">
        <v>4</v>
      </c>
      <c r="BI67" s="106">
        <v>4492.8</v>
      </c>
      <c r="BJ67" s="106">
        <v>5</v>
      </c>
      <c r="BK67" s="106">
        <v>5616</v>
      </c>
      <c r="BL67" s="106">
        <v>4</v>
      </c>
      <c r="BM67" s="106">
        <v>4492.8</v>
      </c>
      <c r="BN67" s="106">
        <v>5</v>
      </c>
      <c r="BO67" s="106">
        <v>5616</v>
      </c>
      <c r="BP67" s="106">
        <v>4</v>
      </c>
      <c r="BQ67" s="106">
        <v>4492.8</v>
      </c>
      <c r="BR67" s="106">
        <v>4</v>
      </c>
      <c r="BS67" s="106">
        <v>4492.8</v>
      </c>
      <c r="BT67" s="106">
        <v>3</v>
      </c>
      <c r="BU67" s="106">
        <v>3369.6000000000004</v>
      </c>
      <c r="BV67" s="106">
        <v>3</v>
      </c>
      <c r="BW67" s="106">
        <v>3369.6000000000004</v>
      </c>
      <c r="BX67" s="106">
        <v>53</v>
      </c>
      <c r="BY67" s="106">
        <v>59529.600000000006</v>
      </c>
      <c r="BZ67" s="106">
        <v>76</v>
      </c>
      <c r="CA67" s="106">
        <v>85363.199999999997</v>
      </c>
      <c r="CB67" s="106">
        <v>67</v>
      </c>
      <c r="CC67" s="106">
        <v>75254.400000000009</v>
      </c>
      <c r="CD67" s="106">
        <v>66</v>
      </c>
      <c r="CE67" s="106">
        <v>74131.199999999997</v>
      </c>
      <c r="CF67" s="106">
        <v>27</v>
      </c>
      <c r="CG67" s="106">
        <v>30326.400000000001</v>
      </c>
      <c r="CH67" s="106">
        <v>19</v>
      </c>
      <c r="CI67" s="106">
        <v>21340.799999999999</v>
      </c>
      <c r="CJ67" s="106">
        <v>25</v>
      </c>
      <c r="CK67" s="106">
        <v>28080</v>
      </c>
      <c r="CL67" s="106">
        <v>21</v>
      </c>
      <c r="CM67" s="106">
        <v>23587.200000000001</v>
      </c>
      <c r="CN67" s="106">
        <v>4</v>
      </c>
      <c r="CO67" s="106">
        <v>4492.8</v>
      </c>
      <c r="CP67" s="106">
        <v>3</v>
      </c>
      <c r="CQ67" s="106">
        <v>3369.6000000000004</v>
      </c>
      <c r="CR67" s="106">
        <v>4</v>
      </c>
      <c r="CS67" s="106">
        <v>4492.8</v>
      </c>
      <c r="CT67" s="106">
        <v>3</v>
      </c>
      <c r="CU67" s="106">
        <v>3369.6000000000004</v>
      </c>
    </row>
    <row r="68" spans="2:99" x14ac:dyDescent="0.2">
      <c r="C68" s="105" t="s">
        <v>234</v>
      </c>
      <c r="D68" s="106">
        <v>6</v>
      </c>
      <c r="E68" s="106">
        <v>6199.2000000000007</v>
      </c>
      <c r="F68" s="106">
        <v>7</v>
      </c>
      <c r="G68" s="106">
        <v>7232.4000000000005</v>
      </c>
      <c r="H68" s="106">
        <v>6</v>
      </c>
      <c r="I68" s="106">
        <v>6199.2000000000007</v>
      </c>
      <c r="J68" s="106">
        <v>8</v>
      </c>
      <c r="K68" s="106">
        <v>8265.6</v>
      </c>
      <c r="L68" s="106">
        <v>38</v>
      </c>
      <c r="M68" s="106">
        <v>39261.599999999999</v>
      </c>
      <c r="N68" s="106">
        <v>20</v>
      </c>
      <c r="O68" s="106">
        <v>20664</v>
      </c>
      <c r="P68" s="106">
        <v>23</v>
      </c>
      <c r="Q68" s="106">
        <v>23763.600000000002</v>
      </c>
      <c r="R68" s="106">
        <v>23</v>
      </c>
      <c r="S68" s="106">
        <v>23763.600000000002</v>
      </c>
      <c r="T68" s="106">
        <v>3</v>
      </c>
      <c r="U68" s="106">
        <v>3099.6000000000004</v>
      </c>
      <c r="V68" s="106">
        <v>3</v>
      </c>
      <c r="W68" s="106">
        <v>3099.6000000000004</v>
      </c>
      <c r="X68" s="106">
        <v>3</v>
      </c>
      <c r="Y68" s="106">
        <v>3099.6000000000004</v>
      </c>
      <c r="Z68" s="106">
        <v>5</v>
      </c>
      <c r="AA68" s="106">
        <v>5166</v>
      </c>
      <c r="AB68" s="106">
        <v>8</v>
      </c>
      <c r="AC68" s="106">
        <v>8265.6</v>
      </c>
      <c r="AD68" s="106">
        <v>6</v>
      </c>
      <c r="AE68" s="106">
        <v>6199.2000000000007</v>
      </c>
      <c r="AF68" s="106">
        <v>5</v>
      </c>
      <c r="AG68" s="106">
        <v>5166</v>
      </c>
      <c r="AH68" s="106">
        <v>7</v>
      </c>
      <c r="AI68" s="106">
        <v>7232.4000000000005</v>
      </c>
      <c r="AJ68" s="106">
        <v>4</v>
      </c>
      <c r="AK68" s="106">
        <v>4132.8</v>
      </c>
      <c r="AL68" s="106">
        <v>8</v>
      </c>
      <c r="AM68" s="106">
        <v>8265.6</v>
      </c>
      <c r="AN68" s="106">
        <v>5</v>
      </c>
      <c r="AO68" s="106">
        <v>5166</v>
      </c>
      <c r="AP68" s="106">
        <v>6</v>
      </c>
      <c r="AQ68" s="106">
        <v>6199.2000000000007</v>
      </c>
      <c r="AR68" s="106">
        <v>5</v>
      </c>
      <c r="AS68" s="106">
        <v>5166</v>
      </c>
      <c r="AT68" s="106">
        <v>4</v>
      </c>
      <c r="AU68" s="106">
        <v>4132.8</v>
      </c>
      <c r="AV68" s="106">
        <v>2</v>
      </c>
      <c r="AW68" s="106">
        <v>2066.4</v>
      </c>
      <c r="AX68" s="106">
        <v>3</v>
      </c>
      <c r="AY68" s="106">
        <v>3099.6000000000004</v>
      </c>
      <c r="AZ68" s="106">
        <v>8</v>
      </c>
      <c r="BA68" s="106">
        <v>8265.6</v>
      </c>
      <c r="BB68" s="106">
        <v>6</v>
      </c>
      <c r="BC68" s="106">
        <v>6199.2000000000007</v>
      </c>
      <c r="BD68" s="106">
        <v>5</v>
      </c>
      <c r="BE68" s="106">
        <v>5166</v>
      </c>
      <c r="BF68" s="106">
        <v>4</v>
      </c>
      <c r="BG68" s="106">
        <v>4132.8</v>
      </c>
      <c r="BH68" s="106">
        <v>4</v>
      </c>
      <c r="BI68" s="106">
        <v>4132.8</v>
      </c>
      <c r="BJ68" s="106">
        <v>5</v>
      </c>
      <c r="BK68" s="106">
        <v>5166</v>
      </c>
      <c r="BL68" s="106">
        <v>4</v>
      </c>
      <c r="BM68" s="106">
        <v>4132.8</v>
      </c>
      <c r="BN68" s="106">
        <v>5</v>
      </c>
      <c r="BO68" s="106">
        <v>5166</v>
      </c>
      <c r="BP68" s="106">
        <v>4</v>
      </c>
      <c r="BQ68" s="106">
        <v>4132.8</v>
      </c>
      <c r="BR68" s="106">
        <v>4</v>
      </c>
      <c r="BS68" s="106">
        <v>4132.8</v>
      </c>
      <c r="BT68" s="106">
        <v>3</v>
      </c>
      <c r="BU68" s="106">
        <v>3099.6000000000004</v>
      </c>
      <c r="BV68" s="106">
        <v>4</v>
      </c>
      <c r="BW68" s="106">
        <v>4132.8</v>
      </c>
      <c r="BX68" s="106">
        <v>47</v>
      </c>
      <c r="BY68" s="106">
        <v>48560.4</v>
      </c>
      <c r="BZ68" s="106">
        <v>74</v>
      </c>
      <c r="CA68" s="106">
        <v>76456.800000000003</v>
      </c>
      <c r="CB68" s="106">
        <v>66</v>
      </c>
      <c r="CC68" s="106">
        <v>68191.199999999997</v>
      </c>
      <c r="CD68" s="106">
        <v>63</v>
      </c>
      <c r="CE68" s="106">
        <v>65091.600000000006</v>
      </c>
      <c r="CF68" s="106">
        <v>31</v>
      </c>
      <c r="CG68" s="106">
        <v>32029.200000000001</v>
      </c>
      <c r="CH68" s="106">
        <v>20</v>
      </c>
      <c r="CI68" s="106">
        <v>20664</v>
      </c>
      <c r="CJ68" s="106">
        <v>24</v>
      </c>
      <c r="CK68" s="106">
        <v>24796.800000000003</v>
      </c>
      <c r="CL68" s="106">
        <v>19</v>
      </c>
      <c r="CM68" s="106">
        <v>19630.8</v>
      </c>
      <c r="CN68" s="106">
        <v>4</v>
      </c>
      <c r="CO68" s="106">
        <v>4132.8</v>
      </c>
      <c r="CP68" s="106">
        <v>3</v>
      </c>
      <c r="CQ68" s="106">
        <v>3099.6000000000004</v>
      </c>
      <c r="CR68" s="106">
        <v>4</v>
      </c>
      <c r="CS68" s="106">
        <v>4132.8</v>
      </c>
      <c r="CT68" s="106">
        <v>3</v>
      </c>
      <c r="CU68" s="106">
        <v>3099.6000000000004</v>
      </c>
    </row>
    <row r="69" spans="2:99" x14ac:dyDescent="0.2">
      <c r="C69" s="105" t="s">
        <v>235</v>
      </c>
      <c r="D69" s="106">
        <v>7</v>
      </c>
      <c r="E69" s="106">
        <v>5308.8</v>
      </c>
      <c r="F69" s="106">
        <v>8</v>
      </c>
      <c r="G69" s="106">
        <v>6067.2</v>
      </c>
      <c r="H69" s="106">
        <v>6</v>
      </c>
      <c r="I69" s="106">
        <v>4550.3999999999996</v>
      </c>
      <c r="J69" s="106">
        <v>8</v>
      </c>
      <c r="K69" s="106">
        <v>6067.2</v>
      </c>
      <c r="L69" s="106">
        <v>35</v>
      </c>
      <c r="M69" s="106">
        <v>26544</v>
      </c>
      <c r="N69" s="106">
        <v>19</v>
      </c>
      <c r="O69" s="106">
        <v>14409.6</v>
      </c>
      <c r="P69" s="106">
        <v>27</v>
      </c>
      <c r="Q69" s="106">
        <v>20476.8</v>
      </c>
      <c r="R69" s="106">
        <v>29</v>
      </c>
      <c r="S69" s="106">
        <v>21993.599999999999</v>
      </c>
      <c r="T69" s="106">
        <v>2</v>
      </c>
      <c r="U69" s="106">
        <v>1516.8</v>
      </c>
      <c r="V69" s="106">
        <v>4</v>
      </c>
      <c r="W69" s="106">
        <v>3033.6</v>
      </c>
      <c r="X69" s="106">
        <v>3</v>
      </c>
      <c r="Y69" s="106">
        <v>2275.1999999999998</v>
      </c>
      <c r="Z69" s="106">
        <v>4</v>
      </c>
      <c r="AA69" s="106">
        <v>3033.6</v>
      </c>
      <c r="AB69" s="106">
        <v>8</v>
      </c>
      <c r="AC69" s="106">
        <v>6067.2</v>
      </c>
      <c r="AD69" s="106">
        <v>6</v>
      </c>
      <c r="AE69" s="106">
        <v>4550.3999999999996</v>
      </c>
      <c r="AF69" s="106">
        <v>6</v>
      </c>
      <c r="AG69" s="106">
        <v>4550.3999999999996</v>
      </c>
      <c r="AH69" s="106">
        <v>8</v>
      </c>
      <c r="AI69" s="106">
        <v>6067.2</v>
      </c>
      <c r="AJ69" s="106">
        <v>4</v>
      </c>
      <c r="AK69" s="106">
        <v>3033.6</v>
      </c>
      <c r="AL69" s="106">
        <v>8</v>
      </c>
      <c r="AM69" s="106">
        <v>6067.2</v>
      </c>
      <c r="AN69" s="106">
        <v>6</v>
      </c>
      <c r="AO69" s="106">
        <v>4550.3999999999996</v>
      </c>
      <c r="AP69" s="106">
        <v>7</v>
      </c>
      <c r="AQ69" s="106">
        <v>5308.8</v>
      </c>
      <c r="AR69" s="106">
        <v>5</v>
      </c>
      <c r="AS69" s="106">
        <v>3792</v>
      </c>
      <c r="AT69" s="106">
        <v>4</v>
      </c>
      <c r="AU69" s="106">
        <v>3033.6</v>
      </c>
      <c r="AV69" s="106">
        <v>3</v>
      </c>
      <c r="AW69" s="106">
        <v>2275.1999999999998</v>
      </c>
      <c r="AX69" s="106">
        <v>3</v>
      </c>
      <c r="AY69" s="106">
        <v>2275.1999999999998</v>
      </c>
      <c r="AZ69" s="106">
        <v>8</v>
      </c>
      <c r="BA69" s="106">
        <v>6067.2</v>
      </c>
      <c r="BB69" s="106">
        <v>7</v>
      </c>
      <c r="BC69" s="106">
        <v>5308.8</v>
      </c>
      <c r="BD69" s="106">
        <v>4</v>
      </c>
      <c r="BE69" s="106">
        <v>3033.6</v>
      </c>
      <c r="BF69" s="106">
        <v>5</v>
      </c>
      <c r="BG69" s="106">
        <v>3792</v>
      </c>
      <c r="BH69" s="106">
        <v>5</v>
      </c>
      <c r="BI69" s="106">
        <v>3792</v>
      </c>
      <c r="BJ69" s="106">
        <v>6</v>
      </c>
      <c r="BK69" s="106">
        <v>4550.3999999999996</v>
      </c>
      <c r="BL69" s="106">
        <v>4</v>
      </c>
      <c r="BM69" s="106">
        <v>3033.6</v>
      </c>
      <c r="BN69" s="106">
        <v>5</v>
      </c>
      <c r="BO69" s="106">
        <v>3792</v>
      </c>
      <c r="BP69" s="106">
        <v>4</v>
      </c>
      <c r="BQ69" s="106">
        <v>3033.6</v>
      </c>
      <c r="BR69" s="106">
        <v>4</v>
      </c>
      <c r="BS69" s="106">
        <v>3033.6</v>
      </c>
      <c r="BT69" s="106">
        <v>3</v>
      </c>
      <c r="BU69" s="106">
        <v>2275.1999999999998</v>
      </c>
      <c r="BV69" s="106">
        <v>3</v>
      </c>
      <c r="BW69" s="106">
        <v>2275.1999999999998</v>
      </c>
      <c r="BX69" s="106">
        <v>50</v>
      </c>
      <c r="BY69" s="106">
        <v>37920</v>
      </c>
      <c r="BZ69" s="106">
        <v>83</v>
      </c>
      <c r="CA69" s="106">
        <v>62947.199999999997</v>
      </c>
      <c r="CB69" s="106">
        <v>73</v>
      </c>
      <c r="CC69" s="106">
        <v>55363.199999999997</v>
      </c>
      <c r="CD69" s="106">
        <v>71</v>
      </c>
      <c r="CE69" s="106">
        <v>53846.400000000001</v>
      </c>
      <c r="CF69" s="106">
        <v>32</v>
      </c>
      <c r="CG69" s="106">
        <v>24268.799999999999</v>
      </c>
      <c r="CH69" s="106">
        <v>21</v>
      </c>
      <c r="CI69" s="106">
        <v>15926.4</v>
      </c>
      <c r="CJ69" s="106">
        <v>24</v>
      </c>
      <c r="CK69" s="106">
        <v>18201.599999999999</v>
      </c>
      <c r="CL69" s="106">
        <v>24</v>
      </c>
      <c r="CM69" s="106">
        <v>18201.599999999999</v>
      </c>
      <c r="CN69" s="106">
        <v>4</v>
      </c>
      <c r="CO69" s="106">
        <v>3033.6</v>
      </c>
      <c r="CP69" s="106">
        <v>3</v>
      </c>
      <c r="CQ69" s="106">
        <v>2275.1999999999998</v>
      </c>
      <c r="CR69" s="106">
        <v>4</v>
      </c>
      <c r="CS69" s="106">
        <v>3033.6</v>
      </c>
      <c r="CT69" s="106">
        <v>3</v>
      </c>
      <c r="CU69" s="106">
        <v>2275.1999999999998</v>
      </c>
    </row>
    <row r="70" spans="2:99" x14ac:dyDescent="0.2">
      <c r="C70" s="105" t="s">
        <v>236</v>
      </c>
      <c r="D70" s="106">
        <v>7</v>
      </c>
      <c r="E70" s="106">
        <v>3746.3999999999996</v>
      </c>
      <c r="F70" s="106">
        <v>7</v>
      </c>
      <c r="G70" s="106">
        <v>3746.3999999999996</v>
      </c>
      <c r="H70" s="106">
        <v>5</v>
      </c>
      <c r="I70" s="106">
        <v>2675.9999999999995</v>
      </c>
      <c r="J70" s="106">
        <v>8</v>
      </c>
      <c r="K70" s="106">
        <v>4281.5999999999995</v>
      </c>
      <c r="L70" s="106">
        <v>37</v>
      </c>
      <c r="M70" s="106">
        <v>19802.399999999998</v>
      </c>
      <c r="N70" s="106">
        <v>23</v>
      </c>
      <c r="O70" s="106">
        <v>12309.599999999999</v>
      </c>
      <c r="P70" s="106">
        <v>25</v>
      </c>
      <c r="Q70" s="106">
        <v>13379.999999999998</v>
      </c>
      <c r="R70" s="106">
        <v>30</v>
      </c>
      <c r="S70" s="106">
        <v>16055.999999999998</v>
      </c>
      <c r="T70" s="106">
        <v>2</v>
      </c>
      <c r="U70" s="106">
        <v>1070.3999999999999</v>
      </c>
      <c r="V70" s="106">
        <v>3</v>
      </c>
      <c r="W70" s="106">
        <v>1605.6</v>
      </c>
      <c r="X70" s="106">
        <v>3</v>
      </c>
      <c r="Y70" s="106">
        <v>1605.6</v>
      </c>
      <c r="Z70" s="106">
        <v>5</v>
      </c>
      <c r="AA70" s="106">
        <v>2675.9999999999995</v>
      </c>
      <c r="AB70" s="106">
        <v>8</v>
      </c>
      <c r="AC70" s="106">
        <v>4281.5999999999995</v>
      </c>
      <c r="AD70" s="106">
        <v>7</v>
      </c>
      <c r="AE70" s="106">
        <v>3746.3999999999996</v>
      </c>
      <c r="AF70" s="106">
        <v>6</v>
      </c>
      <c r="AG70" s="106">
        <v>3211.2</v>
      </c>
      <c r="AH70" s="106">
        <v>8</v>
      </c>
      <c r="AI70" s="106">
        <v>4281.5999999999995</v>
      </c>
      <c r="AJ70" s="106">
        <v>4</v>
      </c>
      <c r="AK70" s="106">
        <v>2140.7999999999997</v>
      </c>
      <c r="AL70" s="106">
        <v>8</v>
      </c>
      <c r="AM70" s="106">
        <v>4281.5999999999995</v>
      </c>
      <c r="AN70" s="106">
        <v>6</v>
      </c>
      <c r="AO70" s="106">
        <v>3211.2</v>
      </c>
      <c r="AP70" s="106">
        <v>7</v>
      </c>
      <c r="AQ70" s="106">
        <v>3746.3999999999996</v>
      </c>
      <c r="AR70" s="106">
        <v>5</v>
      </c>
      <c r="AS70" s="106">
        <v>2675.9999999999995</v>
      </c>
      <c r="AT70" s="106">
        <v>4</v>
      </c>
      <c r="AU70" s="106">
        <v>2140.7999999999997</v>
      </c>
      <c r="AV70" s="106">
        <v>3</v>
      </c>
      <c r="AW70" s="106">
        <v>1605.6</v>
      </c>
      <c r="AX70" s="106">
        <v>3</v>
      </c>
      <c r="AY70" s="106">
        <v>1605.6</v>
      </c>
      <c r="AZ70" s="106">
        <v>9</v>
      </c>
      <c r="BA70" s="106">
        <v>4816.7999999999993</v>
      </c>
      <c r="BB70" s="106">
        <v>6</v>
      </c>
      <c r="BC70" s="106">
        <v>3211.2</v>
      </c>
      <c r="BD70" s="106">
        <v>5</v>
      </c>
      <c r="BE70" s="106">
        <v>2675.9999999999995</v>
      </c>
      <c r="BF70" s="106">
        <v>5</v>
      </c>
      <c r="BG70" s="106">
        <v>2675.9999999999995</v>
      </c>
      <c r="BH70" s="106">
        <v>4</v>
      </c>
      <c r="BI70" s="106">
        <v>2140.7999999999997</v>
      </c>
      <c r="BJ70" s="106">
        <v>5</v>
      </c>
      <c r="BK70" s="106">
        <v>2675.9999999999995</v>
      </c>
      <c r="BL70" s="106">
        <v>4</v>
      </c>
      <c r="BM70" s="106">
        <v>2140.7999999999997</v>
      </c>
      <c r="BN70" s="106">
        <v>5</v>
      </c>
      <c r="BO70" s="106">
        <v>2675.9999999999995</v>
      </c>
      <c r="BP70" s="106">
        <v>4</v>
      </c>
      <c r="BQ70" s="106">
        <v>2140.7999999999997</v>
      </c>
      <c r="BR70" s="106">
        <v>4</v>
      </c>
      <c r="BS70" s="106">
        <v>2140.7999999999997</v>
      </c>
      <c r="BT70" s="106">
        <v>3</v>
      </c>
      <c r="BU70" s="106">
        <v>1605.6</v>
      </c>
      <c r="BV70" s="106">
        <v>4</v>
      </c>
      <c r="BW70" s="106">
        <v>2140.7999999999997</v>
      </c>
      <c r="BX70" s="106">
        <v>58</v>
      </c>
      <c r="BY70" s="106">
        <v>31041.599999999995</v>
      </c>
      <c r="BZ70" s="106">
        <v>88</v>
      </c>
      <c r="CA70" s="106">
        <v>47097.599999999991</v>
      </c>
      <c r="CB70" s="106">
        <v>69</v>
      </c>
      <c r="CC70" s="106">
        <v>36928.799999999996</v>
      </c>
      <c r="CD70" s="106">
        <v>77</v>
      </c>
      <c r="CE70" s="106">
        <v>41210.399999999994</v>
      </c>
      <c r="CF70" s="106">
        <v>30</v>
      </c>
      <c r="CG70" s="106">
        <v>16055.999999999998</v>
      </c>
      <c r="CH70" s="106">
        <v>20</v>
      </c>
      <c r="CI70" s="106">
        <v>10703.999999999998</v>
      </c>
      <c r="CJ70" s="106">
        <v>24</v>
      </c>
      <c r="CK70" s="106">
        <v>12844.8</v>
      </c>
      <c r="CL70" s="106">
        <v>24</v>
      </c>
      <c r="CM70" s="106">
        <v>12844.8</v>
      </c>
      <c r="CN70" s="106">
        <v>4</v>
      </c>
      <c r="CO70" s="106">
        <v>2140.7999999999997</v>
      </c>
      <c r="CP70" s="106">
        <v>3</v>
      </c>
      <c r="CQ70" s="106">
        <v>1605.6</v>
      </c>
      <c r="CR70" s="106">
        <v>4</v>
      </c>
      <c r="CS70" s="106">
        <v>2140.7999999999997</v>
      </c>
      <c r="CT70" s="106">
        <v>3</v>
      </c>
      <c r="CU70" s="106">
        <v>1605.6</v>
      </c>
    </row>
    <row r="71" spans="2:99" x14ac:dyDescent="0.2">
      <c r="B71" s="105" t="s">
        <v>130</v>
      </c>
      <c r="C71" s="105" t="s">
        <v>237</v>
      </c>
      <c r="D71" s="106">
        <v>23.083212288170966</v>
      </c>
      <c r="E71" s="106">
        <v>13018.931730528424</v>
      </c>
      <c r="F71" s="106">
        <v>17</v>
      </c>
      <c r="G71" s="106">
        <v>9588</v>
      </c>
      <c r="H71" s="106">
        <v>13.139006460236132</v>
      </c>
      <c r="I71" s="106">
        <v>7410.3996435731788</v>
      </c>
      <c r="J71" s="106">
        <v>18.039028951698707</v>
      </c>
      <c r="K71" s="106">
        <v>10174.012328758072</v>
      </c>
      <c r="L71" s="106">
        <v>16.05720980153589</v>
      </c>
      <c r="M71" s="106">
        <v>9056.2663280662418</v>
      </c>
      <c r="N71" s="106">
        <v>20.040361781273248</v>
      </c>
      <c r="O71" s="106">
        <v>11302.764044638112</v>
      </c>
      <c r="P71" s="106">
        <v>12.047719275131961</v>
      </c>
      <c r="Q71" s="106">
        <v>6794.9136711744259</v>
      </c>
      <c r="R71" s="106">
        <v>21.055034955158533</v>
      </c>
      <c r="S71" s="106">
        <v>11875.039714709412</v>
      </c>
      <c r="T71" s="106">
        <v>7.0224049967126891</v>
      </c>
      <c r="U71" s="106">
        <v>3960.6364181459567</v>
      </c>
      <c r="V71" s="106">
        <v>7.0284536510462541</v>
      </c>
      <c r="W71" s="106">
        <v>3964.0478591900874</v>
      </c>
      <c r="X71" s="106">
        <v>5</v>
      </c>
      <c r="Y71" s="106">
        <v>2820</v>
      </c>
      <c r="Z71" s="106">
        <v>7.0481272402861634</v>
      </c>
      <c r="AA71" s="106">
        <v>3975.1437635213961</v>
      </c>
      <c r="AB71" s="106">
        <v>9</v>
      </c>
      <c r="AC71" s="106">
        <v>5076</v>
      </c>
      <c r="AD71" s="106">
        <v>12.059550556689596</v>
      </c>
      <c r="AE71" s="106">
        <v>6801.5865139729322</v>
      </c>
      <c r="AF71" s="106">
        <v>12.068055521177969</v>
      </c>
      <c r="AG71" s="106">
        <v>6806.383313944375</v>
      </c>
      <c r="AH71" s="106">
        <v>12.057544723500962</v>
      </c>
      <c r="AI71" s="106">
        <v>6800.4552240545427</v>
      </c>
      <c r="AJ71" s="106">
        <v>6.0242351420829365</v>
      </c>
      <c r="AK71" s="106">
        <v>3397.6686201347761</v>
      </c>
      <c r="AL71" s="106">
        <v>4.0455968897316499</v>
      </c>
      <c r="AM71" s="106">
        <v>2281.7166458086504</v>
      </c>
      <c r="AN71" s="106">
        <v>5.0205585293018782</v>
      </c>
      <c r="AO71" s="106">
        <v>2831.5950105262591</v>
      </c>
      <c r="AP71" s="106">
        <v>3</v>
      </c>
      <c r="AQ71" s="106">
        <v>1692</v>
      </c>
      <c r="AR71" s="106">
        <v>43</v>
      </c>
      <c r="AS71" s="106">
        <v>24252</v>
      </c>
      <c r="AT71" s="106">
        <v>43.273152650631729</v>
      </c>
      <c r="AU71" s="106">
        <v>24406.058094956294</v>
      </c>
      <c r="AV71" s="106">
        <v>36</v>
      </c>
      <c r="AW71" s="106">
        <v>20304</v>
      </c>
      <c r="AX71" s="106">
        <v>48.096160411834717</v>
      </c>
      <c r="AY71" s="106">
        <v>27126.23447227478</v>
      </c>
      <c r="AZ71" s="106">
        <v>64.05194952293013</v>
      </c>
      <c r="BA71" s="106">
        <v>36125.299530932592</v>
      </c>
      <c r="BB71" s="106">
        <v>75.042291426374476</v>
      </c>
      <c r="BC71" s="106">
        <v>42323.852364475206</v>
      </c>
      <c r="BD71" s="106">
        <v>60.041301878372344</v>
      </c>
      <c r="BE71" s="106">
        <v>33863.294259401999</v>
      </c>
      <c r="BF71" s="106">
        <v>59.04305250493924</v>
      </c>
      <c r="BG71" s="106">
        <v>33300.28161278573</v>
      </c>
      <c r="BH71" s="106">
        <v>7.0717768572882731</v>
      </c>
      <c r="BI71" s="106">
        <v>3988.4821475105859</v>
      </c>
      <c r="BJ71" s="106">
        <v>3.0705582783003651</v>
      </c>
      <c r="BK71" s="106">
        <v>1731.7948689614059</v>
      </c>
      <c r="BL71" s="106">
        <v>6</v>
      </c>
      <c r="BM71" s="106">
        <v>3384</v>
      </c>
      <c r="BN71" s="106">
        <v>6.2007132417711324</v>
      </c>
      <c r="BO71" s="106">
        <v>3497.2022683589184</v>
      </c>
      <c r="BP71" s="106">
        <v>3.0235556474480152</v>
      </c>
      <c r="BQ71" s="106">
        <v>1705.2853851606806</v>
      </c>
      <c r="BR71" s="106">
        <v>4</v>
      </c>
      <c r="BS71" s="106">
        <v>2256</v>
      </c>
      <c r="BT71" s="106">
        <v>3.0383628476015105</v>
      </c>
      <c r="BU71" s="106">
        <v>1713.636646047252</v>
      </c>
      <c r="BV71" s="106">
        <v>4</v>
      </c>
      <c r="BW71" s="106">
        <v>2256</v>
      </c>
      <c r="BX71" s="106">
        <v>3.0154376621739765</v>
      </c>
      <c r="BY71" s="106">
        <v>1700.7068414661228</v>
      </c>
      <c r="BZ71" s="106">
        <v>5.0220348354009205</v>
      </c>
      <c r="CA71" s="106">
        <v>2832.4276471661192</v>
      </c>
      <c r="CB71" s="106">
        <v>3</v>
      </c>
      <c r="CC71" s="106">
        <v>1692</v>
      </c>
      <c r="CD71" s="106">
        <v>6.0309379594564492</v>
      </c>
      <c r="CE71" s="106">
        <v>3401.4490091334374</v>
      </c>
      <c r="CF71" s="106">
        <v>21.060215774522007</v>
      </c>
      <c r="CG71" s="106">
        <v>11877.961696830413</v>
      </c>
      <c r="CH71" s="106">
        <v>25</v>
      </c>
      <c r="CI71" s="106">
        <v>14100</v>
      </c>
      <c r="CJ71" s="106">
        <v>27.03991083676269</v>
      </c>
      <c r="CK71" s="106">
        <v>15250.509711934157</v>
      </c>
      <c r="CL71" s="106">
        <v>24</v>
      </c>
      <c r="CM71" s="106">
        <v>13536</v>
      </c>
      <c r="CN71" s="106">
        <v>3.0349619739477878</v>
      </c>
      <c r="CO71" s="106">
        <v>1711.7185533065524</v>
      </c>
      <c r="CP71" s="106">
        <v>4.106273128477838</v>
      </c>
      <c r="CQ71" s="106">
        <v>2315.9380444615008</v>
      </c>
      <c r="CR71" s="106">
        <v>4.048248060634303</v>
      </c>
      <c r="CS71" s="106">
        <v>2283.2119061977469</v>
      </c>
      <c r="CT71" s="106">
        <v>4.0451189713220854</v>
      </c>
      <c r="CU71" s="106">
        <v>2281.4470998256561</v>
      </c>
    </row>
    <row r="72" spans="2:99" x14ac:dyDescent="0.2">
      <c r="C72" s="105" t="s">
        <v>238</v>
      </c>
      <c r="D72" s="106">
        <v>24.098341795111143</v>
      </c>
      <c r="E72" s="106">
        <v>1792.9166295562688</v>
      </c>
      <c r="F72" s="106">
        <v>17</v>
      </c>
      <c r="G72" s="106">
        <v>1264.8</v>
      </c>
      <c r="H72" s="106">
        <v>14.13321452439296</v>
      </c>
      <c r="I72" s="106">
        <v>1051.5111606148362</v>
      </c>
      <c r="J72" s="106">
        <v>17.0418167339629</v>
      </c>
      <c r="K72" s="106">
        <v>1267.9111650068396</v>
      </c>
      <c r="L72" s="106">
        <v>17.05167336912919</v>
      </c>
      <c r="M72" s="106">
        <v>1268.6444986632116</v>
      </c>
      <c r="N72" s="106">
        <v>22.051573387182486</v>
      </c>
      <c r="O72" s="106">
        <v>1640.6370600063767</v>
      </c>
      <c r="P72" s="106">
        <v>14.054081845149556</v>
      </c>
      <c r="Q72" s="106">
        <v>1045.6236892791269</v>
      </c>
      <c r="R72" s="106">
        <v>22.055034955158533</v>
      </c>
      <c r="S72" s="106">
        <v>1640.8946006637946</v>
      </c>
      <c r="T72" s="106">
        <v>8.0238053090072317</v>
      </c>
      <c r="U72" s="106">
        <v>596.97111499013795</v>
      </c>
      <c r="V72" s="106">
        <v>8.0302320042366446</v>
      </c>
      <c r="W72" s="106">
        <v>597.44926111520624</v>
      </c>
      <c r="X72" s="106">
        <v>5</v>
      </c>
      <c r="Y72" s="106">
        <v>371.99999999999994</v>
      </c>
      <c r="Z72" s="106">
        <v>7.0513357229719071</v>
      </c>
      <c r="AA72" s="106">
        <v>524.61937778910988</v>
      </c>
      <c r="AB72" s="106">
        <v>8</v>
      </c>
      <c r="AC72" s="106">
        <v>595.19999999999993</v>
      </c>
      <c r="AD72" s="106">
        <v>10.064131368742641</v>
      </c>
      <c r="AE72" s="106">
        <v>748.77137383445245</v>
      </c>
      <c r="AF72" s="106">
        <v>12.064473651642286</v>
      </c>
      <c r="AG72" s="106">
        <v>897.59683968218599</v>
      </c>
      <c r="AH72" s="106">
        <v>13.069875735679739</v>
      </c>
      <c r="AI72" s="106">
        <v>972.39875473457244</v>
      </c>
      <c r="AJ72" s="106">
        <v>6.0242351420829365</v>
      </c>
      <c r="AK72" s="106">
        <v>448.20309457097045</v>
      </c>
      <c r="AL72" s="106">
        <v>4.0497420615254356</v>
      </c>
      <c r="AM72" s="106">
        <v>301.30080937749239</v>
      </c>
      <c r="AN72" s="106">
        <v>6.0205585293018782</v>
      </c>
      <c r="AO72" s="106">
        <v>447.92955458005969</v>
      </c>
      <c r="AP72" s="106">
        <v>3</v>
      </c>
      <c r="AQ72" s="106">
        <v>223.2</v>
      </c>
      <c r="AR72" s="106">
        <v>51</v>
      </c>
      <c r="AS72" s="106">
        <v>3794.3999999999996</v>
      </c>
      <c r="AT72" s="106">
        <v>48.318678092403687</v>
      </c>
      <c r="AU72" s="106">
        <v>3594.9096500748337</v>
      </c>
      <c r="AV72" s="106">
        <v>39</v>
      </c>
      <c r="AW72" s="106">
        <v>2901.5999999999995</v>
      </c>
      <c r="AX72" s="106">
        <v>50.086544370651247</v>
      </c>
      <c r="AY72" s="106">
        <v>3726.4389011764524</v>
      </c>
      <c r="AZ72" s="106">
        <v>76.05937088334872</v>
      </c>
      <c r="BA72" s="106">
        <v>5658.8171937211437</v>
      </c>
      <c r="BB72" s="106">
        <v>84.038446751249523</v>
      </c>
      <c r="BC72" s="106">
        <v>6252.4604382929638</v>
      </c>
      <c r="BD72" s="106">
        <v>72.044743701570042</v>
      </c>
      <c r="BE72" s="106">
        <v>5360.1289313968109</v>
      </c>
      <c r="BF72" s="106">
        <v>64.046640213684171</v>
      </c>
      <c r="BG72" s="106">
        <v>4765.0700318981017</v>
      </c>
      <c r="BH72" s="106">
        <v>7.0759990253640535</v>
      </c>
      <c r="BI72" s="106">
        <v>526.45432748708549</v>
      </c>
      <c r="BJ72" s="106">
        <v>4.0788592522180549</v>
      </c>
      <c r="BK72" s="106">
        <v>303.46712836502326</v>
      </c>
      <c r="BL72" s="106">
        <v>6</v>
      </c>
      <c r="BM72" s="106">
        <v>446.4</v>
      </c>
      <c r="BN72" s="106">
        <v>6.1871055643629198</v>
      </c>
      <c r="BO72" s="106">
        <v>460.32065398860118</v>
      </c>
      <c r="BP72" s="106">
        <v>4.0235556474480152</v>
      </c>
      <c r="BQ72" s="106">
        <v>299.35254017013227</v>
      </c>
      <c r="BR72" s="106">
        <v>4</v>
      </c>
      <c r="BS72" s="106">
        <v>297.59999999999997</v>
      </c>
      <c r="BT72" s="106">
        <v>3.0383628476015105</v>
      </c>
      <c r="BU72" s="106">
        <v>226.05419586155236</v>
      </c>
      <c r="BV72" s="106">
        <v>5</v>
      </c>
      <c r="BW72" s="106">
        <v>371.99999999999994</v>
      </c>
      <c r="BX72" s="106">
        <v>4.0169814283913743</v>
      </c>
      <c r="BY72" s="106">
        <v>298.8634182723182</v>
      </c>
      <c r="BZ72" s="106">
        <v>6.0257073079677408</v>
      </c>
      <c r="CA72" s="106">
        <v>448.31262371279985</v>
      </c>
      <c r="CB72" s="106">
        <v>3</v>
      </c>
      <c r="CC72" s="106">
        <v>223.2</v>
      </c>
      <c r="CD72" s="106">
        <v>6.0325662731120513</v>
      </c>
      <c r="CE72" s="106">
        <v>448.82293071953654</v>
      </c>
      <c r="CF72" s="106">
        <v>24.054194197069808</v>
      </c>
      <c r="CG72" s="106">
        <v>1789.6320482619935</v>
      </c>
      <c r="CH72" s="106">
        <v>26</v>
      </c>
      <c r="CI72" s="106">
        <v>1934.3999999999999</v>
      </c>
      <c r="CJ72" s="106">
        <v>30.03991083676269</v>
      </c>
      <c r="CK72" s="106">
        <v>2234.969366255144</v>
      </c>
      <c r="CL72" s="106">
        <v>27</v>
      </c>
      <c r="CM72" s="106">
        <v>2008.7999999999997</v>
      </c>
      <c r="CN72" s="106">
        <v>4.0349619739477873</v>
      </c>
      <c r="CO72" s="106">
        <v>300.20117086171535</v>
      </c>
      <c r="CP72" s="106">
        <v>5.1118664510293028</v>
      </c>
      <c r="CQ72" s="106">
        <v>380.32286395658008</v>
      </c>
      <c r="CR72" s="106">
        <v>4.048248060634303</v>
      </c>
      <c r="CS72" s="106">
        <v>301.18965571119213</v>
      </c>
      <c r="CT72" s="106">
        <v>4.0451189713220854</v>
      </c>
      <c r="CU72" s="106">
        <v>300.9568514663631</v>
      </c>
    </row>
    <row r="73" spans="2:99" x14ac:dyDescent="0.2">
      <c r="C73" s="105" t="s">
        <v>239</v>
      </c>
      <c r="D73" s="106">
        <v>19.090777041641054</v>
      </c>
      <c r="E73" s="106">
        <v>10675.562521685677</v>
      </c>
      <c r="F73" s="106">
        <v>17</v>
      </c>
      <c r="G73" s="106">
        <v>9506.4</v>
      </c>
      <c r="H73" s="106">
        <v>13.139006460236132</v>
      </c>
      <c r="I73" s="106">
        <v>7347.3324125640438</v>
      </c>
      <c r="J73" s="106">
        <v>16.039028951698707</v>
      </c>
      <c r="K73" s="106">
        <v>8969.0249897899157</v>
      </c>
      <c r="L73" s="106">
        <v>18.053518846598092</v>
      </c>
      <c r="M73" s="106">
        <v>10095.527739017651</v>
      </c>
      <c r="N73" s="106">
        <v>19.04708874481879</v>
      </c>
      <c r="O73" s="106">
        <v>10651.132026102667</v>
      </c>
      <c r="P73" s="106">
        <v>12.049309917636359</v>
      </c>
      <c r="Q73" s="106">
        <v>6737.9741059422513</v>
      </c>
      <c r="R73" s="106">
        <v>21.055034955158533</v>
      </c>
      <c r="S73" s="106">
        <v>11773.97554692465</v>
      </c>
      <c r="T73" s="106">
        <v>8.0224049967126891</v>
      </c>
      <c r="U73" s="106">
        <v>4486.1288741617354</v>
      </c>
      <c r="V73" s="106">
        <v>8.0302320042366446</v>
      </c>
      <c r="W73" s="106">
        <v>4490.5057367691315</v>
      </c>
      <c r="X73" s="106">
        <v>5</v>
      </c>
      <c r="Y73" s="106">
        <v>2795.9999999999995</v>
      </c>
      <c r="Z73" s="106">
        <v>8.0449187576004189</v>
      </c>
      <c r="AA73" s="106">
        <v>4498.7185692501535</v>
      </c>
      <c r="AB73" s="106">
        <v>8</v>
      </c>
      <c r="AC73" s="106">
        <v>4473.5999999999995</v>
      </c>
      <c r="AD73" s="106">
        <v>11.064131368742641</v>
      </c>
      <c r="AE73" s="106">
        <v>6187.0622614008844</v>
      </c>
      <c r="AF73" s="106">
        <v>12.060891782106603</v>
      </c>
      <c r="AG73" s="106">
        <v>6744.4506845540118</v>
      </c>
      <c r="AH73" s="106">
        <v>10.061655060893887</v>
      </c>
      <c r="AI73" s="106">
        <v>5626.4775100518609</v>
      </c>
      <c r="AJ73" s="106">
        <v>5.0260993837816237</v>
      </c>
      <c r="AK73" s="106">
        <v>2810.5947754106837</v>
      </c>
      <c r="AL73" s="106">
        <v>4.0497420615254356</v>
      </c>
      <c r="AM73" s="106">
        <v>2264.6157608050235</v>
      </c>
      <c r="AN73" s="106">
        <v>5.0226143822320664</v>
      </c>
      <c r="AO73" s="106">
        <v>2808.6459625441712</v>
      </c>
      <c r="AP73" s="106">
        <v>3</v>
      </c>
      <c r="AQ73" s="106">
        <v>1677.6</v>
      </c>
      <c r="AR73" s="106">
        <v>47</v>
      </c>
      <c r="AS73" s="106">
        <v>26282.399999999998</v>
      </c>
      <c r="AT73" s="106">
        <v>45.260736621057561</v>
      </c>
      <c r="AU73" s="106">
        <v>25309.803918495385</v>
      </c>
      <c r="AV73" s="106">
        <v>36</v>
      </c>
      <c r="AW73" s="106">
        <v>20131.199999999997</v>
      </c>
      <c r="AX73" s="106">
        <v>41.094023513793942</v>
      </c>
      <c r="AY73" s="106">
        <v>22979.777948913568</v>
      </c>
      <c r="AZ73" s="106">
        <v>62.05937088334872</v>
      </c>
      <c r="BA73" s="106">
        <v>34703.600197968597</v>
      </c>
      <c r="BB73" s="106">
        <v>78.038446751249523</v>
      </c>
      <c r="BC73" s="106">
        <v>43639.099423298729</v>
      </c>
      <c r="BD73" s="106">
        <v>58.044743701570042</v>
      </c>
      <c r="BE73" s="106">
        <v>32458.620677917963</v>
      </c>
      <c r="BF73" s="106">
        <v>60.039464796194302</v>
      </c>
      <c r="BG73" s="106">
        <v>33574.068714031848</v>
      </c>
      <c r="BH73" s="106">
        <v>6.0759990253640535</v>
      </c>
      <c r="BI73" s="106">
        <v>3397.6986549835783</v>
      </c>
      <c r="BJ73" s="106">
        <v>3.0726335217797875</v>
      </c>
      <c r="BK73" s="106">
        <v>1718.2166653792569</v>
      </c>
      <c r="BL73" s="106">
        <v>6</v>
      </c>
      <c r="BM73" s="106">
        <v>3355.2</v>
      </c>
      <c r="BN73" s="106">
        <v>5.1905074837149732</v>
      </c>
      <c r="BO73" s="106">
        <v>2902.5317848934128</v>
      </c>
      <c r="BP73" s="106">
        <v>3.0265001033790169</v>
      </c>
      <c r="BQ73" s="106">
        <v>1692.4188578095461</v>
      </c>
      <c r="BR73" s="106">
        <v>4</v>
      </c>
      <c r="BS73" s="106">
        <v>2236.7999999999997</v>
      </c>
      <c r="BT73" s="106">
        <v>3.0383628476015105</v>
      </c>
      <c r="BU73" s="106">
        <v>1699.0525043787645</v>
      </c>
      <c r="BV73" s="106">
        <v>4</v>
      </c>
      <c r="BW73" s="106">
        <v>2236.7999999999997</v>
      </c>
      <c r="BX73" s="106">
        <v>3.0169814283913743</v>
      </c>
      <c r="BY73" s="106">
        <v>1687.0960147564563</v>
      </c>
      <c r="BZ73" s="106">
        <v>5.0220348354009205</v>
      </c>
      <c r="CA73" s="106">
        <v>2808.3218799561946</v>
      </c>
      <c r="CB73" s="106">
        <v>3</v>
      </c>
      <c r="CC73" s="106">
        <v>1677.6</v>
      </c>
      <c r="CD73" s="106">
        <v>5.0325662731120513</v>
      </c>
      <c r="CE73" s="106">
        <v>2814.2110599242587</v>
      </c>
      <c r="CF73" s="106">
        <v>22.054194197069808</v>
      </c>
      <c r="CG73" s="106">
        <v>12332.705395001436</v>
      </c>
      <c r="CH73" s="106">
        <v>24</v>
      </c>
      <c r="CI73" s="106">
        <v>13420.8</v>
      </c>
      <c r="CJ73" s="106">
        <v>24.03991083676269</v>
      </c>
      <c r="CK73" s="106">
        <v>13443.118139917695</v>
      </c>
      <c r="CL73" s="106">
        <v>24</v>
      </c>
      <c r="CM73" s="106">
        <v>13420.8</v>
      </c>
      <c r="CN73" s="106">
        <v>4.0381403352157683</v>
      </c>
      <c r="CO73" s="106">
        <v>2258.1280754526574</v>
      </c>
      <c r="CP73" s="106">
        <v>5.0950864833749074</v>
      </c>
      <c r="CQ73" s="106">
        <v>2849.1723615032479</v>
      </c>
      <c r="CR73" s="106">
        <v>4.0425718182067376</v>
      </c>
      <c r="CS73" s="106">
        <v>2260.6061607412075</v>
      </c>
      <c r="CT73" s="106">
        <v>4.0422990356144552</v>
      </c>
      <c r="CU73" s="106">
        <v>2260.4536207156029</v>
      </c>
    </row>
    <row r="74" spans="2:99" x14ac:dyDescent="0.2">
      <c r="C74" s="105" t="s">
        <v>240</v>
      </c>
      <c r="D74" s="106">
        <v>22.090777041641054</v>
      </c>
      <c r="E74" s="106">
        <v>8907.0013031896724</v>
      </c>
      <c r="F74" s="106">
        <v>16</v>
      </c>
      <c r="G74" s="106">
        <v>6451.2</v>
      </c>
      <c r="H74" s="106">
        <v>12.13321452439296</v>
      </c>
      <c r="I74" s="106">
        <v>4892.1120962352416</v>
      </c>
      <c r="J74" s="106">
        <v>16.036241169434515</v>
      </c>
      <c r="K74" s="106">
        <v>6465.8124395159966</v>
      </c>
      <c r="L74" s="106">
        <v>18.059055279004792</v>
      </c>
      <c r="M74" s="106">
        <v>7281.4110884947313</v>
      </c>
      <c r="N74" s="106">
        <v>19.044846423636944</v>
      </c>
      <c r="O74" s="106">
        <v>7678.8820780104152</v>
      </c>
      <c r="P74" s="106">
        <v>14.057263130158352</v>
      </c>
      <c r="Q74" s="106">
        <v>5667.8884940798471</v>
      </c>
      <c r="R74" s="106">
        <v>19.051977457649727</v>
      </c>
      <c r="S74" s="106">
        <v>7681.7573109243694</v>
      </c>
      <c r="T74" s="106">
        <v>7.0252056213017751</v>
      </c>
      <c r="U74" s="106">
        <v>2832.5629065088756</v>
      </c>
      <c r="V74" s="106">
        <v>8.0266752978558635</v>
      </c>
      <c r="W74" s="106">
        <v>3236.3554800954839</v>
      </c>
      <c r="X74" s="106">
        <v>5</v>
      </c>
      <c r="Y74" s="106">
        <v>2016</v>
      </c>
      <c r="Z74" s="106">
        <v>7.0513357229719071</v>
      </c>
      <c r="AA74" s="106">
        <v>2843.098563502273</v>
      </c>
      <c r="AB74" s="106">
        <v>8</v>
      </c>
      <c r="AC74" s="106">
        <v>3225.6</v>
      </c>
      <c r="AD74" s="106">
        <v>10.068712180795686</v>
      </c>
      <c r="AE74" s="106">
        <v>4059.7047512968202</v>
      </c>
      <c r="AF74" s="106">
        <v>11.068055521177969</v>
      </c>
      <c r="AG74" s="106">
        <v>4462.6399861389573</v>
      </c>
      <c r="AH74" s="106">
        <v>11.061655060893887</v>
      </c>
      <c r="AI74" s="106">
        <v>4460.0593205524156</v>
      </c>
      <c r="AJ74" s="106">
        <v>5.0260993837816237</v>
      </c>
      <c r="AK74" s="106">
        <v>2026.5232715407506</v>
      </c>
      <c r="AL74" s="106">
        <v>4.0455968897316499</v>
      </c>
      <c r="AM74" s="106">
        <v>1631.1846659398011</v>
      </c>
      <c r="AN74" s="106">
        <v>6.0226143822320664</v>
      </c>
      <c r="AO74" s="106">
        <v>2428.3181189159691</v>
      </c>
      <c r="AP74" s="106">
        <v>3</v>
      </c>
      <c r="AQ74" s="106">
        <v>1209.5999999999999</v>
      </c>
      <c r="AR74" s="106">
        <v>45</v>
      </c>
      <c r="AS74" s="106">
        <v>18144</v>
      </c>
      <c r="AT74" s="106">
        <v>46.260736621057561</v>
      </c>
      <c r="AU74" s="106">
        <v>18652.329005610409</v>
      </c>
      <c r="AV74" s="106">
        <v>36</v>
      </c>
      <c r="AW74" s="106">
        <v>14515.199999999999</v>
      </c>
      <c r="AX74" s="106">
        <v>47.089749717712401</v>
      </c>
      <c r="AY74" s="106">
        <v>18986.58708618164</v>
      </c>
      <c r="AZ74" s="106">
        <v>64.05937088334872</v>
      </c>
      <c r="BA74" s="106">
        <v>25828.738340166205</v>
      </c>
      <c r="BB74" s="106">
        <v>70.042291426374476</v>
      </c>
      <c r="BC74" s="106">
        <v>28241.051903114188</v>
      </c>
      <c r="BD74" s="106">
        <v>61.041301878372344</v>
      </c>
      <c r="BE74" s="106">
        <v>24611.852917359727</v>
      </c>
      <c r="BF74" s="106">
        <v>68.046640213684171</v>
      </c>
      <c r="BG74" s="106">
        <v>27436.405334157458</v>
      </c>
      <c r="BH74" s="106">
        <v>7.0865544455535057</v>
      </c>
      <c r="BI74" s="106">
        <v>2857.2987524471732</v>
      </c>
      <c r="BJ74" s="106">
        <v>4.0809344956974778</v>
      </c>
      <c r="BK74" s="106">
        <v>1645.4327886652229</v>
      </c>
      <c r="BL74" s="106">
        <v>6</v>
      </c>
      <c r="BM74" s="106">
        <v>2419.1999999999998</v>
      </c>
      <c r="BN74" s="106">
        <v>5.1700959676026548</v>
      </c>
      <c r="BO74" s="106">
        <v>2084.5826941373903</v>
      </c>
      <c r="BP74" s="106">
        <v>3.0206111915170131</v>
      </c>
      <c r="BQ74" s="106">
        <v>1217.9104324196596</v>
      </c>
      <c r="BR74" s="106">
        <v>4</v>
      </c>
      <c r="BS74" s="106">
        <v>1612.8</v>
      </c>
      <c r="BT74" s="106">
        <v>3.0431582035516995</v>
      </c>
      <c r="BU74" s="106">
        <v>1227.0013876720452</v>
      </c>
      <c r="BV74" s="106">
        <v>4</v>
      </c>
      <c r="BW74" s="106">
        <v>1612.8</v>
      </c>
      <c r="BX74" s="106">
        <v>3.0154376621739765</v>
      </c>
      <c r="BY74" s="106">
        <v>1215.8244653885472</v>
      </c>
      <c r="BZ74" s="106">
        <v>6.0220348354009205</v>
      </c>
      <c r="CA74" s="106">
        <v>2428.0844456336513</v>
      </c>
      <c r="CB74" s="106">
        <v>4</v>
      </c>
      <c r="CC74" s="106">
        <v>1612.8</v>
      </c>
      <c r="CD74" s="106">
        <v>5.0341945867676543</v>
      </c>
      <c r="CE74" s="106">
        <v>2029.7872573847183</v>
      </c>
      <c r="CF74" s="106">
        <v>23.060215774522007</v>
      </c>
      <c r="CG74" s="106">
        <v>9297.8790002872738</v>
      </c>
      <c r="CH74" s="106">
        <v>28</v>
      </c>
      <c r="CI74" s="106">
        <v>11289.6</v>
      </c>
      <c r="CJ74" s="106">
        <v>27.03991083676269</v>
      </c>
      <c r="CK74" s="106">
        <v>10902.492049382716</v>
      </c>
      <c r="CL74" s="106">
        <v>26</v>
      </c>
      <c r="CM74" s="106">
        <v>10483.199999999999</v>
      </c>
      <c r="CN74" s="106">
        <v>3.0317836126798072</v>
      </c>
      <c r="CO74" s="106">
        <v>1222.4151526324983</v>
      </c>
      <c r="CP74" s="106">
        <v>5.106273128477838</v>
      </c>
      <c r="CQ74" s="106">
        <v>2058.8493254022642</v>
      </c>
      <c r="CR74" s="106">
        <v>4.048248060634303</v>
      </c>
      <c r="CS74" s="106">
        <v>1632.2536180477509</v>
      </c>
      <c r="CT74" s="106">
        <v>3.0451189713220859</v>
      </c>
      <c r="CU74" s="106">
        <v>1227.7919692370649</v>
      </c>
    </row>
    <row r="75" spans="2:99" x14ac:dyDescent="0.2">
      <c r="C75" s="105" t="s">
        <v>241</v>
      </c>
      <c r="D75" s="106">
        <v>19.086994664906008</v>
      </c>
      <c r="E75" s="106">
        <v>12276.754968467543</v>
      </c>
      <c r="F75" s="106">
        <v>17</v>
      </c>
      <c r="G75" s="106">
        <v>10934.4</v>
      </c>
      <c r="H75" s="106">
        <v>12.127422588549788</v>
      </c>
      <c r="I75" s="106">
        <v>7800.3582089552228</v>
      </c>
      <c r="J75" s="106">
        <v>17.036241169434515</v>
      </c>
      <c r="K75" s="106">
        <v>10957.710320180278</v>
      </c>
      <c r="L75" s="106">
        <v>16.05167336912919</v>
      </c>
      <c r="M75" s="106">
        <v>10324.436311023894</v>
      </c>
      <c r="N75" s="106">
        <v>19.04708874481879</v>
      </c>
      <c r="O75" s="106">
        <v>12251.087480667444</v>
      </c>
      <c r="P75" s="106">
        <v>13.050900560140757</v>
      </c>
      <c r="Q75" s="106">
        <v>8394.3392402825339</v>
      </c>
      <c r="R75" s="106">
        <v>20.051977457649727</v>
      </c>
      <c r="S75" s="106">
        <v>12897.431900760303</v>
      </c>
      <c r="T75" s="106">
        <v>7.0210046844181457</v>
      </c>
      <c r="U75" s="106">
        <v>4515.9102130177507</v>
      </c>
      <c r="V75" s="106">
        <v>7.0266752978558635</v>
      </c>
      <c r="W75" s="106">
        <v>4519.5575515808905</v>
      </c>
      <c r="X75" s="106">
        <v>5</v>
      </c>
      <c r="Y75" s="106">
        <v>3215.9999999999995</v>
      </c>
      <c r="Z75" s="106">
        <v>8.051335722971908</v>
      </c>
      <c r="AA75" s="106">
        <v>5178.6191370155311</v>
      </c>
      <c r="AB75" s="106">
        <v>8</v>
      </c>
      <c r="AC75" s="106">
        <v>5145.5999999999995</v>
      </c>
      <c r="AD75" s="106">
        <v>10.05496974463655</v>
      </c>
      <c r="AE75" s="106">
        <v>6467.356539750228</v>
      </c>
      <c r="AF75" s="106">
        <v>10.060891782106603</v>
      </c>
      <c r="AG75" s="106">
        <v>6471.1655942509669</v>
      </c>
      <c r="AH75" s="106">
        <v>12.061655060893887</v>
      </c>
      <c r="AI75" s="106">
        <v>7758.0565351669475</v>
      </c>
      <c r="AJ75" s="106">
        <v>5.0260993837816237</v>
      </c>
      <c r="AK75" s="106">
        <v>3232.7871236483402</v>
      </c>
      <c r="AL75" s="106">
        <v>4.0497420615254356</v>
      </c>
      <c r="AM75" s="106">
        <v>2604.7940939731598</v>
      </c>
      <c r="AN75" s="106">
        <v>5.0226143822320664</v>
      </c>
      <c r="AO75" s="106">
        <v>3230.5455706516645</v>
      </c>
      <c r="AP75" s="106">
        <v>3</v>
      </c>
      <c r="AQ75" s="106">
        <v>1929.6</v>
      </c>
      <c r="AR75" s="106">
        <v>48</v>
      </c>
      <c r="AS75" s="106">
        <v>30873.599999999999</v>
      </c>
      <c r="AT75" s="106">
        <v>42.260736621057561</v>
      </c>
      <c r="AU75" s="106">
        <v>27182.105794664221</v>
      </c>
      <c r="AV75" s="106">
        <v>30</v>
      </c>
      <c r="AW75" s="106">
        <v>19295.999999999996</v>
      </c>
      <c r="AX75" s="106">
        <v>43.091886615753175</v>
      </c>
      <c r="AY75" s="106">
        <v>27716.70147125244</v>
      </c>
      <c r="AZ75" s="106">
        <v>65.05194952293013</v>
      </c>
      <c r="BA75" s="106">
        <v>41841.413933148659</v>
      </c>
      <c r="BB75" s="106">
        <v>69.038446751249523</v>
      </c>
      <c r="BC75" s="106">
        <v>44405.528950403692</v>
      </c>
      <c r="BD75" s="106">
        <v>56.044743701570042</v>
      </c>
      <c r="BE75" s="106">
        <v>36047.979148849845</v>
      </c>
      <c r="BF75" s="106">
        <v>64.04305250493924</v>
      </c>
      <c r="BG75" s="106">
        <v>41192.491371176911</v>
      </c>
      <c r="BH75" s="106">
        <v>6.0802211934398347</v>
      </c>
      <c r="BI75" s="106">
        <v>3910.7982716205011</v>
      </c>
      <c r="BJ75" s="106">
        <v>3.0726335217797875</v>
      </c>
      <c r="BK75" s="106">
        <v>1976.3178812087592</v>
      </c>
      <c r="BL75" s="106">
        <v>7</v>
      </c>
      <c r="BM75" s="106">
        <v>4502.3999999999996</v>
      </c>
      <c r="BN75" s="106">
        <v>6.197311322419079</v>
      </c>
      <c r="BO75" s="106">
        <v>3986.1106425799512</v>
      </c>
      <c r="BP75" s="106">
        <v>3.0235556474480152</v>
      </c>
      <c r="BQ75" s="106">
        <v>1944.7509924385631</v>
      </c>
      <c r="BR75" s="106">
        <v>4</v>
      </c>
      <c r="BS75" s="106">
        <v>2572.7999999999997</v>
      </c>
      <c r="BT75" s="106">
        <v>3.0431582035516995</v>
      </c>
      <c r="BU75" s="106">
        <v>1957.359356524453</v>
      </c>
      <c r="BV75" s="106">
        <v>4</v>
      </c>
      <c r="BW75" s="106">
        <v>2572.7999999999997</v>
      </c>
      <c r="BX75" s="106">
        <v>4.0169814283913743</v>
      </c>
      <c r="BY75" s="106">
        <v>2583.7224547413316</v>
      </c>
      <c r="BZ75" s="106">
        <v>6.0238710716843311</v>
      </c>
      <c r="CA75" s="106">
        <v>3874.5538733073613</v>
      </c>
      <c r="CB75" s="106">
        <v>3</v>
      </c>
      <c r="CC75" s="106">
        <v>1929.6</v>
      </c>
      <c r="CD75" s="106">
        <v>6.0309379594564492</v>
      </c>
      <c r="CE75" s="106">
        <v>3879.0992955223878</v>
      </c>
      <c r="CF75" s="106">
        <v>21.054194197069808</v>
      </c>
      <c r="CG75" s="106">
        <v>13542.057707555299</v>
      </c>
      <c r="CH75" s="106">
        <v>24</v>
      </c>
      <c r="CI75" s="106">
        <v>15436.8</v>
      </c>
      <c r="CJ75" s="106">
        <v>24.03991083676269</v>
      </c>
      <c r="CK75" s="106">
        <v>15462.470650205762</v>
      </c>
      <c r="CL75" s="106">
        <v>25</v>
      </c>
      <c r="CM75" s="106">
        <v>16079.999999999998</v>
      </c>
      <c r="CN75" s="106">
        <v>3.0381403352157683</v>
      </c>
      <c r="CO75" s="106">
        <v>1954.1318636107819</v>
      </c>
      <c r="CP75" s="106">
        <v>4.106273128477838</v>
      </c>
      <c r="CQ75" s="106">
        <v>2641.1548762369453</v>
      </c>
      <c r="CR75" s="106">
        <v>4.0454099394205203</v>
      </c>
      <c r="CS75" s="106">
        <v>2602.0076730352785</v>
      </c>
      <c r="CT75" s="106">
        <v>3.0451189713220859</v>
      </c>
      <c r="CU75" s="106">
        <v>1958.6205223543654</v>
      </c>
    </row>
    <row r="76" spans="2:99" x14ac:dyDescent="0.2">
      <c r="C76" s="105" t="s">
        <v>242</v>
      </c>
      <c r="D76" s="106">
        <v>21.094559418376097</v>
      </c>
      <c r="E76" s="106">
        <v>16428.442875031302</v>
      </c>
      <c r="F76" s="106">
        <v>15</v>
      </c>
      <c r="G76" s="106">
        <v>11682</v>
      </c>
      <c r="H76" s="106">
        <v>13.127422588549788</v>
      </c>
      <c r="I76" s="106">
        <v>10223.636711962574</v>
      </c>
      <c r="J76" s="106">
        <v>15.036241169434513</v>
      </c>
      <c r="K76" s="106">
        <v>11710.224622755599</v>
      </c>
      <c r="L76" s="106">
        <v>17.055364324066989</v>
      </c>
      <c r="M76" s="106">
        <v>13282.71773558337</v>
      </c>
      <c r="N76" s="106">
        <v>20.044846423636944</v>
      </c>
      <c r="O76" s="106">
        <v>15610.926394728451</v>
      </c>
      <c r="P76" s="106">
        <v>13.050900560140757</v>
      </c>
      <c r="Q76" s="106">
        <v>10164.041356237622</v>
      </c>
      <c r="R76" s="106">
        <v>22.058092452667342</v>
      </c>
      <c r="S76" s="106">
        <v>17178.842402137325</v>
      </c>
      <c r="T76" s="106">
        <v>7.0238053090072317</v>
      </c>
      <c r="U76" s="106">
        <v>5470.1395746548314</v>
      </c>
      <c r="V76" s="106">
        <v>8.0266752978558635</v>
      </c>
      <c r="W76" s="106">
        <v>6251.1747219701465</v>
      </c>
      <c r="X76" s="106">
        <v>5</v>
      </c>
      <c r="Y76" s="106">
        <v>3894</v>
      </c>
      <c r="Z76" s="106">
        <v>8.0545442056576508</v>
      </c>
      <c r="AA76" s="106">
        <v>6272.879027366178</v>
      </c>
      <c r="AB76" s="106">
        <v>8</v>
      </c>
      <c r="AC76" s="106">
        <v>6230.4</v>
      </c>
      <c r="AD76" s="106">
        <v>11.05496974463655</v>
      </c>
      <c r="AE76" s="106">
        <v>8609.6104371229449</v>
      </c>
      <c r="AF76" s="106">
        <v>10.060891782106603</v>
      </c>
      <c r="AG76" s="106">
        <v>7835.4225199046223</v>
      </c>
      <c r="AH76" s="106">
        <v>10.061655060893887</v>
      </c>
      <c r="AI76" s="106">
        <v>7836.0169614241586</v>
      </c>
      <c r="AJ76" s="106">
        <v>6.0242351420829365</v>
      </c>
      <c r="AK76" s="106">
        <v>4691.6743286541905</v>
      </c>
      <c r="AL76" s="106">
        <v>4.0455968897316499</v>
      </c>
      <c r="AM76" s="106">
        <v>3150.7108577230088</v>
      </c>
      <c r="AN76" s="106">
        <v>6.0226143822320664</v>
      </c>
      <c r="AO76" s="106">
        <v>4690.4120808823327</v>
      </c>
      <c r="AP76" s="106">
        <v>3</v>
      </c>
      <c r="AQ76" s="106">
        <v>2336.3999999999996</v>
      </c>
      <c r="AR76" s="106">
        <v>44</v>
      </c>
      <c r="AS76" s="106">
        <v>34267.199999999997</v>
      </c>
      <c r="AT76" s="106">
        <v>41.264875297582286</v>
      </c>
      <c r="AU76" s="106">
        <v>32137.084881757084</v>
      </c>
      <c r="AV76" s="106">
        <v>32</v>
      </c>
      <c r="AW76" s="106">
        <v>24921.599999999999</v>
      </c>
      <c r="AX76" s="106">
        <v>45.089749717712401</v>
      </c>
      <c r="AY76" s="106">
        <v>35115.897080154413</v>
      </c>
      <c r="AZ76" s="106">
        <v>60.05194952293013</v>
      </c>
      <c r="BA76" s="106">
        <v>46768.45828845798</v>
      </c>
      <c r="BB76" s="106">
        <v>64.038446751249523</v>
      </c>
      <c r="BC76" s="106">
        <v>49873.142329873124</v>
      </c>
      <c r="BD76" s="106">
        <v>55.041301878372344</v>
      </c>
      <c r="BE76" s="106">
        <v>42866.165902876382</v>
      </c>
      <c r="BF76" s="106">
        <v>60.039464796194302</v>
      </c>
      <c r="BG76" s="106">
        <v>46758.73518327612</v>
      </c>
      <c r="BH76" s="106">
        <v>7.0781101094019441</v>
      </c>
      <c r="BI76" s="106">
        <v>5512.4321532022341</v>
      </c>
      <c r="BJ76" s="106">
        <v>4.07470876525921</v>
      </c>
      <c r="BK76" s="106">
        <v>3173.3831863838727</v>
      </c>
      <c r="BL76" s="106">
        <v>7</v>
      </c>
      <c r="BM76" s="106">
        <v>5451.5999999999995</v>
      </c>
      <c r="BN76" s="106">
        <v>6.1632921288985481</v>
      </c>
      <c r="BO76" s="106">
        <v>4799.9719099861886</v>
      </c>
      <c r="BP76" s="106">
        <v>3.0235556474480152</v>
      </c>
      <c r="BQ76" s="106">
        <v>2354.7451382325139</v>
      </c>
      <c r="BR76" s="106">
        <v>4</v>
      </c>
      <c r="BS76" s="106">
        <v>3115.2</v>
      </c>
      <c r="BT76" s="106">
        <v>3.0383628476015105</v>
      </c>
      <c r="BU76" s="106">
        <v>2366.2769857120561</v>
      </c>
      <c r="BV76" s="106">
        <v>4</v>
      </c>
      <c r="BW76" s="106">
        <v>3115.2</v>
      </c>
      <c r="BX76" s="106">
        <v>4.0185251946087721</v>
      </c>
      <c r="BY76" s="106">
        <v>3129.6274215613116</v>
      </c>
      <c r="BZ76" s="106">
        <v>6.0220348354009205</v>
      </c>
      <c r="CA76" s="106">
        <v>4689.9607298102364</v>
      </c>
      <c r="CB76" s="106">
        <v>3</v>
      </c>
      <c r="CC76" s="106">
        <v>2336.3999999999996</v>
      </c>
      <c r="CD76" s="106">
        <v>6.0341945867676543</v>
      </c>
      <c r="CE76" s="106">
        <v>4699.4307441746487</v>
      </c>
      <c r="CF76" s="106">
        <v>21.060215774522007</v>
      </c>
      <c r="CG76" s="106">
        <v>16401.696045197739</v>
      </c>
      <c r="CH76" s="106">
        <v>27</v>
      </c>
      <c r="CI76" s="106">
        <v>21027.599999999999</v>
      </c>
      <c r="CJ76" s="106">
        <v>26.035919753086421</v>
      </c>
      <c r="CK76" s="106">
        <v>20276.774303703703</v>
      </c>
      <c r="CL76" s="106">
        <v>26</v>
      </c>
      <c r="CM76" s="106">
        <v>20248.8</v>
      </c>
      <c r="CN76" s="106">
        <v>3.0349619739477878</v>
      </c>
      <c r="CO76" s="106">
        <v>2363.6283853105369</v>
      </c>
      <c r="CP76" s="106">
        <v>4.1006798059263723</v>
      </c>
      <c r="CQ76" s="106">
        <v>3193.6094328554586</v>
      </c>
      <c r="CR76" s="106">
        <v>4.0425718182067376</v>
      </c>
      <c r="CS76" s="106">
        <v>3148.354932019407</v>
      </c>
      <c r="CT76" s="106">
        <v>3.0422990356144552</v>
      </c>
      <c r="CU76" s="106">
        <v>2369.3424889365374</v>
      </c>
    </row>
    <row r="77" spans="2:99" x14ac:dyDescent="0.2">
      <c r="C77" s="105" t="s">
        <v>243</v>
      </c>
      <c r="D77" s="106">
        <v>21.090777041641054</v>
      </c>
      <c r="E77" s="106">
        <v>5871.6723283928686</v>
      </c>
      <c r="F77" s="106">
        <v>19</v>
      </c>
      <c r="G77" s="106">
        <v>5289.5999999999995</v>
      </c>
      <c r="H77" s="106">
        <v>14.144798396079304</v>
      </c>
      <c r="I77" s="106">
        <v>3937.911873468478</v>
      </c>
      <c r="J77" s="106">
        <v>17.0418167339629</v>
      </c>
      <c r="K77" s="106">
        <v>4744.4417787352713</v>
      </c>
      <c r="L77" s="106">
        <v>16.053518846598092</v>
      </c>
      <c r="M77" s="106">
        <v>4469.2996468929086</v>
      </c>
      <c r="N77" s="106">
        <v>23.04708874481879</v>
      </c>
      <c r="O77" s="106">
        <v>6416.3095065575508</v>
      </c>
      <c r="P77" s="106">
        <v>14.047719275131961</v>
      </c>
      <c r="Q77" s="106">
        <v>3910.8850461967377</v>
      </c>
      <c r="R77" s="106">
        <v>24.059621201421745</v>
      </c>
      <c r="S77" s="106">
        <v>6698.1985424758132</v>
      </c>
      <c r="T77" s="106">
        <v>7.0238053090072317</v>
      </c>
      <c r="U77" s="106">
        <v>1955.4273980276132</v>
      </c>
      <c r="V77" s="106">
        <v>8.024896944665473</v>
      </c>
      <c r="W77" s="106">
        <v>2234.1313093948675</v>
      </c>
      <c r="X77" s="106">
        <v>5</v>
      </c>
      <c r="Y77" s="106">
        <v>1392</v>
      </c>
      <c r="Z77" s="106">
        <v>7.0513357229719071</v>
      </c>
      <c r="AA77" s="106">
        <v>1963.0918652753787</v>
      </c>
      <c r="AB77" s="106">
        <v>8</v>
      </c>
      <c r="AC77" s="106">
        <v>2227.1999999999998</v>
      </c>
      <c r="AD77" s="106">
        <v>10.064131368742641</v>
      </c>
      <c r="AE77" s="106">
        <v>2801.8541730579514</v>
      </c>
      <c r="AF77" s="106">
        <v>11.064473651642286</v>
      </c>
      <c r="AG77" s="106">
        <v>3080.3494646172121</v>
      </c>
      <c r="AH77" s="106">
        <v>13.057544723500962</v>
      </c>
      <c r="AI77" s="106">
        <v>3635.2204510226675</v>
      </c>
      <c r="AJ77" s="106">
        <v>6.0260993837816237</v>
      </c>
      <c r="AK77" s="106">
        <v>1677.6660684448038</v>
      </c>
      <c r="AL77" s="106">
        <v>4.0455968897316499</v>
      </c>
      <c r="AM77" s="106">
        <v>1126.2941741012912</v>
      </c>
      <c r="AN77" s="106">
        <v>6.0226143822320664</v>
      </c>
      <c r="AO77" s="106">
        <v>1676.6958440134072</v>
      </c>
      <c r="AP77" s="106">
        <v>3</v>
      </c>
      <c r="AQ77" s="106">
        <v>835.19999999999993</v>
      </c>
      <c r="AR77" s="106">
        <v>50</v>
      </c>
      <c r="AS77" s="106">
        <v>13919.999999999998</v>
      </c>
      <c r="AT77" s="106">
        <v>48.269013974107004</v>
      </c>
      <c r="AU77" s="106">
        <v>13438.093490391389</v>
      </c>
      <c r="AV77" s="106">
        <v>38</v>
      </c>
      <c r="AW77" s="106">
        <v>10579.199999999999</v>
      </c>
      <c r="AX77" s="106">
        <v>49.100434207916258</v>
      </c>
      <c r="AY77" s="106">
        <v>13669.560883483886</v>
      </c>
      <c r="AZ77" s="106">
        <v>65.05194952293013</v>
      </c>
      <c r="BA77" s="106">
        <v>18110.462747183748</v>
      </c>
      <c r="BB77" s="106">
        <v>81.042291426374476</v>
      </c>
      <c r="BC77" s="106">
        <v>22562.173933102651</v>
      </c>
      <c r="BD77" s="106">
        <v>61.041301878372344</v>
      </c>
      <c r="BE77" s="106">
        <v>16993.898442938858</v>
      </c>
      <c r="BF77" s="106">
        <v>67.039464796194309</v>
      </c>
      <c r="BG77" s="106">
        <v>18663.786999260494</v>
      </c>
      <c r="BH77" s="106">
        <v>6.0781101094019441</v>
      </c>
      <c r="BI77" s="106">
        <v>1692.1458544575012</v>
      </c>
      <c r="BJ77" s="106">
        <v>4.07470876525921</v>
      </c>
      <c r="BK77" s="106">
        <v>1134.3989202481639</v>
      </c>
      <c r="BL77" s="106">
        <v>7</v>
      </c>
      <c r="BM77" s="106">
        <v>1948.7999999999997</v>
      </c>
      <c r="BN77" s="106">
        <v>6.180301725658814</v>
      </c>
      <c r="BO77" s="106">
        <v>1720.5960004234137</v>
      </c>
      <c r="BP77" s="106">
        <v>3.0235556474480152</v>
      </c>
      <c r="BQ77" s="106">
        <v>841.75789224952734</v>
      </c>
      <c r="BR77" s="106">
        <v>4</v>
      </c>
      <c r="BS77" s="106">
        <v>1113.5999999999999</v>
      </c>
      <c r="BT77" s="106">
        <v>3.0431582035516995</v>
      </c>
      <c r="BU77" s="106">
        <v>847.2152438687931</v>
      </c>
      <c r="BV77" s="106">
        <v>4</v>
      </c>
      <c r="BW77" s="106">
        <v>1113.5999999999999</v>
      </c>
      <c r="BX77" s="106">
        <v>4.0185251946087721</v>
      </c>
      <c r="BY77" s="106">
        <v>1118.7574141790822</v>
      </c>
      <c r="BZ77" s="106">
        <v>6.0257073079677408</v>
      </c>
      <c r="CA77" s="106">
        <v>1677.556914538219</v>
      </c>
      <c r="CB77" s="106">
        <v>3</v>
      </c>
      <c r="CC77" s="106">
        <v>835.19999999999993</v>
      </c>
      <c r="CD77" s="106">
        <v>6.0341945867676543</v>
      </c>
      <c r="CE77" s="106">
        <v>1679.9197729561149</v>
      </c>
      <c r="CF77" s="106">
        <v>25.066237351974209</v>
      </c>
      <c r="CG77" s="106">
        <v>6978.4404787896192</v>
      </c>
      <c r="CH77" s="106">
        <v>26</v>
      </c>
      <c r="CI77" s="106">
        <v>7238.4</v>
      </c>
      <c r="CJ77" s="106">
        <v>29.035919753086421</v>
      </c>
      <c r="CK77" s="106">
        <v>8083.6000592592591</v>
      </c>
      <c r="CL77" s="106">
        <v>28</v>
      </c>
      <c r="CM77" s="106">
        <v>7795.1999999999989</v>
      </c>
      <c r="CN77" s="106">
        <v>3.0381403352157683</v>
      </c>
      <c r="CO77" s="106">
        <v>845.81826932406977</v>
      </c>
      <c r="CP77" s="106">
        <v>5.1006798059263723</v>
      </c>
      <c r="CQ77" s="106">
        <v>1420.0292579699019</v>
      </c>
      <c r="CR77" s="106">
        <v>4.0454099394205203</v>
      </c>
      <c r="CS77" s="106">
        <v>1126.2421271346727</v>
      </c>
      <c r="CT77" s="106">
        <v>3.0422990356144552</v>
      </c>
      <c r="CU77" s="106">
        <v>846.97605151506423</v>
      </c>
    </row>
    <row r="78" spans="2:99" x14ac:dyDescent="0.2">
      <c r="C78" s="105" t="s">
        <v>244</v>
      </c>
      <c r="D78" s="106">
        <v>22.083212288170966</v>
      </c>
      <c r="E78" s="106">
        <v>12189.933183070372</v>
      </c>
      <c r="F78" s="106">
        <v>17</v>
      </c>
      <c r="G78" s="106">
        <v>9384</v>
      </c>
      <c r="H78" s="106">
        <v>14.139006460236132</v>
      </c>
      <c r="I78" s="106">
        <v>7804.7315660503446</v>
      </c>
      <c r="J78" s="106">
        <v>17.039028951698707</v>
      </c>
      <c r="K78" s="106">
        <v>9405.543981337687</v>
      </c>
      <c r="L78" s="106">
        <v>15.05720980153589</v>
      </c>
      <c r="M78" s="106">
        <v>8311.5798104478108</v>
      </c>
      <c r="N78" s="106">
        <v>21.040361781273248</v>
      </c>
      <c r="O78" s="106">
        <v>11614.279703262833</v>
      </c>
      <c r="P78" s="106">
        <v>12.055672487653954</v>
      </c>
      <c r="Q78" s="106">
        <v>6654.7312131849831</v>
      </c>
      <c r="R78" s="106">
        <v>22.056563703912939</v>
      </c>
      <c r="S78" s="106">
        <v>12175.223164559942</v>
      </c>
      <c r="T78" s="106">
        <v>8.0238053090072317</v>
      </c>
      <c r="U78" s="106">
        <v>4429.1405305719918</v>
      </c>
      <c r="V78" s="106">
        <v>8.0302320042366446</v>
      </c>
      <c r="W78" s="106">
        <v>4432.6880663386282</v>
      </c>
      <c r="X78" s="106">
        <v>5</v>
      </c>
      <c r="Y78" s="106">
        <v>2760</v>
      </c>
      <c r="Z78" s="106">
        <v>7.0449187576004189</v>
      </c>
      <c r="AA78" s="106">
        <v>3888.7951541954312</v>
      </c>
      <c r="AB78" s="106">
        <v>9</v>
      </c>
      <c r="AC78" s="106">
        <v>4968</v>
      </c>
      <c r="AD78" s="106">
        <v>12.064131368742641</v>
      </c>
      <c r="AE78" s="106">
        <v>6659.4005155459381</v>
      </c>
      <c r="AF78" s="106">
        <v>12.060891782106603</v>
      </c>
      <c r="AG78" s="106">
        <v>6657.6122637228455</v>
      </c>
      <c r="AH78" s="106">
        <v>11.061655060893887</v>
      </c>
      <c r="AI78" s="106">
        <v>6106.0335936134261</v>
      </c>
      <c r="AJ78" s="106">
        <v>6.0242351420829365</v>
      </c>
      <c r="AK78" s="106">
        <v>3325.3777984297808</v>
      </c>
      <c r="AL78" s="106">
        <v>4.0497420615254356</v>
      </c>
      <c r="AM78" s="106">
        <v>2235.4576179620403</v>
      </c>
      <c r="AN78" s="106">
        <v>5.0205585293018782</v>
      </c>
      <c r="AO78" s="106">
        <v>2771.3483081746367</v>
      </c>
      <c r="AP78" s="106">
        <v>3</v>
      </c>
      <c r="AQ78" s="106">
        <v>1656</v>
      </c>
      <c r="AR78" s="106">
        <v>48</v>
      </c>
      <c r="AS78" s="106">
        <v>26496</v>
      </c>
      <c r="AT78" s="106">
        <v>40.260736621057561</v>
      </c>
      <c r="AU78" s="106">
        <v>22223.926614823773</v>
      </c>
      <c r="AV78" s="106">
        <v>37</v>
      </c>
      <c r="AW78" s="106">
        <v>20424</v>
      </c>
      <c r="AX78" s="106">
        <v>45.086544370651247</v>
      </c>
      <c r="AY78" s="106">
        <v>24887.772492599488</v>
      </c>
      <c r="AZ78" s="106">
        <v>63.05937088334872</v>
      </c>
      <c r="BA78" s="106">
        <v>34808.772727608492</v>
      </c>
      <c r="BB78" s="106">
        <v>75.038446751249523</v>
      </c>
      <c r="BC78" s="106">
        <v>41421.222606689735</v>
      </c>
      <c r="BD78" s="106">
        <v>60.037860055174654</v>
      </c>
      <c r="BE78" s="106">
        <v>33140.898750456407</v>
      </c>
      <c r="BF78" s="106">
        <v>69.04305250493924</v>
      </c>
      <c r="BG78" s="106">
        <v>38111.764982726461</v>
      </c>
      <c r="BH78" s="106">
        <v>6.0823322774777253</v>
      </c>
      <c r="BI78" s="106">
        <v>3357.4474171677043</v>
      </c>
      <c r="BJ78" s="106">
        <v>3.0684830348209426</v>
      </c>
      <c r="BK78" s="106">
        <v>1693.8026352211602</v>
      </c>
      <c r="BL78" s="106">
        <v>6</v>
      </c>
      <c r="BM78" s="106">
        <v>3312</v>
      </c>
      <c r="BN78" s="106">
        <v>6.2007132417711324</v>
      </c>
      <c r="BO78" s="106">
        <v>3422.793709457665</v>
      </c>
      <c r="BP78" s="106">
        <v>4.0235556474480152</v>
      </c>
      <c r="BQ78" s="106">
        <v>2221.0027173913045</v>
      </c>
      <c r="BR78" s="106">
        <v>4</v>
      </c>
      <c r="BS78" s="106">
        <v>2208</v>
      </c>
      <c r="BT78" s="106">
        <v>3.0431582035516995</v>
      </c>
      <c r="BU78" s="106">
        <v>1679.8233283605382</v>
      </c>
      <c r="BV78" s="106">
        <v>4</v>
      </c>
      <c r="BW78" s="106">
        <v>2208</v>
      </c>
      <c r="BX78" s="106">
        <v>3.0169814283913743</v>
      </c>
      <c r="BY78" s="106">
        <v>1665.3737484720386</v>
      </c>
      <c r="BZ78" s="106">
        <v>6.0238710716843311</v>
      </c>
      <c r="CA78" s="106">
        <v>3325.1768315697509</v>
      </c>
      <c r="CB78" s="106">
        <v>3</v>
      </c>
      <c r="CC78" s="106">
        <v>1656</v>
      </c>
      <c r="CD78" s="106">
        <v>5.0341945867676543</v>
      </c>
      <c r="CE78" s="106">
        <v>2778.8754118957449</v>
      </c>
      <c r="CF78" s="106">
        <v>22.060215774522007</v>
      </c>
      <c r="CG78" s="106">
        <v>12177.239107536148</v>
      </c>
      <c r="CH78" s="106">
        <v>28</v>
      </c>
      <c r="CI78" s="106">
        <v>15456</v>
      </c>
      <c r="CJ78" s="106">
        <v>23.03991083676269</v>
      </c>
      <c r="CK78" s="106">
        <v>12718.030781893005</v>
      </c>
      <c r="CL78" s="106">
        <v>23</v>
      </c>
      <c r="CM78" s="106">
        <v>12696</v>
      </c>
      <c r="CN78" s="106">
        <v>3.0349619739477878</v>
      </c>
      <c r="CO78" s="106">
        <v>1675.2990096191788</v>
      </c>
      <c r="CP78" s="106">
        <v>4.1118664510293028</v>
      </c>
      <c r="CQ78" s="106">
        <v>2269.750280968175</v>
      </c>
      <c r="CR78" s="106">
        <v>4.0425718182067376</v>
      </c>
      <c r="CS78" s="106">
        <v>2231.4996436501192</v>
      </c>
      <c r="CT78" s="106">
        <v>3.0394790999068251</v>
      </c>
      <c r="CU78" s="106">
        <v>1677.7924631485675</v>
      </c>
    </row>
    <row r="79" spans="2:99" x14ac:dyDescent="0.2">
      <c r="C79" s="105" t="s">
        <v>245</v>
      </c>
      <c r="D79" s="106">
        <v>18.090777041641054</v>
      </c>
      <c r="E79" s="106">
        <v>13698.336375930605</v>
      </c>
      <c r="F79" s="106">
        <v>16</v>
      </c>
      <c r="G79" s="106">
        <v>12115.199999999999</v>
      </c>
      <c r="H79" s="106">
        <v>13.127422588549788</v>
      </c>
      <c r="I79" s="106">
        <v>9940.0843840498983</v>
      </c>
      <c r="J79" s="106">
        <v>16.036241169434515</v>
      </c>
      <c r="K79" s="106">
        <v>12142.641813495813</v>
      </c>
      <c r="L79" s="106">
        <v>16.053518846598092</v>
      </c>
      <c r="M79" s="106">
        <v>12155.724470644074</v>
      </c>
      <c r="N79" s="106">
        <v>19.049331066000637</v>
      </c>
      <c r="O79" s="106">
        <v>14424.15348317568</v>
      </c>
      <c r="P79" s="106">
        <v>13.049309917636359</v>
      </c>
      <c r="Q79" s="106">
        <v>9880.9374696342493</v>
      </c>
      <c r="R79" s="106">
        <v>20.055034955158533</v>
      </c>
      <c r="S79" s="106">
        <v>15185.672468046039</v>
      </c>
      <c r="T79" s="106">
        <v>7.0224049967126891</v>
      </c>
      <c r="U79" s="106">
        <v>5317.3650635108479</v>
      </c>
      <c r="V79" s="106">
        <v>7.024896944665473</v>
      </c>
      <c r="W79" s="106">
        <v>5319.2519665006957</v>
      </c>
      <c r="X79" s="106">
        <v>4</v>
      </c>
      <c r="Y79" s="106">
        <v>3028.7999999999997</v>
      </c>
      <c r="Z79" s="106">
        <v>8.0481272402861634</v>
      </c>
      <c r="AA79" s="106">
        <v>6094.0419463446824</v>
      </c>
      <c r="AB79" s="106">
        <v>8</v>
      </c>
      <c r="AC79" s="106">
        <v>6057.5999999999995</v>
      </c>
      <c r="AD79" s="106">
        <v>10.05496974463655</v>
      </c>
      <c r="AE79" s="106">
        <v>7613.6230906387946</v>
      </c>
      <c r="AF79" s="106">
        <v>10.064473651642286</v>
      </c>
      <c r="AG79" s="106">
        <v>7620.8194490235383</v>
      </c>
      <c r="AH79" s="106">
        <v>11.061655060893887</v>
      </c>
      <c r="AI79" s="106">
        <v>8375.8852121088512</v>
      </c>
      <c r="AJ79" s="106">
        <v>6.0223709003842494</v>
      </c>
      <c r="AK79" s="106">
        <v>4560.1392457709535</v>
      </c>
      <c r="AL79" s="106">
        <v>3.0455968897316494</v>
      </c>
      <c r="AM79" s="106">
        <v>2306.1259649048047</v>
      </c>
      <c r="AN79" s="106">
        <v>6.0205585293018782</v>
      </c>
      <c r="AO79" s="106">
        <v>4558.7669183873813</v>
      </c>
      <c r="AP79" s="106">
        <v>3</v>
      </c>
      <c r="AQ79" s="106">
        <v>2271.6</v>
      </c>
      <c r="AR79" s="106">
        <v>47</v>
      </c>
      <c r="AS79" s="106">
        <v>35588.399999999994</v>
      </c>
      <c r="AT79" s="106">
        <v>44.269013974107004</v>
      </c>
      <c r="AU79" s="106">
        <v>33520.497381193818</v>
      </c>
      <c r="AV79" s="106">
        <v>30</v>
      </c>
      <c r="AW79" s="106">
        <v>22715.999999999996</v>
      </c>
      <c r="AX79" s="106">
        <v>41.086544370651247</v>
      </c>
      <c r="AY79" s="106">
        <v>31110.731397457123</v>
      </c>
      <c r="AZ79" s="106">
        <v>63.05194952293013</v>
      </c>
      <c r="BA79" s="106">
        <v>47742.936178762691</v>
      </c>
      <c r="BB79" s="106">
        <v>73.042291426374476</v>
      </c>
      <c r="BC79" s="106">
        <v>55307.623068050751</v>
      </c>
      <c r="BD79" s="106">
        <v>55.041301878372344</v>
      </c>
      <c r="BE79" s="106">
        <v>41677.273782303535</v>
      </c>
      <c r="BF79" s="106">
        <v>63.04305250493924</v>
      </c>
      <c r="BG79" s="106">
        <v>47736.199356739991</v>
      </c>
      <c r="BH79" s="106">
        <v>6.084443361515615</v>
      </c>
      <c r="BI79" s="106">
        <v>4607.1405133396229</v>
      </c>
      <c r="BJ79" s="106">
        <v>3.0726335217797875</v>
      </c>
      <c r="BK79" s="106">
        <v>2326.5981026916547</v>
      </c>
      <c r="BL79" s="106">
        <v>6</v>
      </c>
      <c r="BM79" s="106">
        <v>4543.2</v>
      </c>
      <c r="BN79" s="106">
        <v>5.1871055643629198</v>
      </c>
      <c r="BO79" s="106">
        <v>3927.6763333356025</v>
      </c>
      <c r="BP79" s="106">
        <v>3.0235556474480152</v>
      </c>
      <c r="BQ79" s="106">
        <v>2289.436336247637</v>
      </c>
      <c r="BR79" s="106">
        <v>4</v>
      </c>
      <c r="BS79" s="106">
        <v>3028.7999999999997</v>
      </c>
      <c r="BT79" s="106">
        <v>3.0431582035516995</v>
      </c>
      <c r="BU79" s="106">
        <v>2304.2793917293466</v>
      </c>
      <c r="BV79" s="106">
        <v>4</v>
      </c>
      <c r="BW79" s="106">
        <v>3028.7999999999997</v>
      </c>
      <c r="BX79" s="106">
        <v>4.0169814283913743</v>
      </c>
      <c r="BY79" s="106">
        <v>3041.6583375779483</v>
      </c>
      <c r="BZ79" s="106">
        <v>5.0220348354009205</v>
      </c>
      <c r="CA79" s="106">
        <v>3802.6847773655768</v>
      </c>
      <c r="CB79" s="106">
        <v>3</v>
      </c>
      <c r="CC79" s="106">
        <v>2271.6</v>
      </c>
      <c r="CD79" s="106">
        <v>5.0341945867676543</v>
      </c>
      <c r="CE79" s="106">
        <v>3811.8921411004676</v>
      </c>
      <c r="CF79" s="106">
        <v>23.060215774522007</v>
      </c>
      <c r="CG79" s="106">
        <v>17461.195384468061</v>
      </c>
      <c r="CH79" s="106">
        <v>24</v>
      </c>
      <c r="CI79" s="106">
        <v>18172.8</v>
      </c>
      <c r="CJ79" s="106">
        <v>25.03991083676269</v>
      </c>
      <c r="CK79" s="106">
        <v>18960.220485596707</v>
      </c>
      <c r="CL79" s="106">
        <v>23</v>
      </c>
      <c r="CM79" s="106">
        <v>17415.599999999999</v>
      </c>
      <c r="CN79" s="106">
        <v>3.0349619739477878</v>
      </c>
      <c r="CO79" s="106">
        <v>2298.0732066732648</v>
      </c>
      <c r="CP79" s="106">
        <v>5.1006798059263723</v>
      </c>
      <c r="CQ79" s="106">
        <v>3862.2347490474485</v>
      </c>
      <c r="CR79" s="106">
        <v>4.0425718182067376</v>
      </c>
      <c r="CS79" s="106">
        <v>3061.0353807461415</v>
      </c>
      <c r="CT79" s="106">
        <v>3.0422990356144552</v>
      </c>
      <c r="CU79" s="106">
        <v>2303.6288297672654</v>
      </c>
    </row>
    <row r="80" spans="2:99" x14ac:dyDescent="0.2">
      <c r="C80" s="105" t="s">
        <v>246</v>
      </c>
      <c r="D80" s="106">
        <v>21.090777041641054</v>
      </c>
      <c r="E80" s="106">
        <v>16982.293673929376</v>
      </c>
      <c r="F80" s="106">
        <v>18</v>
      </c>
      <c r="G80" s="106">
        <v>14493.599999999999</v>
      </c>
      <c r="H80" s="106">
        <v>13.13321452439296</v>
      </c>
      <c r="I80" s="106">
        <v>10574.864335041211</v>
      </c>
      <c r="J80" s="106">
        <v>18.036241169434515</v>
      </c>
      <c r="K80" s="106">
        <v>14522.78138962867</v>
      </c>
      <c r="L80" s="106">
        <v>17.05720980153589</v>
      </c>
      <c r="M80" s="106">
        <v>13734.465332196698</v>
      </c>
      <c r="N80" s="106">
        <v>19.04708874481879</v>
      </c>
      <c r="O80" s="106">
        <v>15336.715857328089</v>
      </c>
      <c r="P80" s="106">
        <v>13.052491202645156</v>
      </c>
      <c r="Q80" s="106">
        <v>10509.865916369878</v>
      </c>
      <c r="R80" s="106">
        <v>22.051977457649727</v>
      </c>
      <c r="S80" s="106">
        <v>17756.25224889956</v>
      </c>
      <c r="T80" s="106">
        <v>7.0224049967126891</v>
      </c>
      <c r="U80" s="106">
        <v>5654.4405033530566</v>
      </c>
      <c r="V80" s="106">
        <v>7.0284536510462541</v>
      </c>
      <c r="W80" s="106">
        <v>5659.310879822443</v>
      </c>
      <c r="X80" s="106">
        <v>5</v>
      </c>
      <c r="Y80" s="106">
        <v>4025.9999999999995</v>
      </c>
      <c r="Z80" s="106">
        <v>7.0481272402861634</v>
      </c>
      <c r="AA80" s="106">
        <v>5675.152053878418</v>
      </c>
      <c r="AB80" s="106">
        <v>7</v>
      </c>
      <c r="AC80" s="106">
        <v>5636.4</v>
      </c>
      <c r="AD80" s="106">
        <v>11.059550556689596</v>
      </c>
      <c r="AE80" s="106">
        <v>8905.150108246462</v>
      </c>
      <c r="AF80" s="106">
        <v>10.05730991257092</v>
      </c>
      <c r="AG80" s="106">
        <v>8098.1459416021044</v>
      </c>
      <c r="AH80" s="106">
        <v>11.057544723500962</v>
      </c>
      <c r="AI80" s="106">
        <v>8903.5350113629738</v>
      </c>
      <c r="AJ80" s="106">
        <v>5.0242351420829365</v>
      </c>
      <c r="AK80" s="106">
        <v>4045.5141364051801</v>
      </c>
      <c r="AL80" s="106">
        <v>4.0497420615254356</v>
      </c>
      <c r="AM80" s="106">
        <v>3260.8523079402803</v>
      </c>
      <c r="AN80" s="106">
        <v>5.0205585293018782</v>
      </c>
      <c r="AO80" s="106">
        <v>4042.553727793872</v>
      </c>
      <c r="AP80" s="106">
        <v>3</v>
      </c>
      <c r="AQ80" s="106">
        <v>2415.6</v>
      </c>
      <c r="AR80" s="106">
        <v>47</v>
      </c>
      <c r="AS80" s="106">
        <v>37844.399999999994</v>
      </c>
      <c r="AT80" s="106">
        <v>37.248320591483392</v>
      </c>
      <c r="AU80" s="106">
        <v>29992.347740262423</v>
      </c>
      <c r="AV80" s="106">
        <v>32</v>
      </c>
      <c r="AW80" s="106">
        <v>25766.399999999998</v>
      </c>
      <c r="AX80" s="106">
        <v>42.089749717712401</v>
      </c>
      <c r="AY80" s="106">
        <v>33890.666472702025</v>
      </c>
      <c r="AZ80" s="106">
        <v>54.05937088334872</v>
      </c>
      <c r="BA80" s="106">
        <v>43528.605435272388</v>
      </c>
      <c r="BB80" s="106">
        <v>75.046136101499428</v>
      </c>
      <c r="BC80" s="106">
        <v>60427.148788927334</v>
      </c>
      <c r="BD80" s="106">
        <v>56.037860055174654</v>
      </c>
      <c r="BE80" s="106">
        <v>45121.684916426631</v>
      </c>
      <c r="BF80" s="106">
        <v>56.04305250493924</v>
      </c>
      <c r="BG80" s="106">
        <v>45125.86587697707</v>
      </c>
      <c r="BH80" s="106">
        <v>6.0738879413261637</v>
      </c>
      <c r="BI80" s="106">
        <v>4890.6945703558267</v>
      </c>
      <c r="BJ80" s="106">
        <v>3.0664077913415202</v>
      </c>
      <c r="BK80" s="106">
        <v>2469.0715535881918</v>
      </c>
      <c r="BL80" s="106">
        <v>6</v>
      </c>
      <c r="BM80" s="106">
        <v>4831.2</v>
      </c>
      <c r="BN80" s="106">
        <v>5.197311322419079</v>
      </c>
      <c r="BO80" s="106">
        <v>4184.8750768118416</v>
      </c>
      <c r="BP80" s="106">
        <v>3.0206111915170131</v>
      </c>
      <c r="BQ80" s="106">
        <v>2432.1961314094988</v>
      </c>
      <c r="BR80" s="106">
        <v>3</v>
      </c>
      <c r="BS80" s="106">
        <v>2415.6</v>
      </c>
      <c r="BT80" s="106">
        <v>3.0431582035516995</v>
      </c>
      <c r="BU80" s="106">
        <v>2450.3509854998283</v>
      </c>
      <c r="BV80" s="106">
        <v>4</v>
      </c>
      <c r="BW80" s="106">
        <v>3220.7999999999997</v>
      </c>
      <c r="BX80" s="106">
        <v>4.0185251946087721</v>
      </c>
      <c r="BY80" s="106">
        <v>3235.7164866989829</v>
      </c>
      <c r="BZ80" s="106">
        <v>5.0238710716843311</v>
      </c>
      <c r="CA80" s="106">
        <v>4045.2209869202229</v>
      </c>
      <c r="CB80" s="106">
        <v>3</v>
      </c>
      <c r="CC80" s="106">
        <v>2415.6</v>
      </c>
      <c r="CD80" s="106">
        <v>6.0341945867676543</v>
      </c>
      <c r="CE80" s="106">
        <v>4858.7334812653153</v>
      </c>
      <c r="CF80" s="106">
        <v>20.054194197069808</v>
      </c>
      <c r="CG80" s="106">
        <v>16147.637167480609</v>
      </c>
      <c r="CH80" s="106">
        <v>25</v>
      </c>
      <c r="CI80" s="106">
        <v>20130</v>
      </c>
      <c r="CJ80" s="106">
        <v>23.035919753086421</v>
      </c>
      <c r="CK80" s="106">
        <v>18548.522585185186</v>
      </c>
      <c r="CL80" s="106">
        <v>23</v>
      </c>
      <c r="CM80" s="106">
        <v>18519.599999999999</v>
      </c>
      <c r="CN80" s="106">
        <v>3.0381403352157683</v>
      </c>
      <c r="CO80" s="106">
        <v>2446.3105979157363</v>
      </c>
      <c r="CP80" s="106">
        <v>5.0950864833749074</v>
      </c>
      <c r="CQ80" s="106">
        <v>4102.5636364134753</v>
      </c>
      <c r="CR80" s="106">
        <v>4.0454099394205203</v>
      </c>
      <c r="CS80" s="106">
        <v>3257.3640832214028</v>
      </c>
      <c r="CT80" s="106">
        <v>3.0394790999068251</v>
      </c>
      <c r="CU80" s="106">
        <v>2447.3885712449755</v>
      </c>
    </row>
    <row r="81" spans="2:99" x14ac:dyDescent="0.2">
      <c r="C81" s="105" t="s">
        <v>247</v>
      </c>
      <c r="D81" s="106">
        <v>19.090777041641054</v>
      </c>
      <c r="E81" s="106">
        <v>14386.809578580698</v>
      </c>
      <c r="F81" s="106">
        <v>16</v>
      </c>
      <c r="G81" s="106">
        <v>12057.6</v>
      </c>
      <c r="H81" s="106">
        <v>12.139006460236132</v>
      </c>
      <c r="I81" s="106">
        <v>9147.9552684339487</v>
      </c>
      <c r="J81" s="106">
        <v>17.039028951698707</v>
      </c>
      <c r="K81" s="106">
        <v>12840.612218000146</v>
      </c>
      <c r="L81" s="106">
        <v>16.049827891660293</v>
      </c>
      <c r="M81" s="106">
        <v>12095.150299155197</v>
      </c>
      <c r="N81" s="106">
        <v>19.044846423636944</v>
      </c>
      <c r="O81" s="106">
        <v>14352.196264852801</v>
      </c>
      <c r="P81" s="106">
        <v>12.054081845149556</v>
      </c>
      <c r="Q81" s="106">
        <v>9083.9560785047051</v>
      </c>
      <c r="R81" s="106">
        <v>19.051977457649727</v>
      </c>
      <c r="S81" s="106">
        <v>14357.570212084835</v>
      </c>
      <c r="T81" s="106">
        <v>7.0238053090072317</v>
      </c>
      <c r="U81" s="106">
        <v>5293.1396808678501</v>
      </c>
      <c r="V81" s="106">
        <v>7.0266752978558635</v>
      </c>
      <c r="W81" s="106">
        <v>5295.302504464179</v>
      </c>
      <c r="X81" s="106">
        <v>5</v>
      </c>
      <c r="Y81" s="106">
        <v>3768</v>
      </c>
      <c r="Z81" s="106">
        <v>8.0481272402861634</v>
      </c>
      <c r="AA81" s="106">
        <v>6065.0686882796526</v>
      </c>
      <c r="AB81" s="106">
        <v>8</v>
      </c>
      <c r="AC81" s="106">
        <v>6028.8</v>
      </c>
      <c r="AD81" s="106">
        <v>12.05496974463655</v>
      </c>
      <c r="AE81" s="106">
        <v>9084.6251995581042</v>
      </c>
      <c r="AF81" s="106">
        <v>12.060891782106603</v>
      </c>
      <c r="AG81" s="106">
        <v>9089.0880469955373</v>
      </c>
      <c r="AH81" s="106">
        <v>12.057544723500962</v>
      </c>
      <c r="AI81" s="106">
        <v>9086.5657036303255</v>
      </c>
      <c r="AJ81" s="106">
        <v>5.0242351420829365</v>
      </c>
      <c r="AK81" s="106">
        <v>3786.2636030737012</v>
      </c>
      <c r="AL81" s="106">
        <v>3.0414517179378633</v>
      </c>
      <c r="AM81" s="106">
        <v>2292.0380146379739</v>
      </c>
      <c r="AN81" s="106">
        <v>5.0226143822320664</v>
      </c>
      <c r="AO81" s="106">
        <v>3785.0421984500854</v>
      </c>
      <c r="AP81" s="106">
        <v>3</v>
      </c>
      <c r="AQ81" s="106">
        <v>2260.8000000000002</v>
      </c>
      <c r="AR81" s="106">
        <v>46</v>
      </c>
      <c r="AS81" s="106">
        <v>34665.599999999999</v>
      </c>
      <c r="AT81" s="106">
        <v>40.277291327156455</v>
      </c>
      <c r="AU81" s="106">
        <v>30352.966744145106</v>
      </c>
      <c r="AV81" s="106">
        <v>36</v>
      </c>
      <c r="AW81" s="106">
        <v>27129.600000000002</v>
      </c>
      <c r="AX81" s="106">
        <v>39.077996778488156</v>
      </c>
      <c r="AY81" s="106">
        <v>29449.178372268674</v>
      </c>
      <c r="AZ81" s="106">
        <v>59.05937088334872</v>
      </c>
      <c r="BA81" s="106">
        <v>44507.141897691596</v>
      </c>
      <c r="BB81" s="106">
        <v>64.038446751249523</v>
      </c>
      <c r="BC81" s="106">
        <v>48259.373471741645</v>
      </c>
      <c r="BD81" s="106">
        <v>58.044743701570042</v>
      </c>
      <c r="BE81" s="106">
        <v>43742.518853503185</v>
      </c>
      <c r="BF81" s="106">
        <v>60.039464796194302</v>
      </c>
      <c r="BG81" s="106">
        <v>45245.740670412029</v>
      </c>
      <c r="BH81" s="106">
        <v>6.0738879413261637</v>
      </c>
      <c r="BI81" s="106">
        <v>4577.2819525833975</v>
      </c>
      <c r="BJ81" s="106">
        <v>3.0767840087386324</v>
      </c>
      <c r="BK81" s="106">
        <v>2318.6644289854335</v>
      </c>
      <c r="BL81" s="106">
        <v>7</v>
      </c>
      <c r="BM81" s="106">
        <v>5275.2</v>
      </c>
      <c r="BN81" s="106">
        <v>5.1632921288985481</v>
      </c>
      <c r="BO81" s="106">
        <v>3891.0569483379459</v>
      </c>
      <c r="BP81" s="106">
        <v>3.0235556474480152</v>
      </c>
      <c r="BQ81" s="106">
        <v>2278.5515359168244</v>
      </c>
      <c r="BR81" s="106">
        <v>4</v>
      </c>
      <c r="BS81" s="106">
        <v>3014.4</v>
      </c>
      <c r="BT81" s="106">
        <v>3.0431582035516995</v>
      </c>
      <c r="BU81" s="106">
        <v>2293.3240221965607</v>
      </c>
      <c r="BV81" s="106">
        <v>4</v>
      </c>
      <c r="BW81" s="106">
        <v>3014.4</v>
      </c>
      <c r="BX81" s="106">
        <v>4.0185251946087721</v>
      </c>
      <c r="BY81" s="106">
        <v>3028.3605866571706</v>
      </c>
      <c r="BZ81" s="106">
        <v>6.0220348354009205</v>
      </c>
      <c r="CA81" s="106">
        <v>4538.2054519581343</v>
      </c>
      <c r="CB81" s="106">
        <v>3</v>
      </c>
      <c r="CC81" s="106">
        <v>2260.8000000000002</v>
      </c>
      <c r="CD81" s="106">
        <v>6.0358229004232564</v>
      </c>
      <c r="CE81" s="106">
        <v>4548.5961377589665</v>
      </c>
      <c r="CF81" s="106">
        <v>20.054194197069808</v>
      </c>
      <c r="CG81" s="106">
        <v>15112.840746911808</v>
      </c>
      <c r="CH81" s="106">
        <v>27</v>
      </c>
      <c r="CI81" s="106">
        <v>20347.2</v>
      </c>
      <c r="CJ81" s="106">
        <v>25.035919753086421</v>
      </c>
      <c r="CK81" s="106">
        <v>18867.069125925929</v>
      </c>
      <c r="CL81" s="106">
        <v>24</v>
      </c>
      <c r="CM81" s="106">
        <v>18086.400000000001</v>
      </c>
      <c r="CN81" s="106">
        <v>3.0317836126798072</v>
      </c>
      <c r="CO81" s="106">
        <v>2284.7521305155028</v>
      </c>
      <c r="CP81" s="106">
        <v>4.1006798059263723</v>
      </c>
      <c r="CQ81" s="106">
        <v>3090.2723017461144</v>
      </c>
      <c r="CR81" s="106">
        <v>4.0510861818480857</v>
      </c>
      <c r="CS81" s="106">
        <v>3052.8985466407175</v>
      </c>
      <c r="CT81" s="106">
        <v>3.0394790999068251</v>
      </c>
      <c r="CU81" s="106">
        <v>2290.5514496897836</v>
      </c>
    </row>
    <row r="82" spans="2:99" x14ac:dyDescent="0.2">
      <c r="C82" s="105" t="s">
        <v>248</v>
      </c>
      <c r="D82" s="106">
        <v>20.086994664906008</v>
      </c>
      <c r="E82" s="106">
        <v>10220.262885504175</v>
      </c>
      <c r="F82" s="106">
        <v>18</v>
      </c>
      <c r="G82" s="106">
        <v>9158.3999999999978</v>
      </c>
      <c r="H82" s="106">
        <v>14.13321452439296</v>
      </c>
      <c r="I82" s="106">
        <v>7190.9795500111368</v>
      </c>
      <c r="J82" s="106">
        <v>19.036241169434515</v>
      </c>
      <c r="K82" s="106">
        <v>9685.6395070082799</v>
      </c>
      <c r="L82" s="106">
        <v>17.053518846598092</v>
      </c>
      <c r="M82" s="106">
        <v>8676.8303891491068</v>
      </c>
      <c r="N82" s="106">
        <v>20.042604102455098</v>
      </c>
      <c r="O82" s="106">
        <v>10197.676967329151</v>
      </c>
      <c r="P82" s="106">
        <v>13.054081845149556</v>
      </c>
      <c r="Q82" s="106">
        <v>6641.9168428120929</v>
      </c>
      <c r="R82" s="106">
        <v>21.050448708895324</v>
      </c>
      <c r="S82" s="106">
        <v>10710.46830308594</v>
      </c>
      <c r="T82" s="106">
        <v>8.0252056213017759</v>
      </c>
      <c r="U82" s="106">
        <v>4083.224620118343</v>
      </c>
      <c r="V82" s="106">
        <v>8.0302320042366446</v>
      </c>
      <c r="W82" s="106">
        <v>4085.7820437556038</v>
      </c>
      <c r="X82" s="106">
        <v>5</v>
      </c>
      <c r="Y82" s="106">
        <v>2543.9999999999995</v>
      </c>
      <c r="Z82" s="106">
        <v>8.051335722971908</v>
      </c>
      <c r="AA82" s="106">
        <v>4096.5196158481058</v>
      </c>
      <c r="AB82" s="106">
        <v>8</v>
      </c>
      <c r="AC82" s="106">
        <v>4070.3999999999992</v>
      </c>
      <c r="AD82" s="106">
        <v>10.064131368742641</v>
      </c>
      <c r="AE82" s="106">
        <v>5120.6300404162548</v>
      </c>
      <c r="AF82" s="106">
        <v>11.060891782106603</v>
      </c>
      <c r="AG82" s="106">
        <v>5627.7817387358382</v>
      </c>
      <c r="AH82" s="106">
        <v>12.065765398286812</v>
      </c>
      <c r="AI82" s="106">
        <v>6139.0614346483289</v>
      </c>
      <c r="AJ82" s="106">
        <v>5.0260993837816237</v>
      </c>
      <c r="AK82" s="106">
        <v>2557.2793664680894</v>
      </c>
      <c r="AL82" s="106">
        <v>4.0455968897316499</v>
      </c>
      <c r="AM82" s="106">
        <v>2058.399697495463</v>
      </c>
      <c r="AN82" s="106">
        <v>5.0205585293018782</v>
      </c>
      <c r="AO82" s="106">
        <v>2554.4601797087953</v>
      </c>
      <c r="AP82" s="106">
        <v>3</v>
      </c>
      <c r="AQ82" s="106">
        <v>1526.3999999999996</v>
      </c>
      <c r="AR82" s="106">
        <v>42</v>
      </c>
      <c r="AS82" s="106">
        <v>21369.599999999995</v>
      </c>
      <c r="AT82" s="106">
        <v>40.293846033255349</v>
      </c>
      <c r="AU82" s="106">
        <v>20501.508861720318</v>
      </c>
      <c r="AV82" s="106">
        <v>35</v>
      </c>
      <c r="AW82" s="106">
        <v>17807.999999999996</v>
      </c>
      <c r="AX82" s="106">
        <v>40.080133676528931</v>
      </c>
      <c r="AY82" s="106">
        <v>20392.772014617916</v>
      </c>
      <c r="AZ82" s="106">
        <v>64.05937088334872</v>
      </c>
      <c r="BA82" s="106">
        <v>32593.407905447821</v>
      </c>
      <c r="BB82" s="106">
        <v>76.038446751249523</v>
      </c>
      <c r="BC82" s="106">
        <v>38688.36170703575</v>
      </c>
      <c r="BD82" s="106">
        <v>66.041301878372352</v>
      </c>
      <c r="BE82" s="106">
        <v>33601.814395715846</v>
      </c>
      <c r="BF82" s="106">
        <v>63.039464796194302</v>
      </c>
      <c r="BG82" s="106">
        <v>32074.479688303654</v>
      </c>
      <c r="BH82" s="106">
        <v>6.0802211934398347</v>
      </c>
      <c r="BI82" s="106">
        <v>3093.6165432221874</v>
      </c>
      <c r="BJ82" s="106">
        <v>4.0684830348209422</v>
      </c>
      <c r="BK82" s="106">
        <v>2070.044168116895</v>
      </c>
      <c r="BL82" s="106">
        <v>7</v>
      </c>
      <c r="BM82" s="106">
        <v>3561.5999999999995</v>
      </c>
      <c r="BN82" s="106">
        <v>6.180301725658814</v>
      </c>
      <c r="BO82" s="106">
        <v>3144.5375180152041</v>
      </c>
      <c r="BP82" s="106">
        <v>4.0235556474480152</v>
      </c>
      <c r="BQ82" s="106">
        <v>2047.1851134215497</v>
      </c>
      <c r="BR82" s="106">
        <v>4</v>
      </c>
      <c r="BS82" s="106">
        <v>2035.1999999999996</v>
      </c>
      <c r="BT82" s="106">
        <v>3.0383628476015105</v>
      </c>
      <c r="BU82" s="106">
        <v>1545.9190168596483</v>
      </c>
      <c r="BV82" s="106">
        <v>4</v>
      </c>
      <c r="BW82" s="106">
        <v>2035.1999999999996</v>
      </c>
      <c r="BX82" s="106">
        <v>4.0185251946087721</v>
      </c>
      <c r="BY82" s="106">
        <v>2044.6256190169429</v>
      </c>
      <c r="BZ82" s="106">
        <v>5.0220348354009205</v>
      </c>
      <c r="CA82" s="106">
        <v>2555.2113242519877</v>
      </c>
      <c r="CB82" s="106">
        <v>3</v>
      </c>
      <c r="CC82" s="106">
        <v>1526.3999999999996</v>
      </c>
      <c r="CD82" s="106">
        <v>6.0358229004232564</v>
      </c>
      <c r="CE82" s="106">
        <v>3071.0266917353524</v>
      </c>
      <c r="CF82" s="106">
        <v>22.054194197069808</v>
      </c>
      <c r="CG82" s="106">
        <v>11221.174007469117</v>
      </c>
      <c r="CH82" s="106">
        <v>24</v>
      </c>
      <c r="CI82" s="106">
        <v>12211.199999999997</v>
      </c>
      <c r="CJ82" s="106">
        <v>28.035919753086421</v>
      </c>
      <c r="CK82" s="106">
        <v>14264.675970370368</v>
      </c>
      <c r="CL82" s="106">
        <v>27</v>
      </c>
      <c r="CM82" s="106">
        <v>13737.599999999997</v>
      </c>
      <c r="CN82" s="106">
        <v>3.0317836126798072</v>
      </c>
      <c r="CO82" s="106">
        <v>1542.5715021314857</v>
      </c>
      <c r="CP82" s="106">
        <v>4.0950864833749074</v>
      </c>
      <c r="CQ82" s="106">
        <v>2083.5800027411524</v>
      </c>
      <c r="CR82" s="106">
        <v>4.0454099394205203</v>
      </c>
      <c r="CS82" s="106">
        <v>2058.3045771771604</v>
      </c>
      <c r="CT82" s="106">
        <v>3.0394790999068251</v>
      </c>
      <c r="CU82" s="106">
        <v>1546.4869660325924</v>
      </c>
    </row>
    <row r="83" spans="2:99" x14ac:dyDescent="0.2">
      <c r="C83" s="105" t="s">
        <v>249</v>
      </c>
      <c r="D83" s="106">
        <v>19.079429911435923</v>
      </c>
      <c r="E83" s="106">
        <v>16415.941495799467</v>
      </c>
      <c r="F83" s="106">
        <v>15</v>
      </c>
      <c r="G83" s="106">
        <v>12906</v>
      </c>
      <c r="H83" s="106">
        <v>11.139006460236132</v>
      </c>
      <c r="I83" s="106">
        <v>9584.0011583871674</v>
      </c>
      <c r="J83" s="106">
        <v>17.039028951698707</v>
      </c>
      <c r="K83" s="106">
        <v>14660.380510041568</v>
      </c>
      <c r="L83" s="106">
        <v>17.05720980153589</v>
      </c>
      <c r="M83" s="106">
        <v>14676.02331324148</v>
      </c>
      <c r="N83" s="106">
        <v>19.042604102455098</v>
      </c>
      <c r="O83" s="106">
        <v>16384.256569752364</v>
      </c>
      <c r="P83" s="106">
        <v>12.052491202645156</v>
      </c>
      <c r="Q83" s="106">
        <v>10369.963430755892</v>
      </c>
      <c r="R83" s="106">
        <v>19.051977457649727</v>
      </c>
      <c r="S83" s="106">
        <v>16392.321404561826</v>
      </c>
      <c r="T83" s="106">
        <v>7.0210046844181457</v>
      </c>
      <c r="U83" s="106">
        <v>6040.8724304733723</v>
      </c>
      <c r="V83" s="106">
        <v>7.0266752978558635</v>
      </c>
      <c r="W83" s="106">
        <v>6045.7514262751847</v>
      </c>
      <c r="X83" s="106">
        <v>5</v>
      </c>
      <c r="Y83" s="106">
        <v>4302</v>
      </c>
      <c r="Z83" s="106">
        <v>7.0513357229719071</v>
      </c>
      <c r="AA83" s="106">
        <v>6066.9692560450285</v>
      </c>
      <c r="AB83" s="106">
        <v>8</v>
      </c>
      <c r="AC83" s="106">
        <v>6883.2</v>
      </c>
      <c r="AD83" s="106">
        <v>10.059550556689596</v>
      </c>
      <c r="AE83" s="106">
        <v>8655.2372989757278</v>
      </c>
      <c r="AF83" s="106">
        <v>10.064473651642286</v>
      </c>
      <c r="AG83" s="106">
        <v>8659.4731298730221</v>
      </c>
      <c r="AH83" s="106">
        <v>11.061655060893887</v>
      </c>
      <c r="AI83" s="106">
        <v>9517.4480143930996</v>
      </c>
      <c r="AJ83" s="106">
        <v>6.0242351420829365</v>
      </c>
      <c r="AK83" s="106">
        <v>5183.2519162481585</v>
      </c>
      <c r="AL83" s="106">
        <v>4.0414517179378633</v>
      </c>
      <c r="AM83" s="106">
        <v>3477.2650581137373</v>
      </c>
      <c r="AN83" s="106">
        <v>6.0226143822320664</v>
      </c>
      <c r="AO83" s="106">
        <v>5181.8574144724698</v>
      </c>
      <c r="AP83" s="106">
        <v>3</v>
      </c>
      <c r="AQ83" s="106">
        <v>2581.1999999999998</v>
      </c>
      <c r="AR83" s="106">
        <v>43</v>
      </c>
      <c r="AS83" s="106">
        <v>36997.199999999997</v>
      </c>
      <c r="AT83" s="106">
        <v>40.269013974107004</v>
      </c>
      <c r="AU83" s="106">
        <v>34647.459623321665</v>
      </c>
      <c r="AV83" s="106">
        <v>30</v>
      </c>
      <c r="AW83" s="106">
        <v>25812</v>
      </c>
      <c r="AX83" s="106">
        <v>39.077996778488156</v>
      </c>
      <c r="AY83" s="106">
        <v>33622.708428211212</v>
      </c>
      <c r="AZ83" s="106">
        <v>62.05194952293013</v>
      </c>
      <c r="BA83" s="106">
        <v>53389.497369529083</v>
      </c>
      <c r="BB83" s="106">
        <v>73.042291426374476</v>
      </c>
      <c r="BC83" s="106">
        <v>62845.587543252601</v>
      </c>
      <c r="BD83" s="106">
        <v>56.041301878372344</v>
      </c>
      <c r="BE83" s="106">
        <v>48217.936136151562</v>
      </c>
      <c r="BF83" s="106">
        <v>57.039464796194302</v>
      </c>
      <c r="BG83" s="106">
        <v>49076.755510645577</v>
      </c>
      <c r="BH83" s="106">
        <v>6.0802211934398347</v>
      </c>
      <c r="BI83" s="106">
        <v>5231.4223148356332</v>
      </c>
      <c r="BJ83" s="106">
        <v>4.0684830348209422</v>
      </c>
      <c r="BK83" s="106">
        <v>3500.5228031599386</v>
      </c>
      <c r="BL83" s="106">
        <v>6</v>
      </c>
      <c r="BM83" s="106">
        <v>5162.3999999999996</v>
      </c>
      <c r="BN83" s="106">
        <v>5.1700959676026548</v>
      </c>
      <c r="BO83" s="106">
        <v>4448.3505705253237</v>
      </c>
      <c r="BP83" s="106">
        <v>3.0235556474480152</v>
      </c>
      <c r="BQ83" s="106">
        <v>2601.4672790642721</v>
      </c>
      <c r="BR83" s="106">
        <v>4</v>
      </c>
      <c r="BS83" s="106">
        <v>3441.6</v>
      </c>
      <c r="BT83" s="106">
        <v>3.0431582035516995</v>
      </c>
      <c r="BU83" s="106">
        <v>2618.3333183358823</v>
      </c>
      <c r="BV83" s="106">
        <v>4</v>
      </c>
      <c r="BW83" s="106">
        <v>3441.6</v>
      </c>
      <c r="BX83" s="106">
        <v>3.0185251946087717</v>
      </c>
      <c r="BY83" s="106">
        <v>2597.1390774413871</v>
      </c>
      <c r="BZ83" s="106">
        <v>5.0220348354009205</v>
      </c>
      <c r="CA83" s="106">
        <v>4320.9587723789518</v>
      </c>
      <c r="CB83" s="106">
        <v>3</v>
      </c>
      <c r="CC83" s="106">
        <v>2581.1999999999998</v>
      </c>
      <c r="CD83" s="106">
        <v>5.0325662731120513</v>
      </c>
      <c r="CE83" s="106">
        <v>4330.0200213856087</v>
      </c>
      <c r="CF83" s="106">
        <v>19.054194197069808</v>
      </c>
      <c r="CG83" s="106">
        <v>16394.228687158862</v>
      </c>
      <c r="CH83" s="106">
        <v>25</v>
      </c>
      <c r="CI83" s="106">
        <v>21510</v>
      </c>
      <c r="CJ83" s="106">
        <v>23.035919753086421</v>
      </c>
      <c r="CK83" s="106">
        <v>19820.105355555555</v>
      </c>
      <c r="CL83" s="106">
        <v>25</v>
      </c>
      <c r="CM83" s="106">
        <v>21510</v>
      </c>
      <c r="CN83" s="106">
        <v>3.0381403352157683</v>
      </c>
      <c r="CO83" s="106">
        <v>2614.015944419647</v>
      </c>
      <c r="CP83" s="106">
        <v>5.1006798059263723</v>
      </c>
      <c r="CQ83" s="106">
        <v>4388.6249050190509</v>
      </c>
      <c r="CR83" s="106">
        <v>4.048248060634303</v>
      </c>
      <c r="CS83" s="106">
        <v>3483.1126313697541</v>
      </c>
      <c r="CT83" s="106">
        <v>3.0366591641991949</v>
      </c>
      <c r="CU83" s="106">
        <v>2612.7415448769871</v>
      </c>
    </row>
    <row r="84" spans="2:99" x14ac:dyDescent="0.2">
      <c r="C84" s="105" t="s">
        <v>250</v>
      </c>
      <c r="D84" s="106">
        <v>20.083212288170966</v>
      </c>
      <c r="E84" s="106">
        <v>15689.005439519156</v>
      </c>
      <c r="F84" s="106">
        <v>17</v>
      </c>
      <c r="G84" s="106">
        <v>13280.4</v>
      </c>
      <c r="H84" s="106">
        <v>12.139006460236132</v>
      </c>
      <c r="I84" s="106">
        <v>9482.991846736466</v>
      </c>
      <c r="J84" s="106">
        <v>16.036241169434515</v>
      </c>
      <c r="K84" s="106">
        <v>12527.511601562243</v>
      </c>
      <c r="L84" s="106">
        <v>16.05167336912919</v>
      </c>
      <c r="M84" s="106">
        <v>12539.567235963723</v>
      </c>
      <c r="N84" s="106">
        <v>21.042604102455098</v>
      </c>
      <c r="O84" s="106">
        <v>16438.482324837922</v>
      </c>
      <c r="P84" s="106">
        <v>12.046128632627562</v>
      </c>
      <c r="Q84" s="106">
        <v>9410.435687808651</v>
      </c>
      <c r="R84" s="106">
        <v>22.050448708895324</v>
      </c>
      <c r="S84" s="106">
        <v>17225.810531389026</v>
      </c>
      <c r="T84" s="106">
        <v>7.0238053090072317</v>
      </c>
      <c r="U84" s="106">
        <v>5486.996707396449</v>
      </c>
      <c r="V84" s="106">
        <v>7.0266752978558635</v>
      </c>
      <c r="W84" s="106">
        <v>5489.238742685</v>
      </c>
      <c r="X84" s="106">
        <v>5</v>
      </c>
      <c r="Y84" s="106">
        <v>3905.9999999999995</v>
      </c>
      <c r="Z84" s="106">
        <v>7.0481272402861634</v>
      </c>
      <c r="AA84" s="106">
        <v>5505.9970001115507</v>
      </c>
      <c r="AB84" s="106">
        <v>9</v>
      </c>
      <c r="AC84" s="106">
        <v>7030.7999999999993</v>
      </c>
      <c r="AD84" s="106">
        <v>12.059550556689596</v>
      </c>
      <c r="AE84" s="106">
        <v>9420.9208948859105</v>
      </c>
      <c r="AF84" s="106">
        <v>10.068055521177969</v>
      </c>
      <c r="AG84" s="106">
        <v>7865.1649731442294</v>
      </c>
      <c r="AH84" s="106">
        <v>11.065765398286812</v>
      </c>
      <c r="AI84" s="106">
        <v>8644.5759291416562</v>
      </c>
      <c r="AJ84" s="106">
        <v>5.0242351420829365</v>
      </c>
      <c r="AK84" s="106">
        <v>3924.9324929951895</v>
      </c>
      <c r="AL84" s="106">
        <v>4.0497420615254356</v>
      </c>
      <c r="AM84" s="106">
        <v>3163.6584984636702</v>
      </c>
      <c r="AN84" s="106">
        <v>6.0205585293018782</v>
      </c>
      <c r="AO84" s="106">
        <v>4703.260323090627</v>
      </c>
      <c r="AP84" s="106">
        <v>3</v>
      </c>
      <c r="AQ84" s="106">
        <v>2343.6</v>
      </c>
      <c r="AR84" s="106">
        <v>42</v>
      </c>
      <c r="AS84" s="106">
        <v>32810.399999999994</v>
      </c>
      <c r="AT84" s="106">
        <v>43.289707356730624</v>
      </c>
      <c r="AU84" s="106">
        <v>33817.919387077964</v>
      </c>
      <c r="AV84" s="106">
        <v>31</v>
      </c>
      <c r="AW84" s="106">
        <v>24217.199999999997</v>
      </c>
      <c r="AX84" s="106">
        <v>40.079065227508544</v>
      </c>
      <c r="AY84" s="106">
        <v>31309.76575572967</v>
      </c>
      <c r="AZ84" s="106">
        <v>61.05937088334872</v>
      </c>
      <c r="BA84" s="106">
        <v>47699.580534072018</v>
      </c>
      <c r="BB84" s="106">
        <v>69.042291426374476</v>
      </c>
      <c r="BC84" s="106">
        <v>53935.838062283736</v>
      </c>
      <c r="BD84" s="106">
        <v>58.044743701570042</v>
      </c>
      <c r="BE84" s="106">
        <v>45344.553779666516</v>
      </c>
      <c r="BF84" s="106">
        <v>57.039464796194302</v>
      </c>
      <c r="BG84" s="106">
        <v>44559.229898786987</v>
      </c>
      <c r="BH84" s="106">
        <v>6.0802211934398347</v>
      </c>
      <c r="BI84" s="106">
        <v>4749.8687963151988</v>
      </c>
      <c r="BJ84" s="106">
        <v>3.0664077913415202</v>
      </c>
      <c r="BK84" s="106">
        <v>2395.4777665959955</v>
      </c>
      <c r="BL84" s="106">
        <v>6</v>
      </c>
      <c r="BM84" s="106">
        <v>4687.2</v>
      </c>
      <c r="BN84" s="106">
        <v>5.180301725658814</v>
      </c>
      <c r="BO84" s="106">
        <v>4046.851708084665</v>
      </c>
      <c r="BP84" s="106">
        <v>3.0206111915170131</v>
      </c>
      <c r="BQ84" s="106">
        <v>2359.7014628130905</v>
      </c>
      <c r="BR84" s="106">
        <v>4</v>
      </c>
      <c r="BS84" s="106">
        <v>3124.7999999999997</v>
      </c>
      <c r="BT84" s="106">
        <v>3.0383628476015105</v>
      </c>
      <c r="BU84" s="106">
        <v>2373.5690565462996</v>
      </c>
      <c r="BV84" s="106">
        <v>4</v>
      </c>
      <c r="BW84" s="106">
        <v>3124.7999999999997</v>
      </c>
      <c r="BX84" s="106">
        <v>4.0154376621739765</v>
      </c>
      <c r="BY84" s="106">
        <v>3136.8599016903099</v>
      </c>
      <c r="BZ84" s="106">
        <v>5.0220348354009205</v>
      </c>
      <c r="CA84" s="106">
        <v>3923.2136134151988</v>
      </c>
      <c r="CB84" s="106">
        <v>3</v>
      </c>
      <c r="CC84" s="106">
        <v>2343.6</v>
      </c>
      <c r="CD84" s="106">
        <v>6.0358229004232564</v>
      </c>
      <c r="CE84" s="106">
        <v>4715.1848498106474</v>
      </c>
      <c r="CF84" s="106">
        <v>19.060215774522007</v>
      </c>
      <c r="CG84" s="106">
        <v>14889.84056305659</v>
      </c>
      <c r="CH84" s="106">
        <v>25</v>
      </c>
      <c r="CI84" s="106">
        <v>19530</v>
      </c>
      <c r="CJ84" s="106">
        <v>22.035919753086421</v>
      </c>
      <c r="CK84" s="106">
        <v>17214.460511111112</v>
      </c>
      <c r="CL84" s="106">
        <v>25</v>
      </c>
      <c r="CM84" s="106">
        <v>19530</v>
      </c>
      <c r="CN84" s="106">
        <v>3.0381403352157683</v>
      </c>
      <c r="CO84" s="106">
        <v>2373.3952298705581</v>
      </c>
      <c r="CP84" s="106">
        <v>4.0950864833749074</v>
      </c>
      <c r="CQ84" s="106">
        <v>3199.0815608124776</v>
      </c>
      <c r="CR84" s="106">
        <v>4.048248060634303</v>
      </c>
      <c r="CS84" s="106">
        <v>3162.4913849675172</v>
      </c>
      <c r="CT84" s="106">
        <v>3.0422990356144552</v>
      </c>
      <c r="CU84" s="106">
        <v>2376.6440066220121</v>
      </c>
    </row>
    <row r="85" spans="2:99" x14ac:dyDescent="0.2">
      <c r="C85" s="105" t="s">
        <v>251</v>
      </c>
      <c r="D85" s="106">
        <v>23.094559418376097</v>
      </c>
      <c r="E85" s="106">
        <v>3464.1839127564144</v>
      </c>
      <c r="F85" s="106">
        <v>18</v>
      </c>
      <c r="G85" s="106">
        <v>2700</v>
      </c>
      <c r="H85" s="106">
        <v>14.13321452439296</v>
      </c>
      <c r="I85" s="106">
        <v>2119.9821786589441</v>
      </c>
      <c r="J85" s="106">
        <v>20.036241169434515</v>
      </c>
      <c r="K85" s="106">
        <v>3005.4361754151773</v>
      </c>
      <c r="L85" s="106">
        <v>18.060900756473689</v>
      </c>
      <c r="M85" s="106">
        <v>2709.1351134710535</v>
      </c>
      <c r="N85" s="106">
        <v>23.049331066000637</v>
      </c>
      <c r="O85" s="106">
        <v>3457.3996599000957</v>
      </c>
      <c r="P85" s="106">
        <v>15.055672487653954</v>
      </c>
      <c r="Q85" s="106">
        <v>2258.3508731480929</v>
      </c>
      <c r="R85" s="106">
        <v>23.05350620640413</v>
      </c>
      <c r="S85" s="106">
        <v>3458.0259309606195</v>
      </c>
      <c r="T85" s="106">
        <v>8.0238053090072317</v>
      </c>
      <c r="U85" s="106">
        <v>1203.5707963510847</v>
      </c>
      <c r="V85" s="106">
        <v>7.0284536510462541</v>
      </c>
      <c r="W85" s="106">
        <v>1054.2680476569381</v>
      </c>
      <c r="X85" s="106">
        <v>5</v>
      </c>
      <c r="Y85" s="106">
        <v>750</v>
      </c>
      <c r="Z85" s="106">
        <v>8.0481272402861634</v>
      </c>
      <c r="AA85" s="106">
        <v>1207.2190860429246</v>
      </c>
      <c r="AB85" s="106">
        <v>10</v>
      </c>
      <c r="AC85" s="106">
        <v>1500</v>
      </c>
      <c r="AD85" s="106">
        <v>12.064131368742641</v>
      </c>
      <c r="AE85" s="106">
        <v>1809.6197053113963</v>
      </c>
      <c r="AF85" s="106">
        <v>11.068055521177969</v>
      </c>
      <c r="AG85" s="106">
        <v>1660.2083281766954</v>
      </c>
      <c r="AH85" s="106">
        <v>13.065765398286812</v>
      </c>
      <c r="AI85" s="106">
        <v>1959.8648097430219</v>
      </c>
      <c r="AJ85" s="106">
        <v>6.0260993837816237</v>
      </c>
      <c r="AK85" s="106">
        <v>903.91490756724352</v>
      </c>
      <c r="AL85" s="106">
        <v>4.0497420615254356</v>
      </c>
      <c r="AM85" s="106">
        <v>607.46130922881537</v>
      </c>
      <c r="AN85" s="106">
        <v>6.0226143822320664</v>
      </c>
      <c r="AO85" s="106">
        <v>903.39215733481001</v>
      </c>
      <c r="AP85" s="106">
        <v>3</v>
      </c>
      <c r="AQ85" s="106">
        <v>450</v>
      </c>
      <c r="AR85" s="106">
        <v>53</v>
      </c>
      <c r="AS85" s="106">
        <v>7950</v>
      </c>
      <c r="AT85" s="106">
        <v>48.318678092403687</v>
      </c>
      <c r="AU85" s="106">
        <v>7247.8017138605528</v>
      </c>
      <c r="AV85" s="106">
        <v>38</v>
      </c>
      <c r="AW85" s="106">
        <v>5700</v>
      </c>
      <c r="AX85" s="106">
        <v>43.085475921630859</v>
      </c>
      <c r="AY85" s="106">
        <v>6462.8213882446289</v>
      </c>
      <c r="AZ85" s="106">
        <v>71.06679224376731</v>
      </c>
      <c r="BA85" s="106">
        <v>10660.018836565096</v>
      </c>
      <c r="BB85" s="106">
        <v>77.046136101499428</v>
      </c>
      <c r="BC85" s="106">
        <v>11556.920415224915</v>
      </c>
      <c r="BD85" s="106">
        <v>61.044743701570042</v>
      </c>
      <c r="BE85" s="106">
        <v>9156.7115552355062</v>
      </c>
      <c r="BF85" s="106">
        <v>68.039464796194309</v>
      </c>
      <c r="BG85" s="106">
        <v>10205.919719429146</v>
      </c>
      <c r="BH85" s="106">
        <v>7.084443361515615</v>
      </c>
      <c r="BI85" s="106">
        <v>1062.6665042273423</v>
      </c>
      <c r="BJ85" s="106">
        <v>4.0830097391768998</v>
      </c>
      <c r="BK85" s="106">
        <v>612.45146087653495</v>
      </c>
      <c r="BL85" s="106">
        <v>7</v>
      </c>
      <c r="BM85" s="106">
        <v>1050</v>
      </c>
      <c r="BN85" s="106">
        <v>5.2109189998272916</v>
      </c>
      <c r="BO85" s="106">
        <v>781.63784997409368</v>
      </c>
      <c r="BP85" s="106">
        <v>3.0235556474480152</v>
      </c>
      <c r="BQ85" s="106">
        <v>453.53334711720225</v>
      </c>
      <c r="BR85" s="106">
        <v>4</v>
      </c>
      <c r="BS85" s="106">
        <v>600</v>
      </c>
      <c r="BT85" s="106">
        <v>3.0431582035516995</v>
      </c>
      <c r="BU85" s="106">
        <v>456.47373053275493</v>
      </c>
      <c r="BV85" s="106">
        <v>5</v>
      </c>
      <c r="BW85" s="106">
        <v>750</v>
      </c>
      <c r="BX85" s="106">
        <v>4.0169814283913743</v>
      </c>
      <c r="BY85" s="106">
        <v>602.54721425870616</v>
      </c>
      <c r="BZ85" s="106">
        <v>6.0220348354009205</v>
      </c>
      <c r="CA85" s="106">
        <v>903.3052253101381</v>
      </c>
      <c r="CB85" s="106">
        <v>3</v>
      </c>
      <c r="CC85" s="106">
        <v>450</v>
      </c>
      <c r="CD85" s="106">
        <v>6.0374512140788594</v>
      </c>
      <c r="CE85" s="106">
        <v>905.61768211182891</v>
      </c>
      <c r="CF85" s="106">
        <v>22.060215774522007</v>
      </c>
      <c r="CG85" s="106">
        <v>3309.0323661783009</v>
      </c>
      <c r="CH85" s="106">
        <v>29</v>
      </c>
      <c r="CI85" s="106">
        <v>4350</v>
      </c>
      <c r="CJ85" s="106">
        <v>28.043901920438959</v>
      </c>
      <c r="CK85" s="106">
        <v>4206.585288065844</v>
      </c>
      <c r="CL85" s="106">
        <v>27</v>
      </c>
      <c r="CM85" s="106">
        <v>4050</v>
      </c>
      <c r="CN85" s="106">
        <v>3.0349619739477878</v>
      </c>
      <c r="CO85" s="106">
        <v>455.24429609216816</v>
      </c>
      <c r="CP85" s="106">
        <v>4.106273128477838</v>
      </c>
      <c r="CQ85" s="106">
        <v>615.94096927167573</v>
      </c>
      <c r="CR85" s="106">
        <v>4.048248060634303</v>
      </c>
      <c r="CS85" s="106">
        <v>607.23720909514543</v>
      </c>
      <c r="CT85" s="106">
        <v>4.0451189713220854</v>
      </c>
      <c r="CU85" s="106">
        <v>606.76784569831284</v>
      </c>
    </row>
    <row r="86" spans="2:99" x14ac:dyDescent="0.2">
      <c r="C86" s="105" t="s">
        <v>252</v>
      </c>
      <c r="D86" s="106">
        <v>21.086994664906008</v>
      </c>
      <c r="E86" s="106">
        <v>11386.977119049245</v>
      </c>
      <c r="F86" s="106">
        <v>16</v>
      </c>
      <c r="G86" s="106">
        <v>8640</v>
      </c>
      <c r="H86" s="106">
        <v>12.127422588549788</v>
      </c>
      <c r="I86" s="106">
        <v>6548.8081978168857</v>
      </c>
      <c r="J86" s="106">
        <v>16.036241169434515</v>
      </c>
      <c r="K86" s="106">
        <v>8659.5702314946375</v>
      </c>
      <c r="L86" s="106">
        <v>17.05720980153589</v>
      </c>
      <c r="M86" s="106">
        <v>9210.8932928293816</v>
      </c>
      <c r="N86" s="106">
        <v>22.044846423636944</v>
      </c>
      <c r="O86" s="106">
        <v>11904.21706876395</v>
      </c>
      <c r="P86" s="106">
        <v>14.049309917636359</v>
      </c>
      <c r="Q86" s="106">
        <v>7586.6273555236339</v>
      </c>
      <c r="R86" s="106">
        <v>22.056563703912939</v>
      </c>
      <c r="S86" s="106">
        <v>11910.544400112987</v>
      </c>
      <c r="T86" s="106">
        <v>7.0238053090072317</v>
      </c>
      <c r="U86" s="106">
        <v>3792.854866863905</v>
      </c>
      <c r="V86" s="106">
        <v>8.024896944665473</v>
      </c>
      <c r="W86" s="106">
        <v>4333.4443501193555</v>
      </c>
      <c r="X86" s="106">
        <v>5</v>
      </c>
      <c r="Y86" s="106">
        <v>2700</v>
      </c>
      <c r="Z86" s="106">
        <v>8.0481272402861634</v>
      </c>
      <c r="AA86" s="106">
        <v>4345.9887097545279</v>
      </c>
      <c r="AB86" s="106">
        <v>9</v>
      </c>
      <c r="AC86" s="106">
        <v>4860</v>
      </c>
      <c r="AD86" s="106">
        <v>12.05496974463655</v>
      </c>
      <c r="AE86" s="106">
        <v>6509.6836621037364</v>
      </c>
      <c r="AF86" s="106">
        <v>12.060891782106603</v>
      </c>
      <c r="AG86" s="106">
        <v>6512.8815623375658</v>
      </c>
      <c r="AH86" s="106">
        <v>12.057544723500962</v>
      </c>
      <c r="AI86" s="106">
        <v>6511.0741506905197</v>
      </c>
      <c r="AJ86" s="106">
        <v>5.0260993837816237</v>
      </c>
      <c r="AK86" s="106">
        <v>2714.0936672420767</v>
      </c>
      <c r="AL86" s="106">
        <v>4.0414517179378633</v>
      </c>
      <c r="AM86" s="106">
        <v>2182.383927686446</v>
      </c>
      <c r="AN86" s="106">
        <v>5.0226143822320664</v>
      </c>
      <c r="AO86" s="106">
        <v>2712.2117664053158</v>
      </c>
      <c r="AP86" s="106">
        <v>3</v>
      </c>
      <c r="AQ86" s="106">
        <v>1620</v>
      </c>
      <c r="AR86" s="106">
        <v>41</v>
      </c>
      <c r="AS86" s="106">
        <v>22140</v>
      </c>
      <c r="AT86" s="106">
        <v>39.256597944532835</v>
      </c>
      <c r="AU86" s="106">
        <v>21198.562890047731</v>
      </c>
      <c r="AV86" s="106">
        <v>32</v>
      </c>
      <c r="AW86" s="106">
        <v>17280</v>
      </c>
      <c r="AX86" s="106">
        <v>44.092955064773562</v>
      </c>
      <c r="AY86" s="106">
        <v>23810.195734977722</v>
      </c>
      <c r="AZ86" s="106">
        <v>62.05194952293013</v>
      </c>
      <c r="BA86" s="106">
        <v>33508.052742382271</v>
      </c>
      <c r="BB86" s="106">
        <v>73.042291426374476</v>
      </c>
      <c r="BC86" s="106">
        <v>39442.837370242218</v>
      </c>
      <c r="BD86" s="106">
        <v>62.044743701570042</v>
      </c>
      <c r="BE86" s="106">
        <v>33504.161598847822</v>
      </c>
      <c r="BF86" s="106">
        <v>63.04305250493924</v>
      </c>
      <c r="BG86" s="106">
        <v>34043.248352667193</v>
      </c>
      <c r="BH86" s="106">
        <v>7.0781101094019441</v>
      </c>
      <c r="BI86" s="106">
        <v>3822.1794590770496</v>
      </c>
      <c r="BJ86" s="106">
        <v>4.07470876525921</v>
      </c>
      <c r="BK86" s="106">
        <v>2200.3427332399733</v>
      </c>
      <c r="BL86" s="106">
        <v>7</v>
      </c>
      <c r="BM86" s="106">
        <v>3780</v>
      </c>
      <c r="BN86" s="106">
        <v>5.1871055643629198</v>
      </c>
      <c r="BO86" s="106">
        <v>2801.0370047559768</v>
      </c>
      <c r="BP86" s="106">
        <v>3.0235556474480152</v>
      </c>
      <c r="BQ86" s="106">
        <v>1632.7200496219282</v>
      </c>
      <c r="BR86" s="106">
        <v>4</v>
      </c>
      <c r="BS86" s="106">
        <v>2160</v>
      </c>
      <c r="BT86" s="106">
        <v>3.0383628476015105</v>
      </c>
      <c r="BU86" s="106">
        <v>1640.7159377048156</v>
      </c>
      <c r="BV86" s="106">
        <v>4</v>
      </c>
      <c r="BW86" s="106">
        <v>2160</v>
      </c>
      <c r="BX86" s="106">
        <v>4.0200689608261699</v>
      </c>
      <c r="BY86" s="106">
        <v>2170.8372388461316</v>
      </c>
      <c r="BZ86" s="106">
        <v>6.0238710716843311</v>
      </c>
      <c r="CA86" s="106">
        <v>3252.8903787095387</v>
      </c>
      <c r="CB86" s="106">
        <v>3</v>
      </c>
      <c r="CC86" s="106">
        <v>1620</v>
      </c>
      <c r="CD86" s="106">
        <v>5.0325662731120513</v>
      </c>
      <c r="CE86" s="106">
        <v>2717.5857874805079</v>
      </c>
      <c r="CF86" s="106">
        <v>23.060215774522007</v>
      </c>
      <c r="CG86" s="106">
        <v>12452.516518241884</v>
      </c>
      <c r="CH86" s="106">
        <v>25</v>
      </c>
      <c r="CI86" s="106">
        <v>13500</v>
      </c>
      <c r="CJ86" s="106">
        <v>23.035919753086421</v>
      </c>
      <c r="CK86" s="106">
        <v>12439.396666666667</v>
      </c>
      <c r="CL86" s="106">
        <v>24</v>
      </c>
      <c r="CM86" s="106">
        <v>12960</v>
      </c>
      <c r="CN86" s="106">
        <v>3.0317836126798072</v>
      </c>
      <c r="CO86" s="106">
        <v>1637.1631508470959</v>
      </c>
      <c r="CP86" s="106">
        <v>4.1118664510293028</v>
      </c>
      <c r="CQ86" s="106">
        <v>2220.4078835558234</v>
      </c>
      <c r="CR86" s="106">
        <v>4.048248060634303</v>
      </c>
      <c r="CS86" s="106">
        <v>2186.0539527425235</v>
      </c>
      <c r="CT86" s="106">
        <v>3.0422990356144552</v>
      </c>
      <c r="CU86" s="106">
        <v>1642.8414792318058</v>
      </c>
    </row>
    <row r="87" spans="2:99" x14ac:dyDescent="0.2">
      <c r="B87" s="105" t="s">
        <v>131</v>
      </c>
      <c r="C87" s="105" t="s">
        <v>253</v>
      </c>
      <c r="D87" s="106">
        <v>3.0453885208205267</v>
      </c>
      <c r="E87" s="106">
        <v>5953.1254804999653</v>
      </c>
      <c r="F87" s="106">
        <v>7</v>
      </c>
      <c r="G87" s="106">
        <v>13683.6</v>
      </c>
      <c r="H87" s="106">
        <v>4.0579193584317217</v>
      </c>
      <c r="I87" s="106">
        <v>7932.4207618623295</v>
      </c>
      <c r="J87" s="106">
        <v>4.0306656049061269</v>
      </c>
      <c r="K87" s="106">
        <v>7879.1451244704967</v>
      </c>
      <c r="L87" s="106">
        <v>4.0793555311626868</v>
      </c>
      <c r="M87" s="106">
        <v>7974.3241923168198</v>
      </c>
      <c r="N87" s="106">
        <v>9.1031467743649692</v>
      </c>
      <c r="O87" s="106">
        <v>17794.831314528641</v>
      </c>
      <c r="P87" s="106">
        <v>7.0572631301583524</v>
      </c>
      <c r="Q87" s="106">
        <v>13795.537966833546</v>
      </c>
      <c r="R87" s="106">
        <v>6.0535062064041298</v>
      </c>
      <c r="S87" s="106">
        <v>11833.393932278792</v>
      </c>
      <c r="T87" s="106">
        <v>5.0882196745562132</v>
      </c>
      <c r="U87" s="106">
        <v>9946.451819822485</v>
      </c>
      <c r="V87" s="106">
        <v>7.0746908339964181</v>
      </c>
      <c r="W87" s="106">
        <v>13829.605642296197</v>
      </c>
      <c r="X87" s="106">
        <v>7</v>
      </c>
      <c r="Y87" s="106">
        <v>13683.6</v>
      </c>
      <c r="Z87" s="106">
        <v>7.24384468411656</v>
      </c>
      <c r="AA87" s="106">
        <v>14160.267588511051</v>
      </c>
      <c r="AB87" s="106">
        <v>19</v>
      </c>
      <c r="AC87" s="106">
        <v>37141.199999999997</v>
      </c>
      <c r="AD87" s="106">
        <v>23.077873804901778</v>
      </c>
      <c r="AE87" s="106">
        <v>45112.627713821996</v>
      </c>
      <c r="AF87" s="106">
        <v>20.085964868856383</v>
      </c>
      <c r="AG87" s="106">
        <v>39264.044125640459</v>
      </c>
      <c r="AH87" s="106">
        <v>16.082206747858518</v>
      </c>
      <c r="AI87" s="106">
        <v>31437.497750713828</v>
      </c>
      <c r="AJ87" s="106">
        <v>2.1472750941963072</v>
      </c>
      <c r="AK87" s="106">
        <v>4197.493354134941</v>
      </c>
      <c r="AL87" s="106">
        <v>2.1865327307203843</v>
      </c>
      <c r="AM87" s="106">
        <v>4274.2341820122074</v>
      </c>
      <c r="AN87" s="106">
        <v>2.1480214109735254</v>
      </c>
      <c r="AO87" s="106">
        <v>4198.9522541710476</v>
      </c>
      <c r="AP87" s="106">
        <v>3</v>
      </c>
      <c r="AQ87" s="106">
        <v>5864.4</v>
      </c>
      <c r="AR87" s="106">
        <v>33</v>
      </c>
      <c r="AS87" s="106">
        <v>64508.4</v>
      </c>
      <c r="AT87" s="106">
        <v>24.057941471346126</v>
      </c>
      <c r="AU87" s="106">
        <v>47028.463988187403</v>
      </c>
      <c r="AV87" s="106">
        <v>38</v>
      </c>
      <c r="AW87" s="106">
        <v>74282.399999999994</v>
      </c>
      <c r="AX87" s="106">
        <v>42.019232082366941</v>
      </c>
      <c r="AY87" s="106">
        <v>82139.194874610897</v>
      </c>
      <c r="AZ87" s="106">
        <v>31.22264081255771</v>
      </c>
      <c r="BA87" s="106">
        <v>61034.018260387813</v>
      </c>
      <c r="BB87" s="106">
        <v>22.088427527873893</v>
      </c>
      <c r="BC87" s="106">
        <v>43178.458131487889</v>
      </c>
      <c r="BD87" s="106">
        <v>27.106696519128565</v>
      </c>
      <c r="BE87" s="106">
        <v>52988.17035559252</v>
      </c>
      <c r="BF87" s="106">
        <v>27.086105009878477</v>
      </c>
      <c r="BG87" s="106">
        <v>52947.918073310444</v>
      </c>
      <c r="BH87" s="106">
        <v>5.0379995126820267</v>
      </c>
      <c r="BI87" s="106">
        <v>9848.2814473908256</v>
      </c>
      <c r="BJ87" s="106">
        <v>4.0581068174238304</v>
      </c>
      <c r="BK87" s="106">
        <v>7932.7872067001035</v>
      </c>
      <c r="BL87" s="106">
        <v>3</v>
      </c>
      <c r="BM87" s="106">
        <v>5864.4</v>
      </c>
      <c r="BN87" s="106">
        <v>5.0476268709287435</v>
      </c>
      <c r="BO87" s="106">
        <v>9867.1010072915069</v>
      </c>
      <c r="BP87" s="106">
        <v>12.097167045723062</v>
      </c>
      <c r="BQ87" s="106">
        <v>23647.54214097944</v>
      </c>
      <c r="BR87" s="106">
        <v>10</v>
      </c>
      <c r="BS87" s="106">
        <v>19548</v>
      </c>
      <c r="BT87" s="106">
        <v>18.139065322555474</v>
      </c>
      <c r="BU87" s="106">
        <v>35458.244892531438</v>
      </c>
      <c r="BV87" s="106">
        <v>14</v>
      </c>
      <c r="BW87" s="106">
        <v>27367.200000000001</v>
      </c>
      <c r="BX87" s="106">
        <v>6.0200689608261699</v>
      </c>
      <c r="BY87" s="106">
        <v>11768.030804622997</v>
      </c>
      <c r="BZ87" s="106">
        <v>8.0385609619516121</v>
      </c>
      <c r="CA87" s="106">
        <v>15713.77896842301</v>
      </c>
      <c r="CB87" s="106">
        <v>8</v>
      </c>
      <c r="CC87" s="106">
        <v>15638.4</v>
      </c>
      <c r="CD87" s="106">
        <v>8.024424704834038</v>
      </c>
      <c r="CE87" s="106">
        <v>15686.145413009577</v>
      </c>
      <c r="CF87" s="106">
        <v>10.276992562801238</v>
      </c>
      <c r="CG87" s="106">
        <v>20089.465061763862</v>
      </c>
      <c r="CH87" s="106">
        <v>8</v>
      </c>
      <c r="CI87" s="106">
        <v>15638.4</v>
      </c>
      <c r="CJ87" s="106">
        <v>8.1197325102880651</v>
      </c>
      <c r="CK87" s="106">
        <v>15872.45311111111</v>
      </c>
      <c r="CL87" s="106">
        <v>9</v>
      </c>
      <c r="CM87" s="106">
        <v>17593.2</v>
      </c>
      <c r="CN87" s="106">
        <v>31.034961973947787</v>
      </c>
      <c r="CO87" s="106">
        <v>60667.143666673132</v>
      </c>
      <c r="CP87" s="106">
        <v>21.067119870617582</v>
      </c>
      <c r="CQ87" s="106">
        <v>41182.005923083248</v>
      </c>
      <c r="CR87" s="106">
        <v>24.019866848496477</v>
      </c>
      <c r="CS87" s="106">
        <v>46954.035715440914</v>
      </c>
      <c r="CT87" s="106">
        <v>19.033839228491566</v>
      </c>
      <c r="CU87" s="106">
        <v>37207.348923855308</v>
      </c>
    </row>
    <row r="88" spans="2:99" x14ac:dyDescent="0.2">
      <c r="C88" s="105" t="s">
        <v>254</v>
      </c>
      <c r="D88" s="106">
        <v>3.0453885208205267</v>
      </c>
      <c r="E88" s="106">
        <v>5763.0932368007643</v>
      </c>
      <c r="F88" s="106">
        <v>6</v>
      </c>
      <c r="G88" s="106">
        <v>11354.4</v>
      </c>
      <c r="H88" s="106">
        <v>4.0521274225885495</v>
      </c>
      <c r="I88" s="106">
        <v>7668.2459345065708</v>
      </c>
      <c r="J88" s="106">
        <v>4.0278778226419334</v>
      </c>
      <c r="K88" s="106">
        <v>7622.3559915675942</v>
      </c>
      <c r="L88" s="106">
        <v>5.0830464861004856</v>
      </c>
      <c r="M88" s="106">
        <v>9619.1571702965575</v>
      </c>
      <c r="N88" s="106">
        <v>10.089692847273886</v>
      </c>
      <c r="O88" s="106">
        <v>19093.7347441811</v>
      </c>
      <c r="P88" s="106">
        <v>6.0699882701935417</v>
      </c>
      <c r="Q88" s="106">
        <v>11486.845802514257</v>
      </c>
      <c r="R88" s="106">
        <v>5.0535062064041298</v>
      </c>
      <c r="S88" s="106">
        <v>9563.2551449991752</v>
      </c>
      <c r="T88" s="106">
        <v>5.0798178007889545</v>
      </c>
      <c r="U88" s="106">
        <v>9613.0472062130175</v>
      </c>
      <c r="V88" s="106">
        <v>7.0675774212348541</v>
      </c>
      <c r="W88" s="106">
        <v>13374.683511944837</v>
      </c>
      <c r="X88" s="106">
        <v>7</v>
      </c>
      <c r="Y88" s="106">
        <v>13246.8</v>
      </c>
      <c r="Z88" s="106">
        <v>7.2245937880020943</v>
      </c>
      <c r="AA88" s="106">
        <v>13671.821284415162</v>
      </c>
      <c r="AB88" s="106">
        <v>17</v>
      </c>
      <c r="AC88" s="106">
        <v>32170.799999999999</v>
      </c>
      <c r="AD88" s="106">
        <v>23.087035429007869</v>
      </c>
      <c r="AE88" s="106">
        <v>43689.90584585449</v>
      </c>
      <c r="AF88" s="106">
        <v>22.078801129785017</v>
      </c>
      <c r="AG88" s="106">
        <v>41781.923258005161</v>
      </c>
      <c r="AH88" s="106">
        <v>19.078096410465591</v>
      </c>
      <c r="AI88" s="106">
        <v>36103.389647165081</v>
      </c>
      <c r="AJ88" s="106">
        <v>2.1249041938120583</v>
      </c>
      <c r="AK88" s="106">
        <v>4021.168696369939</v>
      </c>
      <c r="AL88" s="106">
        <v>2.1865327307203843</v>
      </c>
      <c r="AM88" s="106">
        <v>4137.7945396152554</v>
      </c>
      <c r="AN88" s="106">
        <v>2.1295187346018345</v>
      </c>
      <c r="AO88" s="106">
        <v>4029.9012533605114</v>
      </c>
      <c r="AP88" s="106">
        <v>3</v>
      </c>
      <c r="AQ88" s="106">
        <v>5677.2</v>
      </c>
      <c r="AR88" s="106">
        <v>39</v>
      </c>
      <c r="AS88" s="106">
        <v>73803.599999999991</v>
      </c>
      <c r="AT88" s="106">
        <v>25.070357500920295</v>
      </c>
      <c r="AU88" s="106">
        <v>47443.144534741565</v>
      </c>
      <c r="AV88" s="106">
        <v>40</v>
      </c>
      <c r="AW88" s="106">
        <v>75696</v>
      </c>
      <c r="AX88" s="106">
        <v>43.01816363334656</v>
      </c>
      <c r="AY88" s="106">
        <v>81407.572859745022</v>
      </c>
      <c r="AZ88" s="106">
        <v>30.22264081255771</v>
      </c>
      <c r="BA88" s="106">
        <v>57193.325473684206</v>
      </c>
      <c r="BB88" s="106">
        <v>23.084582852748945</v>
      </c>
      <c r="BC88" s="106">
        <v>43685.264590542101</v>
      </c>
      <c r="BD88" s="106">
        <v>29.092929226337784</v>
      </c>
      <c r="BE88" s="106">
        <v>55055.459267921615</v>
      </c>
      <c r="BF88" s="106">
        <v>30.086105009878477</v>
      </c>
      <c r="BG88" s="106">
        <v>56934.945120694028</v>
      </c>
      <c r="BH88" s="106">
        <v>5.0379995126820267</v>
      </c>
      <c r="BI88" s="106">
        <v>9533.9102777994667</v>
      </c>
      <c r="BJ88" s="106">
        <v>4.0601820609032524</v>
      </c>
      <c r="BK88" s="106">
        <v>7683.488532053314</v>
      </c>
      <c r="BL88" s="106">
        <v>3</v>
      </c>
      <c r="BM88" s="106">
        <v>5677.2</v>
      </c>
      <c r="BN88" s="106">
        <v>4.0476268709287435</v>
      </c>
      <c r="BO88" s="106">
        <v>7659.7290905455538</v>
      </c>
      <c r="BP88" s="106">
        <v>13.103055957585067</v>
      </c>
      <c r="BQ88" s="106">
        <v>24796.223094133977</v>
      </c>
      <c r="BR88" s="106">
        <v>10</v>
      </c>
      <c r="BS88" s="106">
        <v>18924</v>
      </c>
      <c r="BT88" s="106">
        <v>19.15824674635623</v>
      </c>
      <c r="BU88" s="106">
        <v>36255.066142804528</v>
      </c>
      <c r="BV88" s="106">
        <v>14</v>
      </c>
      <c r="BW88" s="106">
        <v>26493.599999999999</v>
      </c>
      <c r="BX88" s="106">
        <v>7.0200689608261699</v>
      </c>
      <c r="BY88" s="106">
        <v>13284.778501467443</v>
      </c>
      <c r="BZ88" s="106">
        <v>8.0403971982350217</v>
      </c>
      <c r="CA88" s="106">
        <v>15215.647657939953</v>
      </c>
      <c r="CB88" s="106">
        <v>8</v>
      </c>
      <c r="CC88" s="106">
        <v>15139.199999999999</v>
      </c>
      <c r="CD88" s="106">
        <v>9.024424704834038</v>
      </c>
      <c r="CE88" s="106">
        <v>17077.821311427932</v>
      </c>
      <c r="CF88" s="106">
        <v>11.240863098088033</v>
      </c>
      <c r="CG88" s="106">
        <v>21272.20932682179</v>
      </c>
      <c r="CH88" s="106">
        <v>8</v>
      </c>
      <c r="CI88" s="106">
        <v>15139.199999999999</v>
      </c>
      <c r="CJ88" s="106">
        <v>9.1277146776406042</v>
      </c>
      <c r="CK88" s="106">
        <v>17273.28725596708</v>
      </c>
      <c r="CL88" s="106">
        <v>10</v>
      </c>
      <c r="CM88" s="106">
        <v>18924</v>
      </c>
      <c r="CN88" s="106">
        <v>28.034961973947787</v>
      </c>
      <c r="CO88" s="106">
        <v>53053.362039498788</v>
      </c>
      <c r="CP88" s="106">
        <v>22.072713193169047</v>
      </c>
      <c r="CQ88" s="106">
        <v>41770.402446753105</v>
      </c>
      <c r="CR88" s="106">
        <v>22.022704969710261</v>
      </c>
      <c r="CS88" s="106">
        <v>41675.766884679695</v>
      </c>
      <c r="CT88" s="106">
        <v>22.033839228491566</v>
      </c>
      <c r="CU88" s="106">
        <v>41696.837355997435</v>
      </c>
    </row>
    <row r="89" spans="2:99" x14ac:dyDescent="0.2">
      <c r="C89" s="105" t="s">
        <v>255</v>
      </c>
      <c r="D89" s="106">
        <v>3.0453885208205267</v>
      </c>
      <c r="E89" s="106">
        <v>7301.6235175192942</v>
      </c>
      <c r="F89" s="106">
        <v>5</v>
      </c>
      <c r="G89" s="106">
        <v>11988</v>
      </c>
      <c r="H89" s="106">
        <v>4.0579193584317217</v>
      </c>
      <c r="I89" s="106">
        <v>9729.2674537758958</v>
      </c>
      <c r="J89" s="106">
        <v>4.0306656049061269</v>
      </c>
      <c r="K89" s="106">
        <v>9663.9238543229294</v>
      </c>
      <c r="L89" s="106">
        <v>4.0830464861004856</v>
      </c>
      <c r="M89" s="106">
        <v>9789.5122550745236</v>
      </c>
      <c r="N89" s="106">
        <v>9.0919351684557341</v>
      </c>
      <c r="O89" s="106">
        <v>21798.823759889467</v>
      </c>
      <c r="P89" s="106">
        <v>6.0604444151671499</v>
      </c>
      <c r="Q89" s="106">
        <v>14530.521529804759</v>
      </c>
      <c r="R89" s="106">
        <v>5.0565637039129374</v>
      </c>
      <c r="S89" s="106">
        <v>12123.617136501658</v>
      </c>
      <c r="T89" s="106">
        <v>5.0798178007889545</v>
      </c>
      <c r="U89" s="106">
        <v>12179.371159171596</v>
      </c>
      <c r="V89" s="106">
        <v>7.0729124808060275</v>
      </c>
      <c r="W89" s="106">
        <v>16958.014963980531</v>
      </c>
      <c r="X89" s="106">
        <v>6</v>
      </c>
      <c r="Y89" s="106">
        <v>14385.599999999999</v>
      </c>
      <c r="Z89" s="106">
        <v>7.218176822630606</v>
      </c>
      <c r="AA89" s="106">
        <v>17306.300749939139</v>
      </c>
      <c r="AB89" s="106">
        <v>16</v>
      </c>
      <c r="AC89" s="106">
        <v>38361.599999999999</v>
      </c>
      <c r="AD89" s="106">
        <v>19.082454616954823</v>
      </c>
      <c r="AE89" s="106">
        <v>45752.093189610881</v>
      </c>
      <c r="AF89" s="106">
        <v>19.085964868856383</v>
      </c>
      <c r="AG89" s="106">
        <v>45760.509369570063</v>
      </c>
      <c r="AH89" s="106">
        <v>17.073986073072664</v>
      </c>
      <c r="AI89" s="106">
        <v>40936.589008799019</v>
      </c>
      <c r="AJ89" s="106">
        <v>2.1379538857028701</v>
      </c>
      <c r="AK89" s="106">
        <v>5125.9582363612017</v>
      </c>
      <c r="AL89" s="106">
        <v>2.1782423871328116</v>
      </c>
      <c r="AM89" s="106">
        <v>5222.5539473896288</v>
      </c>
      <c r="AN89" s="106">
        <v>3.1418538521829618</v>
      </c>
      <c r="AO89" s="106">
        <v>7532.9087959938688</v>
      </c>
      <c r="AP89" s="106">
        <v>3</v>
      </c>
      <c r="AQ89" s="106">
        <v>7192.7999999999993</v>
      </c>
      <c r="AR89" s="106">
        <v>30</v>
      </c>
      <c r="AS89" s="106">
        <v>71928</v>
      </c>
      <c r="AT89" s="106">
        <v>23.070357500920295</v>
      </c>
      <c r="AU89" s="106">
        <v>55313.489144206498</v>
      </c>
      <c r="AV89" s="106">
        <v>34</v>
      </c>
      <c r="AW89" s="106">
        <v>81518.399999999994</v>
      </c>
      <c r="AX89" s="106">
        <v>36.019232082366941</v>
      </c>
      <c r="AY89" s="106">
        <v>86359.710840682979</v>
      </c>
      <c r="AZ89" s="106">
        <v>27.178112650046167</v>
      </c>
      <c r="BA89" s="106">
        <v>65162.242889750683</v>
      </c>
      <c r="BB89" s="106">
        <v>20.073048827374087</v>
      </c>
      <c r="BC89" s="106">
        <v>48127.14186851211</v>
      </c>
      <c r="BD89" s="106">
        <v>27.099812872733175</v>
      </c>
      <c r="BE89" s="106">
        <v>64974.511343665057</v>
      </c>
      <c r="BF89" s="106">
        <v>27.093280427368352</v>
      </c>
      <c r="BG89" s="106">
        <v>64958.84915265836</v>
      </c>
      <c r="BH89" s="106">
        <v>4.0401105967199173</v>
      </c>
      <c r="BI89" s="106">
        <v>9686.5691666956736</v>
      </c>
      <c r="BJ89" s="106">
        <v>4.0622573043826753</v>
      </c>
      <c r="BK89" s="106">
        <v>9739.6681129879016</v>
      </c>
      <c r="BL89" s="106">
        <v>3</v>
      </c>
      <c r="BM89" s="106">
        <v>7192.7999999999993</v>
      </c>
      <c r="BN89" s="106">
        <v>5.051028790280796</v>
      </c>
      <c r="BO89" s="106">
        <v>12110.346627577235</v>
      </c>
      <c r="BP89" s="106">
        <v>10.085389221999055</v>
      </c>
      <c r="BQ89" s="106">
        <v>24180.729198664932</v>
      </c>
      <c r="BR89" s="106">
        <v>9</v>
      </c>
      <c r="BS89" s="106">
        <v>21578.399999999998</v>
      </c>
      <c r="BT89" s="106">
        <v>19.143860678505664</v>
      </c>
      <c r="BU89" s="106">
        <v>45899.320362785176</v>
      </c>
      <c r="BV89" s="106">
        <v>14</v>
      </c>
      <c r="BW89" s="106">
        <v>33566.400000000001</v>
      </c>
      <c r="BX89" s="106">
        <v>6.0200689608261699</v>
      </c>
      <c r="BY89" s="106">
        <v>14433.717340476824</v>
      </c>
      <c r="BZ89" s="106">
        <v>8.0422334345184314</v>
      </c>
      <c r="CA89" s="106">
        <v>19282.058882601392</v>
      </c>
      <c r="CB89" s="106">
        <v>7</v>
      </c>
      <c r="CC89" s="106">
        <v>16783.2</v>
      </c>
      <c r="CD89" s="106">
        <v>7.0195397638672308</v>
      </c>
      <c r="CE89" s="106">
        <v>16830.048537848073</v>
      </c>
      <c r="CF89" s="106">
        <v>10.240863098088033</v>
      </c>
      <c r="CG89" s="106">
        <v>24553.493363975867</v>
      </c>
      <c r="CH89" s="106">
        <v>9</v>
      </c>
      <c r="CI89" s="106">
        <v>21578.399999999998</v>
      </c>
      <c r="CJ89" s="106">
        <v>8.1117503429355278</v>
      </c>
      <c r="CK89" s="106">
        <v>19448.732622222222</v>
      </c>
      <c r="CL89" s="106">
        <v>9</v>
      </c>
      <c r="CM89" s="106">
        <v>21578.399999999998</v>
      </c>
      <c r="CN89" s="106">
        <v>27.031783612679806</v>
      </c>
      <c r="CO89" s="106">
        <v>64811.404389761105</v>
      </c>
      <c r="CP89" s="106">
        <v>21.067119870617582</v>
      </c>
      <c r="CQ89" s="106">
        <v>50510.526601792713</v>
      </c>
      <c r="CR89" s="106">
        <v>21.019866848496477</v>
      </c>
      <c r="CS89" s="106">
        <v>50397.232755955149</v>
      </c>
      <c r="CT89" s="106">
        <v>17.031019292783935</v>
      </c>
      <c r="CU89" s="106">
        <v>40833.57185637876</v>
      </c>
    </row>
    <row r="90" spans="2:99" x14ac:dyDescent="0.2">
      <c r="C90" s="105" t="s">
        <v>256</v>
      </c>
      <c r="D90" s="106">
        <v>3.0416061440854829</v>
      </c>
      <c r="E90" s="106">
        <v>6683.0170197846228</v>
      </c>
      <c r="F90" s="106">
        <v>6</v>
      </c>
      <c r="G90" s="106">
        <v>13183.199999999999</v>
      </c>
      <c r="H90" s="106">
        <v>4.0579193584317217</v>
      </c>
      <c r="I90" s="106">
        <v>8916.0604143461787</v>
      </c>
      <c r="J90" s="106">
        <v>4.0334533871703204</v>
      </c>
      <c r="K90" s="106">
        <v>8862.3037822906281</v>
      </c>
      <c r="L90" s="106">
        <v>5.0848919635693859</v>
      </c>
      <c r="M90" s="106">
        <v>11172.524622354655</v>
      </c>
      <c r="N90" s="106">
        <v>10.085208204910192</v>
      </c>
      <c r="O90" s="106">
        <v>22159.219467828672</v>
      </c>
      <c r="P90" s="106">
        <v>7.0652163426803458</v>
      </c>
      <c r="Q90" s="106">
        <v>15523.693348137254</v>
      </c>
      <c r="R90" s="106">
        <v>6.0519774576497269</v>
      </c>
      <c r="S90" s="106">
        <v>13297.404869947979</v>
      </c>
      <c r="T90" s="106">
        <v>6.078417488494412</v>
      </c>
      <c r="U90" s="106">
        <v>13355.498905719922</v>
      </c>
      <c r="V90" s="106">
        <v>7.0746908339964181</v>
      </c>
      <c r="W90" s="106">
        <v>15544.510700456929</v>
      </c>
      <c r="X90" s="106">
        <v>6</v>
      </c>
      <c r="Y90" s="106">
        <v>13183.199999999999</v>
      </c>
      <c r="Z90" s="106">
        <v>7.2245937880020943</v>
      </c>
      <c r="AA90" s="106">
        <v>15873.877470998201</v>
      </c>
      <c r="AB90" s="106">
        <v>16</v>
      </c>
      <c r="AC90" s="106">
        <v>35155.199999999997</v>
      </c>
      <c r="AD90" s="106">
        <v>20.073292992848732</v>
      </c>
      <c r="AE90" s="106">
        <v>44105.039363887227</v>
      </c>
      <c r="AF90" s="106">
        <v>20.0823829993207</v>
      </c>
      <c r="AG90" s="106">
        <v>44125.011926107436</v>
      </c>
      <c r="AH90" s="106">
        <v>17.078096410465591</v>
      </c>
      <c r="AI90" s="106">
        <v>37523.993433074997</v>
      </c>
      <c r="AJ90" s="106">
        <v>2.1323611606068078</v>
      </c>
      <c r="AK90" s="106">
        <v>4685.2239420852775</v>
      </c>
      <c r="AL90" s="106">
        <v>2.1906779025141705</v>
      </c>
      <c r="AM90" s="106">
        <v>4813.3574874041351</v>
      </c>
      <c r="AN90" s="106">
        <v>2.125407028741459</v>
      </c>
      <c r="AO90" s="106">
        <v>4669.9443235507333</v>
      </c>
      <c r="AP90" s="106">
        <v>3</v>
      </c>
      <c r="AQ90" s="106">
        <v>6591.5999999999995</v>
      </c>
      <c r="AR90" s="106">
        <v>35</v>
      </c>
      <c r="AS90" s="106">
        <v>76902</v>
      </c>
      <c r="AT90" s="106">
        <v>24.06621882439557</v>
      </c>
      <c r="AU90" s="106">
        <v>52878.296000961942</v>
      </c>
      <c r="AV90" s="106">
        <v>37</v>
      </c>
      <c r="AW90" s="106">
        <v>81296.399999999994</v>
      </c>
      <c r="AX90" s="106">
        <v>37.017095184326173</v>
      </c>
      <c r="AY90" s="106">
        <v>81333.961539001466</v>
      </c>
      <c r="AZ90" s="106">
        <v>29.20037673130194</v>
      </c>
      <c r="BA90" s="106">
        <v>64159.067754016614</v>
      </c>
      <c r="BB90" s="106">
        <v>19.07689350249904</v>
      </c>
      <c r="BC90" s="106">
        <v>41915.750403690887</v>
      </c>
      <c r="BD90" s="106">
        <v>26.099812872733175</v>
      </c>
      <c r="BE90" s="106">
        <v>57346.508843969328</v>
      </c>
      <c r="BF90" s="106">
        <v>26.086105009878477</v>
      </c>
      <c r="BG90" s="106">
        <v>57316.389927704986</v>
      </c>
      <c r="BH90" s="106">
        <v>4.042221680757808</v>
      </c>
      <c r="BI90" s="106">
        <v>8881.5694769610545</v>
      </c>
      <c r="BJ90" s="106">
        <v>4.0581068174238304</v>
      </c>
      <c r="BK90" s="106">
        <v>8916.47229924364</v>
      </c>
      <c r="BL90" s="106">
        <v>3</v>
      </c>
      <c r="BM90" s="106">
        <v>6591.5999999999995</v>
      </c>
      <c r="BN90" s="106">
        <v>5.0544307096328494</v>
      </c>
      <c r="BO90" s="106">
        <v>11105.595155205296</v>
      </c>
      <c r="BP90" s="106">
        <v>11.100111501654064</v>
      </c>
      <c r="BQ90" s="106">
        <v>24389.164991434307</v>
      </c>
      <c r="BR90" s="106">
        <v>10</v>
      </c>
      <c r="BS90" s="106">
        <v>21972</v>
      </c>
      <c r="BT90" s="106">
        <v>16.143860678505664</v>
      </c>
      <c r="BU90" s="106">
        <v>35471.290682812643</v>
      </c>
      <c r="BV90" s="106">
        <v>15</v>
      </c>
      <c r="BW90" s="106">
        <v>32958</v>
      </c>
      <c r="BX90" s="106">
        <v>7.0185251946087721</v>
      </c>
      <c r="BY90" s="106">
        <v>15421.103557594393</v>
      </c>
      <c r="BZ90" s="106">
        <v>7.0403971982350217</v>
      </c>
      <c r="CA90" s="106">
        <v>15469.160723961988</v>
      </c>
      <c r="CB90" s="106">
        <v>7</v>
      </c>
      <c r="CC90" s="106">
        <v>15380.399999999998</v>
      </c>
      <c r="CD90" s="106">
        <v>8.0227963911784368</v>
      </c>
      <c r="CE90" s="106">
        <v>17627.688230697258</v>
      </c>
      <c r="CF90" s="106">
        <v>9.264949407896836</v>
      </c>
      <c r="CG90" s="106">
        <v>20356.946839030927</v>
      </c>
      <c r="CH90" s="106">
        <v>9</v>
      </c>
      <c r="CI90" s="106">
        <v>19774.8</v>
      </c>
      <c r="CJ90" s="106">
        <v>9.1277146776406042</v>
      </c>
      <c r="CK90" s="106">
        <v>20055.414689711935</v>
      </c>
      <c r="CL90" s="106">
        <v>10</v>
      </c>
      <c r="CM90" s="106">
        <v>21972</v>
      </c>
      <c r="CN90" s="106">
        <v>29.034961973947787</v>
      </c>
      <c r="CO90" s="106">
        <v>63795.618449158072</v>
      </c>
      <c r="CP90" s="106">
        <v>22.061526548066116</v>
      </c>
      <c r="CQ90" s="106">
        <v>48473.586131410862</v>
      </c>
      <c r="CR90" s="106">
        <v>21.019866848496477</v>
      </c>
      <c r="CS90" s="106">
        <v>46184.851439516453</v>
      </c>
      <c r="CT90" s="106">
        <v>18.031019292783935</v>
      </c>
      <c r="CU90" s="106">
        <v>39617.755590104854</v>
      </c>
    </row>
    <row r="91" spans="2:99" x14ac:dyDescent="0.2">
      <c r="C91" s="105" t="s">
        <v>257</v>
      </c>
      <c r="D91" s="106">
        <v>3.0491708975555709</v>
      </c>
      <c r="E91" s="106">
        <v>7003.3357175056344</v>
      </c>
      <c r="F91" s="106">
        <v>6</v>
      </c>
      <c r="G91" s="106">
        <v>13780.8</v>
      </c>
      <c r="H91" s="106">
        <v>4.0521274225885495</v>
      </c>
      <c r="I91" s="106">
        <v>9306.92626420138</v>
      </c>
      <c r="J91" s="106">
        <v>4.0306656049061269</v>
      </c>
      <c r="K91" s="106">
        <v>9257.6327613483918</v>
      </c>
      <c r="L91" s="106">
        <v>4.0738190987559877</v>
      </c>
      <c r="M91" s="106">
        <v>9356.747706022752</v>
      </c>
      <c r="N91" s="106">
        <v>10.080723562546497</v>
      </c>
      <c r="O91" s="106">
        <v>23153.405878456793</v>
      </c>
      <c r="P91" s="106">
        <v>6.0652163426803458</v>
      </c>
      <c r="Q91" s="106">
        <v>13930.588895868217</v>
      </c>
      <c r="R91" s="106">
        <v>5.0504487088953232</v>
      </c>
      <c r="S91" s="106">
        <v>11599.870594590777</v>
      </c>
      <c r="T91" s="106">
        <v>5.0798178007889545</v>
      </c>
      <c r="U91" s="106">
        <v>11667.325524852069</v>
      </c>
      <c r="V91" s="106">
        <v>7.0711341276156361</v>
      </c>
      <c r="W91" s="106">
        <v>16240.98086430759</v>
      </c>
      <c r="X91" s="106">
        <v>7</v>
      </c>
      <c r="Y91" s="106">
        <v>16077.599999999999</v>
      </c>
      <c r="Z91" s="106">
        <v>7.2117598572591177</v>
      </c>
      <c r="AA91" s="106">
        <v>16563.970040152741</v>
      </c>
      <c r="AB91" s="106">
        <v>16</v>
      </c>
      <c r="AC91" s="106">
        <v>36748.799999999996</v>
      </c>
      <c r="AD91" s="106">
        <v>20.087035429007869</v>
      </c>
      <c r="AE91" s="106">
        <v>46135.90297334527</v>
      </c>
      <c r="AF91" s="106">
        <v>19.078801129785017</v>
      </c>
      <c r="AG91" s="106">
        <v>43820.190434890224</v>
      </c>
      <c r="AH91" s="106">
        <v>16.082206747858518</v>
      </c>
      <c r="AI91" s="106">
        <v>36937.612458481439</v>
      </c>
      <c r="AJ91" s="106">
        <v>2.1286326772094331</v>
      </c>
      <c r="AK91" s="106">
        <v>4889.0435330146256</v>
      </c>
      <c r="AL91" s="106">
        <v>2.1782423871328116</v>
      </c>
      <c r="AM91" s="106">
        <v>5002.9871147666408</v>
      </c>
      <c r="AN91" s="106">
        <v>2.1315745875320222</v>
      </c>
      <c r="AO91" s="106">
        <v>4895.8005126435482</v>
      </c>
      <c r="AP91" s="106">
        <v>3</v>
      </c>
      <c r="AQ91" s="106">
        <v>6890.4</v>
      </c>
      <c r="AR91" s="106">
        <v>34</v>
      </c>
      <c r="AS91" s="106">
        <v>78091.199999999997</v>
      </c>
      <c r="AT91" s="106">
        <v>23.06621882439557</v>
      </c>
      <c r="AU91" s="106">
        <v>52978.491395871737</v>
      </c>
      <c r="AV91" s="106">
        <v>34</v>
      </c>
      <c r="AW91" s="106">
        <v>78091.199999999997</v>
      </c>
      <c r="AX91" s="106">
        <v>39.017095184326173</v>
      </c>
      <c r="AY91" s="106">
        <v>89614.46421936035</v>
      </c>
      <c r="AZ91" s="106">
        <v>25.185534010464757</v>
      </c>
      <c r="BA91" s="106">
        <v>57846.134515235448</v>
      </c>
      <c r="BB91" s="106">
        <v>18.073048827374087</v>
      </c>
      <c r="BC91" s="106">
        <v>41510.178546712799</v>
      </c>
      <c r="BD91" s="106">
        <v>29.106696519128565</v>
      </c>
      <c r="BE91" s="106">
        <v>66852.260565134478</v>
      </c>
      <c r="BF91" s="106">
        <v>26.078929592388604</v>
      </c>
      <c r="BG91" s="106">
        <v>59898.08548779814</v>
      </c>
      <c r="BH91" s="106">
        <v>4.0379995126820267</v>
      </c>
      <c r="BI91" s="106">
        <v>9274.4772807280788</v>
      </c>
      <c r="BJ91" s="106">
        <v>4.0518810869855626</v>
      </c>
      <c r="BK91" s="106">
        <v>9306.3604805884388</v>
      </c>
      <c r="BL91" s="106">
        <v>3</v>
      </c>
      <c r="BM91" s="106">
        <v>6890.4</v>
      </c>
      <c r="BN91" s="106">
        <v>5.0476268709287435</v>
      </c>
      <c r="BO91" s="106">
        <v>11593.389397149136</v>
      </c>
      <c r="BP91" s="106">
        <v>12.100111501654064</v>
      </c>
      <c r="BQ91" s="106">
        <v>27791.536096999051</v>
      </c>
      <c r="BR91" s="106">
        <v>9</v>
      </c>
      <c r="BS91" s="106">
        <v>20671.199999999997</v>
      </c>
      <c r="BT91" s="106">
        <v>20.134269966605288</v>
      </c>
      <c r="BU91" s="106">
        <v>46244.391259299016</v>
      </c>
      <c r="BV91" s="106">
        <v>13</v>
      </c>
      <c r="BW91" s="106">
        <v>29858.399999999998</v>
      </c>
      <c r="BX91" s="106">
        <v>7.0200689608261699</v>
      </c>
      <c r="BY91" s="106">
        <v>16123.694389225546</v>
      </c>
      <c r="BZ91" s="106">
        <v>7.0403971982350217</v>
      </c>
      <c r="CA91" s="106">
        <v>16170.384284906197</v>
      </c>
      <c r="CB91" s="106">
        <v>7</v>
      </c>
      <c r="CC91" s="106">
        <v>16077.599999999999</v>
      </c>
      <c r="CD91" s="106">
        <v>7.0227963911784359</v>
      </c>
      <c r="CE91" s="106">
        <v>16129.958751258629</v>
      </c>
      <c r="CF91" s="106">
        <v>10.246884675540235</v>
      </c>
      <c r="CG91" s="106">
        <v>23535.044722780807</v>
      </c>
      <c r="CH91" s="106">
        <v>9</v>
      </c>
      <c r="CI91" s="106">
        <v>20671.199999999997</v>
      </c>
      <c r="CJ91" s="106">
        <v>9.1237235939643355</v>
      </c>
      <c r="CK91" s="106">
        <v>20955.368350617282</v>
      </c>
      <c r="CL91" s="106">
        <v>10</v>
      </c>
      <c r="CM91" s="106">
        <v>22967.999999999996</v>
      </c>
      <c r="CN91" s="106">
        <v>27.031783612679806</v>
      </c>
      <c r="CO91" s="106">
        <v>62086.600601602971</v>
      </c>
      <c r="CP91" s="106">
        <v>19.067119870617582</v>
      </c>
      <c r="CQ91" s="106">
        <v>43793.360918834456</v>
      </c>
      <c r="CR91" s="106">
        <v>22.022704969710261</v>
      </c>
      <c r="CS91" s="106">
        <v>50581.748774430525</v>
      </c>
      <c r="CT91" s="106">
        <v>19.031019292783935</v>
      </c>
      <c r="CU91" s="106">
        <v>43710.445111666137</v>
      </c>
    </row>
    <row r="92" spans="2:99" x14ac:dyDescent="0.2">
      <c r="C92" s="105" t="s">
        <v>258</v>
      </c>
      <c r="D92" s="106">
        <v>4.0453885208205271</v>
      </c>
      <c r="E92" s="106">
        <v>5747.6880103818048</v>
      </c>
      <c r="F92" s="106">
        <v>7</v>
      </c>
      <c r="G92" s="106">
        <v>9945.6</v>
      </c>
      <c r="H92" s="106">
        <v>5.0521274225885495</v>
      </c>
      <c r="I92" s="106">
        <v>7178.0626420138105</v>
      </c>
      <c r="J92" s="106">
        <v>4.0362411694345131</v>
      </c>
      <c r="K92" s="106">
        <v>5734.6914535325559</v>
      </c>
      <c r="L92" s="106">
        <v>5.0922738734449844</v>
      </c>
      <c r="M92" s="106">
        <v>7235.1027193906339</v>
      </c>
      <c r="N92" s="106">
        <v>10.09417748963758</v>
      </c>
      <c r="O92" s="106">
        <v>14341.807377277073</v>
      </c>
      <c r="P92" s="106">
        <v>7.0620350576715483</v>
      </c>
      <c r="Q92" s="106">
        <v>10033.739409939735</v>
      </c>
      <c r="R92" s="106">
        <v>6.0565637039129374</v>
      </c>
      <c r="S92" s="106">
        <v>8605.1657105195009</v>
      </c>
      <c r="T92" s="106">
        <v>5.0812181130834979</v>
      </c>
      <c r="U92" s="106">
        <v>7219.3946950690333</v>
      </c>
      <c r="V92" s="106">
        <v>7.081804246757982</v>
      </c>
      <c r="W92" s="106">
        <v>10061.827473793741</v>
      </c>
      <c r="X92" s="106">
        <v>7</v>
      </c>
      <c r="Y92" s="106">
        <v>9945.6</v>
      </c>
      <c r="Z92" s="106">
        <v>8.2278022706878389</v>
      </c>
      <c r="AA92" s="106">
        <v>11690.061466193281</v>
      </c>
      <c r="AB92" s="106">
        <v>19</v>
      </c>
      <c r="AC92" s="106">
        <v>26995.200000000001</v>
      </c>
      <c r="AD92" s="106">
        <v>24.087035429007869</v>
      </c>
      <c r="AE92" s="106">
        <v>34222.859937534377</v>
      </c>
      <c r="AF92" s="106">
        <v>23.089546738392063</v>
      </c>
      <c r="AG92" s="106">
        <v>32805.628005907442</v>
      </c>
      <c r="AH92" s="106">
        <v>18.098648097430221</v>
      </c>
      <c r="AI92" s="106">
        <v>25714.559216828857</v>
      </c>
      <c r="AJ92" s="106">
        <v>2.1323611606068078</v>
      </c>
      <c r="AK92" s="106">
        <v>3029.6587369901526</v>
      </c>
      <c r="AL92" s="106">
        <v>2.1865327307203843</v>
      </c>
      <c r="AM92" s="106">
        <v>3106.6257038075219</v>
      </c>
      <c r="AN92" s="106">
        <v>3.1521331168339008</v>
      </c>
      <c r="AO92" s="106">
        <v>4478.5507323976062</v>
      </c>
      <c r="AP92" s="106">
        <v>3</v>
      </c>
      <c r="AQ92" s="106">
        <v>4262.3999999999996</v>
      </c>
      <c r="AR92" s="106">
        <v>40</v>
      </c>
      <c r="AS92" s="106">
        <v>56832</v>
      </c>
      <c r="AT92" s="106">
        <v>31.070357500920295</v>
      </c>
      <c r="AU92" s="106">
        <v>44144.763937307551</v>
      </c>
      <c r="AV92" s="106">
        <v>38</v>
      </c>
      <c r="AW92" s="106">
        <v>53990.400000000001</v>
      </c>
      <c r="AX92" s="106">
        <v>47.020300531387328</v>
      </c>
      <c r="AY92" s="106">
        <v>66806.442994995115</v>
      </c>
      <c r="AZ92" s="106">
        <v>31.21521945213912</v>
      </c>
      <c r="BA92" s="106">
        <v>44350.583797599262</v>
      </c>
      <c r="BB92" s="106">
        <v>22.084582852748945</v>
      </c>
      <c r="BC92" s="106">
        <v>31377.7753171857</v>
      </c>
      <c r="BD92" s="106">
        <v>32.113580165523956</v>
      </c>
      <c r="BE92" s="106">
        <v>45626.974699176433</v>
      </c>
      <c r="BF92" s="106">
        <v>29.096868136113287</v>
      </c>
      <c r="BG92" s="106">
        <v>41340.83024778976</v>
      </c>
      <c r="BH92" s="106">
        <v>4.0401105967199173</v>
      </c>
      <c r="BI92" s="106">
        <v>5740.1891358196581</v>
      </c>
      <c r="BJ92" s="106">
        <v>5.0664077913415202</v>
      </c>
      <c r="BK92" s="106">
        <v>7198.3521899380321</v>
      </c>
      <c r="BL92" s="106">
        <v>3</v>
      </c>
      <c r="BM92" s="106">
        <v>4262.3999999999996</v>
      </c>
      <c r="BN92" s="106">
        <v>6.0578326289849027</v>
      </c>
      <c r="BO92" s="106">
        <v>8606.9685992617487</v>
      </c>
      <c r="BP92" s="106">
        <v>12.094222589792061</v>
      </c>
      <c r="BQ92" s="106">
        <v>17183.47145557656</v>
      </c>
      <c r="BR92" s="106">
        <v>11</v>
      </c>
      <c r="BS92" s="106">
        <v>15628.8</v>
      </c>
      <c r="BT92" s="106">
        <v>19.148656034455854</v>
      </c>
      <c r="BU92" s="106">
        <v>27206.410493754876</v>
      </c>
      <c r="BV92" s="106">
        <v>17</v>
      </c>
      <c r="BW92" s="106">
        <v>24153.599999999999</v>
      </c>
      <c r="BX92" s="106">
        <v>7.0231564932609647</v>
      </c>
      <c r="BY92" s="106">
        <v>9978.5007456251788</v>
      </c>
      <c r="BZ92" s="106">
        <v>8.0459059070852526</v>
      </c>
      <c r="CA92" s="106">
        <v>11431.623112786727</v>
      </c>
      <c r="CB92" s="106">
        <v>8</v>
      </c>
      <c r="CC92" s="106">
        <v>11366.4</v>
      </c>
      <c r="CD92" s="106">
        <v>8.024424704834038</v>
      </c>
      <c r="CE92" s="106">
        <v>11401.1026206282</v>
      </c>
      <c r="CF92" s="106">
        <v>10.252906252992435</v>
      </c>
      <c r="CG92" s="106">
        <v>14567.329204251651</v>
      </c>
      <c r="CH92" s="106">
        <v>10</v>
      </c>
      <c r="CI92" s="106">
        <v>14208</v>
      </c>
      <c r="CJ92" s="106">
        <v>10.135696844993141</v>
      </c>
      <c r="CK92" s="106">
        <v>14400.798077366255</v>
      </c>
      <c r="CL92" s="106">
        <v>11</v>
      </c>
      <c r="CM92" s="106">
        <v>15628.8</v>
      </c>
      <c r="CN92" s="106">
        <v>30.034961973947787</v>
      </c>
      <c r="CO92" s="106">
        <v>42673.673972585013</v>
      </c>
      <c r="CP92" s="106">
        <v>23.072713193169047</v>
      </c>
      <c r="CQ92" s="106">
        <v>32781.710904854583</v>
      </c>
      <c r="CR92" s="106">
        <v>25.022704969710261</v>
      </c>
      <c r="CS92" s="106">
        <v>35552.259220964341</v>
      </c>
      <c r="CT92" s="106">
        <v>23.036659164199193</v>
      </c>
      <c r="CU92" s="106">
        <v>32730.485340494211</v>
      </c>
    </row>
    <row r="93" spans="2:99" x14ac:dyDescent="0.2">
      <c r="C93" s="105" t="s">
        <v>259</v>
      </c>
      <c r="D93" s="106">
        <v>3.0453885208205267</v>
      </c>
      <c r="E93" s="106">
        <v>5397.6466143023008</v>
      </c>
      <c r="F93" s="106">
        <v>7</v>
      </c>
      <c r="G93" s="106">
        <v>12406.8</v>
      </c>
      <c r="H93" s="106">
        <v>4.0521274225885495</v>
      </c>
      <c r="I93" s="106">
        <v>7181.9906437959444</v>
      </c>
      <c r="J93" s="106">
        <v>4.0278778226419334</v>
      </c>
      <c r="K93" s="106">
        <v>7139.0106528505621</v>
      </c>
      <c r="L93" s="106">
        <v>5.0756645762248871</v>
      </c>
      <c r="M93" s="106">
        <v>8996.1078949009898</v>
      </c>
      <c r="N93" s="106">
        <v>9.1031467743649692</v>
      </c>
      <c r="O93" s="106">
        <v>16134.41734288447</v>
      </c>
      <c r="P93" s="106">
        <v>7.0652163426803458</v>
      </c>
      <c r="Q93" s="106">
        <v>12522.389445766645</v>
      </c>
      <c r="R93" s="106">
        <v>6.0535062064041298</v>
      </c>
      <c r="S93" s="106">
        <v>10729.234400230678</v>
      </c>
      <c r="T93" s="106">
        <v>5.0910202991452991</v>
      </c>
      <c r="U93" s="106">
        <v>9023.3243782051268</v>
      </c>
      <c r="V93" s="106">
        <v>7.0729124808060275</v>
      </c>
      <c r="W93" s="106">
        <v>12536.030080980603</v>
      </c>
      <c r="X93" s="106">
        <v>6</v>
      </c>
      <c r="Y93" s="106">
        <v>10634.4</v>
      </c>
      <c r="Z93" s="106">
        <v>7.2117598572591177</v>
      </c>
      <c r="AA93" s="106">
        <v>12782.12317100606</v>
      </c>
      <c r="AB93" s="106">
        <v>16</v>
      </c>
      <c r="AC93" s="106">
        <v>28358.399999999998</v>
      </c>
      <c r="AD93" s="106">
        <v>20.077873804901778</v>
      </c>
      <c r="AE93" s="106">
        <v>35586.023531807907</v>
      </c>
      <c r="AF93" s="106">
        <v>22.0823829993207</v>
      </c>
      <c r="AG93" s="106">
        <v>39138.815627996002</v>
      </c>
      <c r="AH93" s="106">
        <v>17.090427422644368</v>
      </c>
      <c r="AI93" s="106">
        <v>30291.073563894875</v>
      </c>
      <c r="AJ93" s="106">
        <v>2.1510035775936824</v>
      </c>
      <c r="AK93" s="106">
        <v>3812.4387409270425</v>
      </c>
      <c r="AL93" s="106">
        <v>2.2031134178955294</v>
      </c>
      <c r="AM93" s="106">
        <v>3904.7982218780362</v>
      </c>
      <c r="AN93" s="106">
        <v>2.1521331168339008</v>
      </c>
      <c r="AO93" s="106">
        <v>3814.4407362764055</v>
      </c>
      <c r="AP93" s="106">
        <v>3</v>
      </c>
      <c r="AQ93" s="106">
        <v>5317.2</v>
      </c>
      <c r="AR93" s="106">
        <v>35</v>
      </c>
      <c r="AS93" s="106">
        <v>62033.999999999993</v>
      </c>
      <c r="AT93" s="106">
        <v>27.06621882439557</v>
      </c>
      <c r="AU93" s="106">
        <v>47972.166244358705</v>
      </c>
      <c r="AV93" s="106">
        <v>40</v>
      </c>
      <c r="AW93" s="106">
        <v>70896</v>
      </c>
      <c r="AX93" s="106">
        <v>42.019232082366941</v>
      </c>
      <c r="AY93" s="106">
        <v>74474.886942787154</v>
      </c>
      <c r="AZ93" s="106">
        <v>27.20037673130194</v>
      </c>
      <c r="BA93" s="106">
        <v>48209.947718559553</v>
      </c>
      <c r="BB93" s="106">
        <v>22.088427527873893</v>
      </c>
      <c r="BC93" s="106">
        <v>39149.528950403685</v>
      </c>
      <c r="BD93" s="106">
        <v>29.103254695930868</v>
      </c>
      <c r="BE93" s="106">
        <v>51582.60862306787</v>
      </c>
      <c r="BF93" s="106">
        <v>28.096868136113287</v>
      </c>
      <c r="BG93" s="106">
        <v>49798.889084447183</v>
      </c>
      <c r="BH93" s="106">
        <v>5.0464438488335883</v>
      </c>
      <c r="BI93" s="106">
        <v>8944.3170776726511</v>
      </c>
      <c r="BJ93" s="106">
        <v>4.0622573043826753</v>
      </c>
      <c r="BK93" s="106">
        <v>7199.9448462878536</v>
      </c>
      <c r="BL93" s="106">
        <v>3</v>
      </c>
      <c r="BM93" s="106">
        <v>5317.2</v>
      </c>
      <c r="BN93" s="106">
        <v>5.0544307096328494</v>
      </c>
      <c r="BO93" s="106">
        <v>8958.4729897532616</v>
      </c>
      <c r="BP93" s="106">
        <v>12.106000413516067</v>
      </c>
      <c r="BQ93" s="106">
        <v>21456.675132915876</v>
      </c>
      <c r="BR93" s="106">
        <v>9</v>
      </c>
      <c r="BS93" s="106">
        <v>15951.599999999999</v>
      </c>
      <c r="BT93" s="106">
        <v>20.148656034455854</v>
      </c>
      <c r="BU93" s="106">
        <v>35711.477955469556</v>
      </c>
      <c r="BV93" s="106">
        <v>16</v>
      </c>
      <c r="BW93" s="106">
        <v>28358.399999999998</v>
      </c>
      <c r="BX93" s="106">
        <v>7.0216127270435669</v>
      </c>
      <c r="BY93" s="106">
        <v>12445.106397412017</v>
      </c>
      <c r="BZ93" s="106">
        <v>8.0367247256682006</v>
      </c>
      <c r="CA93" s="106">
        <v>14244.290903774317</v>
      </c>
      <c r="CB93" s="106">
        <v>9</v>
      </c>
      <c r="CC93" s="106">
        <v>15951.599999999999</v>
      </c>
      <c r="CD93" s="106">
        <v>8.0211680775228338</v>
      </c>
      <c r="CE93" s="106">
        <v>14216.718300601469</v>
      </c>
      <c r="CF93" s="106">
        <v>11.246884675540235</v>
      </c>
      <c r="CG93" s="106">
        <v>19933.978398927509</v>
      </c>
      <c r="CH93" s="106">
        <v>10</v>
      </c>
      <c r="CI93" s="106">
        <v>17724</v>
      </c>
      <c r="CJ93" s="106">
        <v>9.1117503429355278</v>
      </c>
      <c r="CK93" s="106">
        <v>16149.666307818929</v>
      </c>
      <c r="CL93" s="106">
        <v>11</v>
      </c>
      <c r="CM93" s="106">
        <v>19496.399999999998</v>
      </c>
      <c r="CN93" s="106">
        <v>28.034961973947787</v>
      </c>
      <c r="CO93" s="106">
        <v>49689.166602625053</v>
      </c>
      <c r="CP93" s="106">
        <v>23.067119870617582</v>
      </c>
      <c r="CQ93" s="106">
        <v>40884.163258682602</v>
      </c>
      <c r="CR93" s="106">
        <v>23.022704969710261</v>
      </c>
      <c r="CS93" s="106">
        <v>40805.442288314465</v>
      </c>
      <c r="CT93" s="106">
        <v>22.031019292783935</v>
      </c>
      <c r="CU93" s="106">
        <v>39047.778594530246</v>
      </c>
    </row>
    <row r="94" spans="2:99" x14ac:dyDescent="0.2">
      <c r="C94" s="105" t="s">
        <v>260</v>
      </c>
      <c r="D94" s="106">
        <v>3.0453885208205267</v>
      </c>
      <c r="E94" s="106">
        <v>7294.3145850693254</v>
      </c>
      <c r="F94" s="106">
        <v>6</v>
      </c>
      <c r="G94" s="106">
        <v>14371.199999999999</v>
      </c>
      <c r="H94" s="106">
        <v>4.0579193584317217</v>
      </c>
      <c r="I94" s="106">
        <v>9719.5284473156589</v>
      </c>
      <c r="J94" s="106">
        <v>4.0278778226419334</v>
      </c>
      <c r="K94" s="106">
        <v>9647.5729607919584</v>
      </c>
      <c r="L94" s="106">
        <v>4.070128143818188</v>
      </c>
      <c r="M94" s="106">
        <v>9748.7709300733222</v>
      </c>
      <c r="N94" s="106">
        <v>10.082965883728345</v>
      </c>
      <c r="O94" s="106">
        <v>24150.71988470613</v>
      </c>
      <c r="P94" s="106">
        <v>7.0636257001759475</v>
      </c>
      <c r="Q94" s="106">
        <v>16918.796277061429</v>
      </c>
      <c r="R94" s="106">
        <v>6.0535062064041298</v>
      </c>
      <c r="S94" s="106">
        <v>14499.35806557917</v>
      </c>
      <c r="T94" s="106">
        <v>5.0798178007889545</v>
      </c>
      <c r="U94" s="106">
        <v>12167.179596449703</v>
      </c>
      <c r="V94" s="106">
        <v>7.064020714854073</v>
      </c>
      <c r="W94" s="106">
        <v>16919.742416218476</v>
      </c>
      <c r="X94" s="106">
        <v>7</v>
      </c>
      <c r="Y94" s="106">
        <v>16766.399999999998</v>
      </c>
      <c r="Z94" s="106">
        <v>6.218176822630606</v>
      </c>
      <c r="AA94" s="106">
        <v>14893.777125564826</v>
      </c>
      <c r="AB94" s="106">
        <v>15</v>
      </c>
      <c r="AC94" s="106">
        <v>35928</v>
      </c>
      <c r="AD94" s="106">
        <v>22.077873804901778</v>
      </c>
      <c r="AE94" s="106">
        <v>52880.923337500732</v>
      </c>
      <c r="AF94" s="106">
        <v>17.0823829993207</v>
      </c>
      <c r="AG94" s="106">
        <v>40915.723759972934</v>
      </c>
      <c r="AH94" s="106">
        <v>15.078096410465591</v>
      </c>
      <c r="AI94" s="106">
        <v>36115.056522347179</v>
      </c>
      <c r="AJ94" s="106">
        <v>2.1137187436199336</v>
      </c>
      <c r="AK94" s="106">
        <v>5062.7791347184648</v>
      </c>
      <c r="AL94" s="106">
        <v>2.1658068717514527</v>
      </c>
      <c r="AM94" s="106">
        <v>5187.5406192190794</v>
      </c>
      <c r="AN94" s="106">
        <v>2.1356862933923981</v>
      </c>
      <c r="AO94" s="106">
        <v>5115.3958099334714</v>
      </c>
      <c r="AP94" s="106">
        <v>3</v>
      </c>
      <c r="AQ94" s="106">
        <v>7185.5999999999995</v>
      </c>
      <c r="AR94" s="106">
        <v>30</v>
      </c>
      <c r="AS94" s="106">
        <v>71856</v>
      </c>
      <c r="AT94" s="106">
        <v>22.062080147870848</v>
      </c>
      <c r="AU94" s="106">
        <v>52843.094370180253</v>
      </c>
      <c r="AV94" s="106">
        <v>32</v>
      </c>
      <c r="AW94" s="106">
        <v>76646.399999999994</v>
      </c>
      <c r="AX94" s="106">
        <v>38.017095184326173</v>
      </c>
      <c r="AY94" s="106">
        <v>91058.546385498048</v>
      </c>
      <c r="AZ94" s="106">
        <v>28.20037673130194</v>
      </c>
      <c r="BA94" s="106">
        <v>67545.5423468144</v>
      </c>
      <c r="BB94" s="106">
        <v>21.080738177623992</v>
      </c>
      <c r="BC94" s="106">
        <v>50492.584083044982</v>
      </c>
      <c r="BD94" s="106">
        <v>29.096371049535477</v>
      </c>
      <c r="BE94" s="106">
        <v>69691.62793784737</v>
      </c>
      <c r="BF94" s="106">
        <v>23.093280427368352</v>
      </c>
      <c r="BG94" s="106">
        <v>55313.025279632675</v>
      </c>
      <c r="BH94" s="106">
        <v>4.0379995126820267</v>
      </c>
      <c r="BI94" s="106">
        <v>9671.8164327759896</v>
      </c>
      <c r="BJ94" s="106">
        <v>4.0518810869855626</v>
      </c>
      <c r="BK94" s="106">
        <v>9705.0655795478197</v>
      </c>
      <c r="BL94" s="106">
        <v>3</v>
      </c>
      <c r="BM94" s="106">
        <v>7185.5999999999995</v>
      </c>
      <c r="BN94" s="106">
        <v>5.0476268709287435</v>
      </c>
      <c r="BO94" s="106">
        <v>12090.075881248526</v>
      </c>
      <c r="BP94" s="106">
        <v>11.082444766068052</v>
      </c>
      <c r="BQ94" s="106">
        <v>26544.671703686196</v>
      </c>
      <c r="BR94" s="106">
        <v>9</v>
      </c>
      <c r="BS94" s="106">
        <v>21556.799999999999</v>
      </c>
      <c r="BT94" s="106">
        <v>18.153451390406044</v>
      </c>
      <c r="BU94" s="106">
        <v>43481.146770300555</v>
      </c>
      <c r="BV94" s="106">
        <v>14</v>
      </c>
      <c r="BW94" s="106">
        <v>33532.799999999996</v>
      </c>
      <c r="BX94" s="106">
        <v>6.0200689608261699</v>
      </c>
      <c r="BY94" s="106">
        <v>14419.269174970841</v>
      </c>
      <c r="BZ94" s="106">
        <v>7.0348884893847909</v>
      </c>
      <c r="CA94" s="106">
        <v>16849.964909774451</v>
      </c>
      <c r="CB94" s="106">
        <v>7</v>
      </c>
      <c r="CC94" s="106">
        <v>16766.399999999998</v>
      </c>
      <c r="CD94" s="106">
        <v>8.024424704834038</v>
      </c>
      <c r="CE94" s="106">
        <v>19220.102053018487</v>
      </c>
      <c r="CF94" s="106">
        <v>10.234841520635833</v>
      </c>
      <c r="CG94" s="106">
        <v>24514.492410226943</v>
      </c>
      <c r="CH94" s="106">
        <v>9</v>
      </c>
      <c r="CI94" s="106">
        <v>21556.799999999999</v>
      </c>
      <c r="CJ94" s="106">
        <v>8.1117503429355278</v>
      </c>
      <c r="CK94" s="106">
        <v>19429.264421399173</v>
      </c>
      <c r="CL94" s="106">
        <v>10</v>
      </c>
      <c r="CM94" s="106">
        <v>23952</v>
      </c>
      <c r="CN94" s="106">
        <v>28.031783612679806</v>
      </c>
      <c r="CO94" s="106">
        <v>67141.728109090662</v>
      </c>
      <c r="CP94" s="106">
        <v>21.067119870617582</v>
      </c>
      <c r="CQ94" s="106">
        <v>50459.965514103227</v>
      </c>
      <c r="CR94" s="106">
        <v>23.022704969710261</v>
      </c>
      <c r="CS94" s="106">
        <v>55143.982943450013</v>
      </c>
      <c r="CT94" s="106">
        <v>18.033839228491566</v>
      </c>
      <c r="CU94" s="106">
        <v>43194.651720082991</v>
      </c>
    </row>
    <row r="95" spans="2:99" x14ac:dyDescent="0.2">
      <c r="B95" s="105" t="s">
        <v>132</v>
      </c>
      <c r="C95" s="105" t="s">
        <v>261</v>
      </c>
      <c r="D95" s="106">
        <v>4.1739893298120192</v>
      </c>
      <c r="E95" s="106">
        <v>7232.6887106982667</v>
      </c>
      <c r="F95" s="106">
        <v>5</v>
      </c>
      <c r="G95" s="106">
        <v>8664</v>
      </c>
      <c r="H95" s="106">
        <v>6.2606371129427494</v>
      </c>
      <c r="I95" s="106">
        <v>10848.431989307195</v>
      </c>
      <c r="J95" s="106">
        <v>4.0808456856616067</v>
      </c>
      <c r="K95" s="106">
        <v>7071.2894041144318</v>
      </c>
      <c r="L95" s="106">
        <v>3.0516733691291913</v>
      </c>
      <c r="M95" s="106">
        <v>5287.9396140270628</v>
      </c>
      <c r="N95" s="106">
        <v>3.0605426719098734</v>
      </c>
      <c r="O95" s="106">
        <v>5303.3083418854285</v>
      </c>
      <c r="P95" s="106">
        <v>2.0683976276891429</v>
      </c>
      <c r="Q95" s="106">
        <v>3584.1194092597466</v>
      </c>
      <c r="R95" s="106">
        <v>3.0733799402113786</v>
      </c>
      <c r="S95" s="106">
        <v>5325.5527603982764</v>
      </c>
      <c r="T95" s="106">
        <v>11.109224358974359</v>
      </c>
      <c r="U95" s="106">
        <v>19250.063969230767</v>
      </c>
      <c r="V95" s="106">
        <v>10.092474365900326</v>
      </c>
      <c r="W95" s="106">
        <v>17488.239581232086</v>
      </c>
      <c r="X95" s="106">
        <v>7</v>
      </c>
      <c r="Y95" s="106">
        <v>12129.6</v>
      </c>
      <c r="Z95" s="106">
        <v>11.154007168915722</v>
      </c>
      <c r="AA95" s="106">
        <v>19327.663622297165</v>
      </c>
      <c r="AB95" s="106">
        <v>8</v>
      </c>
      <c r="AC95" s="106">
        <v>13862.4</v>
      </c>
      <c r="AD95" s="106">
        <v>6.0412273084774117</v>
      </c>
      <c r="AE95" s="106">
        <v>10468.238680129658</v>
      </c>
      <c r="AF95" s="106">
        <v>7.0394005648925084</v>
      </c>
      <c r="AG95" s="106">
        <v>12197.873298845738</v>
      </c>
      <c r="AH95" s="106">
        <v>5.036993036536332</v>
      </c>
      <c r="AI95" s="106">
        <v>8728.1015337101562</v>
      </c>
      <c r="AJ95" s="106">
        <v>21.059655734358</v>
      </c>
      <c r="AK95" s="106">
        <v>36492.17145649554</v>
      </c>
      <c r="AL95" s="106">
        <v>43.161661699957669</v>
      </c>
      <c r="AM95" s="106">
        <v>74790.527393686643</v>
      </c>
      <c r="AN95" s="106">
        <v>27.051396323254696</v>
      </c>
      <c r="AO95" s="106">
        <v>46874.659548935735</v>
      </c>
      <c r="AP95" s="106">
        <v>37</v>
      </c>
      <c r="AQ95" s="106">
        <v>64113.599999999999</v>
      </c>
      <c r="AR95" s="106">
        <v>2</v>
      </c>
      <c r="AS95" s="106">
        <v>3465.6</v>
      </c>
      <c r="AT95" s="106">
        <v>4.1076055896428025</v>
      </c>
      <c r="AU95" s="106">
        <v>7117.6589657330478</v>
      </c>
      <c r="AV95" s="106">
        <v>3</v>
      </c>
      <c r="AW95" s="106">
        <v>5198.3999999999996</v>
      </c>
      <c r="AX95" s="106">
        <v>3.0534224510192871</v>
      </c>
      <c r="AY95" s="106">
        <v>5290.9704231262203</v>
      </c>
      <c r="AZ95" s="106">
        <v>7.1261631271160359</v>
      </c>
      <c r="BA95" s="106">
        <v>12348.215466666667</v>
      </c>
      <c r="BB95" s="106">
        <v>6.0615148019992313</v>
      </c>
      <c r="BC95" s="106">
        <v>10503.392848904268</v>
      </c>
      <c r="BD95" s="106">
        <v>10.051627347965434</v>
      </c>
      <c r="BE95" s="106">
        <v>17417.459868554502</v>
      </c>
      <c r="BF95" s="106">
        <v>10.064578757408858</v>
      </c>
      <c r="BG95" s="106">
        <v>17439.90207083807</v>
      </c>
      <c r="BH95" s="106">
        <v>7.0485549328714789</v>
      </c>
      <c r="BI95" s="106">
        <v>12213.735987679698</v>
      </c>
      <c r="BJ95" s="106">
        <v>12.035279139150182</v>
      </c>
      <c r="BK95" s="106">
        <v>20854.731692319434</v>
      </c>
      <c r="BL95" s="106">
        <v>9</v>
      </c>
      <c r="BM95" s="106">
        <v>15595.199999999999</v>
      </c>
      <c r="BN95" s="106">
        <v>10.074842225745169</v>
      </c>
      <c r="BO95" s="106">
        <v>17457.686608771226</v>
      </c>
      <c r="BP95" s="106">
        <v>5.0736113982750473</v>
      </c>
      <c r="BQ95" s="106">
        <v>8791.5538309310014</v>
      </c>
      <c r="BR95" s="106">
        <v>3</v>
      </c>
      <c r="BS95" s="106">
        <v>5198.3999999999996</v>
      </c>
      <c r="BT95" s="106">
        <v>5.2301770856090632</v>
      </c>
      <c r="BU95" s="106">
        <v>9062.8508539433842</v>
      </c>
      <c r="BV95" s="106">
        <v>3</v>
      </c>
      <c r="BW95" s="106">
        <v>5198.3999999999996</v>
      </c>
      <c r="BX95" s="106">
        <v>12.154376621739765</v>
      </c>
      <c r="BY95" s="106">
        <v>21061.103810150664</v>
      </c>
      <c r="BZ95" s="106">
        <v>12.117519122138244</v>
      </c>
      <c r="CA95" s="106">
        <v>20997.237134841147</v>
      </c>
      <c r="CB95" s="106">
        <v>10</v>
      </c>
      <c r="CC95" s="106">
        <v>17328</v>
      </c>
      <c r="CD95" s="106">
        <v>10.120495210514591</v>
      </c>
      <c r="CE95" s="106">
        <v>17536.794100779684</v>
      </c>
      <c r="CF95" s="106">
        <v>3.0843020843308118</v>
      </c>
      <c r="CG95" s="106">
        <v>5344.4786517284301</v>
      </c>
      <c r="CH95" s="106">
        <v>3</v>
      </c>
      <c r="CI95" s="106">
        <v>5198.3999999999996</v>
      </c>
      <c r="CJ95" s="106">
        <v>2.031928669410151</v>
      </c>
      <c r="CK95" s="106">
        <v>3520.9259983539096</v>
      </c>
      <c r="CL95" s="106">
        <v>3</v>
      </c>
      <c r="CM95" s="106">
        <v>5198.3999999999996</v>
      </c>
      <c r="CN95" s="106">
        <v>2.1112426443793249</v>
      </c>
      <c r="CO95" s="106">
        <v>3658.3612541804941</v>
      </c>
      <c r="CP95" s="106">
        <v>3.1733929990954195</v>
      </c>
      <c r="CQ95" s="106">
        <v>5498.8553888325432</v>
      </c>
      <c r="CR95" s="106">
        <v>4.1135248485513003</v>
      </c>
      <c r="CS95" s="106">
        <v>7127.9158575696929</v>
      </c>
      <c r="CT95" s="106">
        <v>5.1071575568899537</v>
      </c>
      <c r="CU95" s="106">
        <v>8849.6826145789109</v>
      </c>
    </row>
    <row r="96" spans="2:99" x14ac:dyDescent="0.2">
      <c r="C96" s="105" t="s">
        <v>262</v>
      </c>
      <c r="D96" s="106">
        <v>4.2042483436923703</v>
      </c>
      <c r="E96" s="106">
        <v>3460.937236527559</v>
      </c>
      <c r="F96" s="106">
        <v>6</v>
      </c>
      <c r="G96" s="106">
        <v>4939.2</v>
      </c>
      <c r="H96" s="106">
        <v>8.2895967921586102</v>
      </c>
      <c r="I96" s="106">
        <v>6823.9960793049677</v>
      </c>
      <c r="J96" s="106">
        <v>4.0975723792467669</v>
      </c>
      <c r="K96" s="106">
        <v>3373.1215825959384</v>
      </c>
      <c r="L96" s="106">
        <v>3.0572098015358904</v>
      </c>
      <c r="M96" s="106">
        <v>2516.6951086243448</v>
      </c>
      <c r="N96" s="106">
        <v>2.0695119566372622</v>
      </c>
      <c r="O96" s="106">
        <v>1703.622242703794</v>
      </c>
      <c r="P96" s="106">
        <v>2.0811227677243327</v>
      </c>
      <c r="Q96" s="106">
        <v>1713.1802623906706</v>
      </c>
      <c r="R96" s="106">
        <v>3.0901961765098198</v>
      </c>
      <c r="S96" s="106">
        <v>2543.8494925028835</v>
      </c>
      <c r="T96" s="106">
        <v>13.117626232741618</v>
      </c>
      <c r="U96" s="106">
        <v>10798.429914792898</v>
      </c>
      <c r="V96" s="106">
        <v>10.120928016946582</v>
      </c>
      <c r="W96" s="106">
        <v>8331.5479435504258</v>
      </c>
      <c r="X96" s="106">
        <v>9</v>
      </c>
      <c r="Y96" s="106">
        <v>7408.7999999999993</v>
      </c>
      <c r="Z96" s="106">
        <v>14.173258065030188</v>
      </c>
      <c r="AA96" s="106">
        <v>11667.42603913285</v>
      </c>
      <c r="AB96" s="106">
        <v>8</v>
      </c>
      <c r="AC96" s="106">
        <v>6585.5999999999995</v>
      </c>
      <c r="AD96" s="106">
        <v>7.0412273084774117</v>
      </c>
      <c r="AE96" s="106">
        <v>5796.3383203386047</v>
      </c>
      <c r="AF96" s="106">
        <v>7.0358186953568254</v>
      </c>
      <c r="AG96" s="106">
        <v>5791.8859500177377</v>
      </c>
      <c r="AH96" s="106">
        <v>6.0411033739292579</v>
      </c>
      <c r="AI96" s="106">
        <v>4973.0362974185646</v>
      </c>
      <c r="AJ96" s="106">
        <v>29.061519976056687</v>
      </c>
      <c r="AK96" s="106">
        <v>23923.443244289861</v>
      </c>
      <c r="AL96" s="106">
        <v>56.178242387132812</v>
      </c>
      <c r="AM96" s="106">
        <v>46245.929133087724</v>
      </c>
      <c r="AN96" s="106">
        <v>36.053452176184884</v>
      </c>
      <c r="AO96" s="106">
        <v>29679.201831435395</v>
      </c>
      <c r="AP96" s="106">
        <v>48</v>
      </c>
      <c r="AQ96" s="106">
        <v>39513.599999999999</v>
      </c>
      <c r="AR96" s="106">
        <v>2</v>
      </c>
      <c r="AS96" s="106">
        <v>1646.3999999999999</v>
      </c>
      <c r="AT96" s="106">
        <v>3.1158829426922492</v>
      </c>
      <c r="AU96" s="106">
        <v>2564.9948384242593</v>
      </c>
      <c r="AV96" s="106">
        <v>4</v>
      </c>
      <c r="AW96" s="106">
        <v>3292.7999999999997</v>
      </c>
      <c r="AX96" s="106">
        <v>2.0555593490600588</v>
      </c>
      <c r="AY96" s="106">
        <v>1692.1364561462403</v>
      </c>
      <c r="AZ96" s="106">
        <v>8.1261631271160351</v>
      </c>
      <c r="BA96" s="106">
        <v>6689.4574862419195</v>
      </c>
      <c r="BB96" s="106">
        <v>8.0692041522491351</v>
      </c>
      <c r="BC96" s="106">
        <v>6642.5688581314871</v>
      </c>
      <c r="BD96" s="106">
        <v>10.051627347965434</v>
      </c>
      <c r="BE96" s="106">
        <v>8274.4996328451452</v>
      </c>
      <c r="BF96" s="106">
        <v>11.071754174898732</v>
      </c>
      <c r="BG96" s="106">
        <v>9114.2680367766352</v>
      </c>
      <c r="BH96" s="106">
        <v>9.0527771009472602</v>
      </c>
      <c r="BI96" s="106">
        <v>7452.2461094997843</v>
      </c>
      <c r="BJ96" s="106">
        <v>14.041504869588451</v>
      </c>
      <c r="BK96" s="106">
        <v>11558.966808645211</v>
      </c>
      <c r="BL96" s="106">
        <v>9</v>
      </c>
      <c r="BM96" s="106">
        <v>7408.7999999999993</v>
      </c>
      <c r="BN96" s="106">
        <v>11.074842225745169</v>
      </c>
      <c r="BO96" s="106">
        <v>9116.8101202334219</v>
      </c>
      <c r="BP96" s="106">
        <v>4.0824447660680532</v>
      </c>
      <c r="BQ96" s="106">
        <v>3360.6685314272213</v>
      </c>
      <c r="BR96" s="106">
        <v>4</v>
      </c>
      <c r="BS96" s="106">
        <v>3292.7999999999997</v>
      </c>
      <c r="BT96" s="106">
        <v>6.2541538653600073</v>
      </c>
      <c r="BU96" s="106">
        <v>5148.4194619643577</v>
      </c>
      <c r="BV96" s="106">
        <v>3</v>
      </c>
      <c r="BW96" s="106">
        <v>2469.6</v>
      </c>
      <c r="BX96" s="106">
        <v>11.159007920391959</v>
      </c>
      <c r="BY96" s="106">
        <v>9186.095320066659</v>
      </c>
      <c r="BZ96" s="106">
        <v>14.150571375239625</v>
      </c>
      <c r="CA96" s="106">
        <v>11648.750356097258</v>
      </c>
      <c r="CB96" s="106">
        <v>10</v>
      </c>
      <c r="CC96" s="106">
        <v>8232</v>
      </c>
      <c r="CD96" s="106">
        <v>11.135150033415014</v>
      </c>
      <c r="CE96" s="106">
        <v>9166.4555075072385</v>
      </c>
      <c r="CF96" s="106">
        <v>3.0963452392352133</v>
      </c>
      <c r="CG96" s="106">
        <v>2548.9114009384275</v>
      </c>
      <c r="CH96" s="106">
        <v>4</v>
      </c>
      <c r="CI96" s="106">
        <v>3292.7999999999997</v>
      </c>
      <c r="CJ96" s="106">
        <v>2.0399108367626888</v>
      </c>
      <c r="CK96" s="106">
        <v>1679.2546008230454</v>
      </c>
      <c r="CL96" s="106">
        <v>3</v>
      </c>
      <c r="CM96" s="106">
        <v>2469.6</v>
      </c>
      <c r="CN96" s="106">
        <v>2.127134450719228</v>
      </c>
      <c r="CO96" s="106">
        <v>1751.0570798320684</v>
      </c>
      <c r="CP96" s="106">
        <v>3.1957662893012801</v>
      </c>
      <c r="CQ96" s="106">
        <v>2630.7548093528135</v>
      </c>
      <c r="CR96" s="106">
        <v>4.1106867273375185</v>
      </c>
      <c r="CS96" s="106">
        <v>3383.9173139442451</v>
      </c>
      <c r="CT96" s="106">
        <v>5.1015176854746933</v>
      </c>
      <c r="CU96" s="106">
        <v>4199.5693586827674</v>
      </c>
    </row>
    <row r="97" spans="2:99" x14ac:dyDescent="0.2">
      <c r="C97" s="105" t="s">
        <v>263</v>
      </c>
      <c r="D97" s="106">
        <v>4.1815540832821076</v>
      </c>
      <c r="E97" s="106">
        <v>7647.2261075063179</v>
      </c>
      <c r="F97" s="106">
        <v>5</v>
      </c>
      <c r="G97" s="106">
        <v>9144</v>
      </c>
      <c r="H97" s="106">
        <v>7.2490532412564042</v>
      </c>
      <c r="I97" s="106">
        <v>13257.068567609711</v>
      </c>
      <c r="J97" s="106">
        <v>4.0864212501899937</v>
      </c>
      <c r="K97" s="106">
        <v>7473.2471823474607</v>
      </c>
      <c r="L97" s="106">
        <v>3.0572098015358904</v>
      </c>
      <c r="M97" s="106">
        <v>5591.0252850488359</v>
      </c>
      <c r="N97" s="106">
        <v>3.0583003507280262</v>
      </c>
      <c r="O97" s="106">
        <v>5593.0196814114142</v>
      </c>
      <c r="P97" s="106">
        <v>2.0731695552023393</v>
      </c>
      <c r="Q97" s="106">
        <v>3791.412482554038</v>
      </c>
      <c r="R97" s="106">
        <v>3.0810236839833971</v>
      </c>
      <c r="S97" s="106">
        <v>5634.5761132688367</v>
      </c>
      <c r="T97" s="106">
        <v>12.098021860618015</v>
      </c>
      <c r="U97" s="106">
        <v>22124.862378698224</v>
      </c>
      <c r="V97" s="106">
        <v>8.1049228382330636</v>
      </c>
      <c r="W97" s="106">
        <v>14822.282886560626</v>
      </c>
      <c r="X97" s="106">
        <v>8</v>
      </c>
      <c r="Y97" s="106">
        <v>14630.4</v>
      </c>
      <c r="Z97" s="106">
        <v>12.14438172085849</v>
      </c>
      <c r="AA97" s="106">
        <v>22209.645291106008</v>
      </c>
      <c r="AB97" s="106">
        <v>7</v>
      </c>
      <c r="AC97" s="106">
        <v>12801.6</v>
      </c>
      <c r="AD97" s="106">
        <v>7.0412273084774117</v>
      </c>
      <c r="AE97" s="106">
        <v>12876.99650174349</v>
      </c>
      <c r="AF97" s="106">
        <v>6.0394005648925084</v>
      </c>
      <c r="AG97" s="106">
        <v>11044.855753075419</v>
      </c>
      <c r="AH97" s="106">
        <v>6.0328826991434061</v>
      </c>
      <c r="AI97" s="106">
        <v>11032.935880193461</v>
      </c>
      <c r="AJ97" s="106">
        <v>24.055927250960622</v>
      </c>
      <c r="AK97" s="106">
        <v>43993.479756556786</v>
      </c>
      <c r="AL97" s="106">
        <v>41.153371356370094</v>
      </c>
      <c r="AM97" s="106">
        <v>75261.285536529627</v>
      </c>
      <c r="AN97" s="106">
        <v>25.045228764464131</v>
      </c>
      <c r="AO97" s="106">
        <v>45802.714364452004</v>
      </c>
      <c r="AP97" s="106">
        <v>38</v>
      </c>
      <c r="AQ97" s="106">
        <v>69494.399999999994</v>
      </c>
      <c r="AR97" s="106">
        <v>2</v>
      </c>
      <c r="AS97" s="106">
        <v>3657.6</v>
      </c>
      <c r="AT97" s="106">
        <v>3.1076055896428025</v>
      </c>
      <c r="AU97" s="106">
        <v>5683.189102338757</v>
      </c>
      <c r="AV97" s="106">
        <v>3</v>
      </c>
      <c r="AW97" s="106">
        <v>5486.4</v>
      </c>
      <c r="AX97" s="106">
        <v>2.0555593490600588</v>
      </c>
      <c r="AY97" s="106">
        <v>3759.2069375610354</v>
      </c>
      <c r="AZ97" s="106">
        <v>7.1187417666974451</v>
      </c>
      <c r="BA97" s="106">
        <v>13018.754942936288</v>
      </c>
      <c r="BB97" s="106">
        <v>7.0653594771241828</v>
      </c>
      <c r="BC97" s="106">
        <v>12921.129411764705</v>
      </c>
      <c r="BD97" s="106">
        <v>10.048185524767739</v>
      </c>
      <c r="BE97" s="106">
        <v>18376.121687695239</v>
      </c>
      <c r="BF97" s="106">
        <v>11.064578757408858</v>
      </c>
      <c r="BG97" s="106">
        <v>20234.901631549321</v>
      </c>
      <c r="BH97" s="106">
        <v>7.0485549328714789</v>
      </c>
      <c r="BI97" s="106">
        <v>12890.397261235361</v>
      </c>
      <c r="BJ97" s="106">
        <v>12.035279139150182</v>
      </c>
      <c r="BK97" s="106">
        <v>22010.118489677854</v>
      </c>
      <c r="BL97" s="106">
        <v>9</v>
      </c>
      <c r="BM97" s="106">
        <v>16459.2</v>
      </c>
      <c r="BN97" s="106">
        <v>9.0714403063931144</v>
      </c>
      <c r="BO97" s="106">
        <v>16589.850032331728</v>
      </c>
      <c r="BP97" s="106">
        <v>4.0824447660680532</v>
      </c>
      <c r="BQ97" s="106">
        <v>7465.9749881852558</v>
      </c>
      <c r="BR97" s="106">
        <v>4</v>
      </c>
      <c r="BS97" s="106">
        <v>7315.2</v>
      </c>
      <c r="BT97" s="106">
        <v>5.1918142380075532</v>
      </c>
      <c r="BU97" s="106">
        <v>9494.7898784682129</v>
      </c>
      <c r="BV97" s="106">
        <v>3</v>
      </c>
      <c r="BW97" s="106">
        <v>5486.4</v>
      </c>
      <c r="BX97" s="106">
        <v>10.1312201284788</v>
      </c>
      <c r="BY97" s="106">
        <v>18527.975370962027</v>
      </c>
      <c r="BZ97" s="106">
        <v>13.119355358421654</v>
      </c>
      <c r="CA97" s="106">
        <v>23992.67707948152</v>
      </c>
      <c r="CB97" s="106">
        <v>10</v>
      </c>
      <c r="CC97" s="106">
        <v>18288</v>
      </c>
      <c r="CD97" s="106">
        <v>10.127008465137001</v>
      </c>
      <c r="CE97" s="106">
        <v>18520.273081042546</v>
      </c>
      <c r="CF97" s="106">
        <v>3.0903236617830125</v>
      </c>
      <c r="CG97" s="106">
        <v>5651.5839126687733</v>
      </c>
      <c r="CH97" s="106">
        <v>3</v>
      </c>
      <c r="CI97" s="106">
        <v>5486.4</v>
      </c>
      <c r="CJ97" s="106">
        <v>2.0399108367626888</v>
      </c>
      <c r="CK97" s="106">
        <v>3730.588938271605</v>
      </c>
      <c r="CL97" s="106">
        <v>3</v>
      </c>
      <c r="CM97" s="106">
        <v>5486.4</v>
      </c>
      <c r="CN97" s="106">
        <v>3.1175993669152859</v>
      </c>
      <c r="CO97" s="106">
        <v>5701.4657222146752</v>
      </c>
      <c r="CP97" s="106">
        <v>2.1566130314410241</v>
      </c>
      <c r="CQ97" s="106">
        <v>3944.0139118993447</v>
      </c>
      <c r="CR97" s="106">
        <v>3.0993342424823882</v>
      </c>
      <c r="CS97" s="106">
        <v>5668.0624626517911</v>
      </c>
      <c r="CT97" s="106">
        <v>5.1015176854746933</v>
      </c>
      <c r="CU97" s="106">
        <v>9329.6555431961187</v>
      </c>
    </row>
    <row r="98" spans="2:99" x14ac:dyDescent="0.2">
      <c r="C98" s="105" t="s">
        <v>264</v>
      </c>
      <c r="D98" s="106">
        <v>4.1815540832821076</v>
      </c>
      <c r="E98" s="106">
        <v>5283.8117396352709</v>
      </c>
      <c r="F98" s="106">
        <v>5</v>
      </c>
      <c r="G98" s="106">
        <v>6318</v>
      </c>
      <c r="H98" s="106">
        <v>6.2780129204722659</v>
      </c>
      <c r="I98" s="106">
        <v>7932.8971263087542</v>
      </c>
      <c r="J98" s="106">
        <v>4.0808456856616067</v>
      </c>
      <c r="K98" s="106">
        <v>5156.5566084020056</v>
      </c>
      <c r="L98" s="106">
        <v>3.0516733691291913</v>
      </c>
      <c r="M98" s="106">
        <v>3856.0944692316457</v>
      </c>
      <c r="N98" s="106">
        <v>3.056058029546179</v>
      </c>
      <c r="O98" s="106">
        <v>3861.6349261345517</v>
      </c>
      <c r="P98" s="106">
        <v>2.0731695552023393</v>
      </c>
      <c r="Q98" s="106">
        <v>2619.6570499536756</v>
      </c>
      <c r="R98" s="106">
        <v>3.0794949352289938</v>
      </c>
      <c r="S98" s="106">
        <v>3891.2498001553563</v>
      </c>
      <c r="T98" s="106">
        <v>12.10502342209073</v>
      </c>
      <c r="U98" s="106">
        <v>15295.907596153846</v>
      </c>
      <c r="V98" s="106">
        <v>9.1067011914234541</v>
      </c>
      <c r="W98" s="106">
        <v>11507.227625482676</v>
      </c>
      <c r="X98" s="106">
        <v>7</v>
      </c>
      <c r="Y98" s="106">
        <v>8845.1999999999989</v>
      </c>
      <c r="Z98" s="106">
        <v>13.166841099658699</v>
      </c>
      <c r="AA98" s="106">
        <v>16637.62041352873</v>
      </c>
      <c r="AB98" s="106">
        <v>7</v>
      </c>
      <c r="AC98" s="106">
        <v>8845.1999999999989</v>
      </c>
      <c r="AD98" s="106">
        <v>6.0366464964243658</v>
      </c>
      <c r="AE98" s="106">
        <v>7627.9065128818283</v>
      </c>
      <c r="AF98" s="106">
        <v>6.0394005648925084</v>
      </c>
      <c r="AG98" s="106">
        <v>7631.3865537981728</v>
      </c>
      <c r="AH98" s="106">
        <v>6.036993036536332</v>
      </c>
      <c r="AI98" s="106">
        <v>7628.3444009673085</v>
      </c>
      <c r="AJ98" s="106">
        <v>23.063384217755374</v>
      </c>
      <c r="AK98" s="106">
        <v>29142.892297555689</v>
      </c>
      <c r="AL98" s="106">
        <v>46.178242387132812</v>
      </c>
      <c r="AM98" s="106">
        <v>58350.827080381016</v>
      </c>
      <c r="AN98" s="106">
        <v>33.049340470324509</v>
      </c>
      <c r="AO98" s="106">
        <v>41761.146618302046</v>
      </c>
      <c r="AP98" s="106">
        <v>47</v>
      </c>
      <c r="AQ98" s="106">
        <v>59389.2</v>
      </c>
      <c r="AR98" s="106">
        <v>2</v>
      </c>
      <c r="AS98" s="106">
        <v>2527.1999999999998</v>
      </c>
      <c r="AT98" s="106">
        <v>3.1076055896428025</v>
      </c>
      <c r="AU98" s="106">
        <v>3926.7704230726449</v>
      </c>
      <c r="AV98" s="106">
        <v>3</v>
      </c>
      <c r="AW98" s="106">
        <v>3790.7999999999997</v>
      </c>
      <c r="AX98" s="106">
        <v>2.0544909000396729</v>
      </c>
      <c r="AY98" s="106">
        <v>2596.0547012901307</v>
      </c>
      <c r="AZ98" s="106">
        <v>8.1335844875346268</v>
      </c>
      <c r="BA98" s="106">
        <v>10277.597358448753</v>
      </c>
      <c r="BB98" s="106">
        <v>7.0653594771241828</v>
      </c>
      <c r="BC98" s="106">
        <v>8927.788235294116</v>
      </c>
      <c r="BD98" s="106">
        <v>11.044743701570043</v>
      </c>
      <c r="BE98" s="106">
        <v>13956.138141303905</v>
      </c>
      <c r="BF98" s="106">
        <v>11.057403339918986</v>
      </c>
      <c r="BG98" s="106">
        <v>13972.13486032163</v>
      </c>
      <c r="BH98" s="106">
        <v>8.0443327647956977</v>
      </c>
      <c r="BI98" s="106">
        <v>10164.818881595844</v>
      </c>
      <c r="BJ98" s="106">
        <v>13.039429626109028</v>
      </c>
      <c r="BK98" s="106">
        <v>16476.623275551367</v>
      </c>
      <c r="BL98" s="106">
        <v>9</v>
      </c>
      <c r="BM98" s="106">
        <v>11372.4</v>
      </c>
      <c r="BN98" s="106">
        <v>10.074842225745169</v>
      </c>
      <c r="BO98" s="106">
        <v>12730.570636451594</v>
      </c>
      <c r="BP98" s="106">
        <v>4.0824447660680532</v>
      </c>
      <c r="BQ98" s="106">
        <v>5158.5772064035918</v>
      </c>
      <c r="BR98" s="106">
        <v>3</v>
      </c>
      <c r="BS98" s="106">
        <v>3790.7999999999997</v>
      </c>
      <c r="BT98" s="106">
        <v>5.2445631534596302</v>
      </c>
      <c r="BU98" s="106">
        <v>6627.0300007115884</v>
      </c>
      <c r="BV98" s="106">
        <v>3</v>
      </c>
      <c r="BW98" s="106">
        <v>3790.7999999999997</v>
      </c>
      <c r="BX98" s="106">
        <v>11.165182985261549</v>
      </c>
      <c r="BY98" s="106">
        <v>14108.325220176492</v>
      </c>
      <c r="BZ98" s="106">
        <v>13.130372776122115</v>
      </c>
      <c r="CA98" s="106">
        <v>16591.539039907904</v>
      </c>
      <c r="CB98" s="106">
        <v>10</v>
      </c>
      <c r="CC98" s="106">
        <v>12636</v>
      </c>
      <c r="CD98" s="106">
        <v>10.120495210514591</v>
      </c>
      <c r="CE98" s="106">
        <v>12788.257748006235</v>
      </c>
      <c r="CF98" s="106">
        <v>3.078280506878611</v>
      </c>
      <c r="CG98" s="106">
        <v>3889.7152484918124</v>
      </c>
      <c r="CH98" s="106">
        <v>4</v>
      </c>
      <c r="CI98" s="106">
        <v>5054.3999999999996</v>
      </c>
      <c r="CJ98" s="106">
        <v>2.0359197530864197</v>
      </c>
      <c r="CK98" s="106">
        <v>2572.5881999999997</v>
      </c>
      <c r="CL98" s="106">
        <v>3</v>
      </c>
      <c r="CM98" s="106">
        <v>3790.7999999999997</v>
      </c>
      <c r="CN98" s="106">
        <v>3.1112426443793249</v>
      </c>
      <c r="CO98" s="106">
        <v>3931.3662054377146</v>
      </c>
      <c r="CP98" s="106">
        <v>3.1789863216468848</v>
      </c>
      <c r="CQ98" s="106">
        <v>4016.9671160330031</v>
      </c>
      <c r="CR98" s="106">
        <v>3.116362969765083</v>
      </c>
      <c r="CS98" s="106">
        <v>3937.8362485951584</v>
      </c>
      <c r="CT98" s="106">
        <v>5.1099774925975838</v>
      </c>
      <c r="CU98" s="106">
        <v>6456.9675596463067</v>
      </c>
    </row>
    <row r="99" spans="2:99" x14ac:dyDescent="0.2">
      <c r="C99" s="105" t="s">
        <v>265</v>
      </c>
      <c r="D99" s="106">
        <v>3.1286008089914925</v>
      </c>
      <c r="E99" s="106">
        <v>17149.738194567763</v>
      </c>
      <c r="F99" s="106">
        <v>3</v>
      </c>
      <c r="G99" s="106">
        <v>16444.8</v>
      </c>
      <c r="H99" s="106">
        <v>5.1679661394519938</v>
      </c>
      <c r="I99" s="106">
        <v>28328.723190020046</v>
      </c>
      <c r="J99" s="106">
        <v>3.0501800807554802</v>
      </c>
      <c r="K99" s="106">
        <v>16719.867130669238</v>
      </c>
      <c r="L99" s="106">
        <v>2.035064071909094</v>
      </c>
      <c r="M99" s="106">
        <v>11155.407216576888</v>
      </c>
      <c r="N99" s="106">
        <v>2.0358771389095547</v>
      </c>
      <c r="O99" s="106">
        <v>11159.864124646614</v>
      </c>
      <c r="P99" s="106">
        <v>2.0493099176363589</v>
      </c>
      <c r="Q99" s="106">
        <v>11233.497244515464</v>
      </c>
      <c r="R99" s="106">
        <v>2.0535062064041303</v>
      </c>
      <c r="S99" s="106">
        <v>11256.499621024879</v>
      </c>
      <c r="T99" s="106">
        <v>8.0602134286653513</v>
      </c>
      <c r="U99" s="106">
        <v>44182.865930571985</v>
      </c>
      <c r="V99" s="106">
        <v>6.056907302092509</v>
      </c>
      <c r="W99" s="106">
        <v>33201.543067150291</v>
      </c>
      <c r="X99" s="106">
        <v>5</v>
      </c>
      <c r="Y99" s="106">
        <v>27407.999999999996</v>
      </c>
      <c r="Z99" s="106">
        <v>8.0994629632580697</v>
      </c>
      <c r="AA99" s="106">
        <v>44398.016179395432</v>
      </c>
      <c r="AB99" s="106">
        <v>5</v>
      </c>
      <c r="AC99" s="106">
        <v>27407.999999999996</v>
      </c>
      <c r="AD99" s="106">
        <v>4.0320656843713207</v>
      </c>
      <c r="AE99" s="106">
        <v>22102.17125544983</v>
      </c>
      <c r="AF99" s="106">
        <v>4.0286549562854601</v>
      </c>
      <c r="AG99" s="106">
        <v>22083.475008374375</v>
      </c>
      <c r="AH99" s="106">
        <v>5.0287723617504811</v>
      </c>
      <c r="AI99" s="106">
        <v>27565.718578171436</v>
      </c>
      <c r="AJ99" s="106">
        <v>12.041013317371124</v>
      </c>
      <c r="AK99" s="106">
        <v>66004.018600501542</v>
      </c>
      <c r="AL99" s="106">
        <v>24.11191963843223</v>
      </c>
      <c r="AM99" s="106">
        <v>132171.8986900301</v>
      </c>
      <c r="AN99" s="106">
        <v>14.034949499813193</v>
      </c>
      <c r="AO99" s="106">
        <v>76933.979178175985</v>
      </c>
      <c r="AP99" s="106">
        <v>23</v>
      </c>
      <c r="AQ99" s="106">
        <v>126076.79999999999</v>
      </c>
      <c r="AR99" s="106">
        <v>2</v>
      </c>
      <c r="AS99" s="106">
        <v>10963.199999999999</v>
      </c>
      <c r="AT99" s="106">
        <v>2.0786348539697403</v>
      </c>
      <c r="AU99" s="106">
        <v>11394.244815520527</v>
      </c>
      <c r="AV99" s="106">
        <v>2</v>
      </c>
      <c r="AW99" s="106">
        <v>10963.199999999999</v>
      </c>
      <c r="AX99" s="106">
        <v>2.0352588176727293</v>
      </c>
      <c r="AY99" s="106">
        <v>11156.474734954832</v>
      </c>
      <c r="AZ99" s="106">
        <v>5.0890563250230842</v>
      </c>
      <c r="BA99" s="106">
        <v>27896.171151246537</v>
      </c>
      <c r="BB99" s="106">
        <v>5.0461361014994237</v>
      </c>
      <c r="BC99" s="106">
        <v>27660.899653979239</v>
      </c>
      <c r="BD99" s="106">
        <v>8.0344182319769573</v>
      </c>
      <c r="BE99" s="106">
        <v>44041.466980404883</v>
      </c>
      <c r="BF99" s="106">
        <v>7.0502279224291122</v>
      </c>
      <c r="BG99" s="106">
        <v>38646.529379587417</v>
      </c>
      <c r="BH99" s="106">
        <v>5.0295551765304651</v>
      </c>
      <c r="BI99" s="106">
        <v>27570.009655669393</v>
      </c>
      <c r="BJ99" s="106">
        <v>8.0290534087119152</v>
      </c>
      <c r="BK99" s="106">
        <v>44012.059165195227</v>
      </c>
      <c r="BL99" s="106">
        <v>6</v>
      </c>
      <c r="BM99" s="106">
        <v>32889.599999999999</v>
      </c>
      <c r="BN99" s="106">
        <v>6.051028790280796</v>
      </c>
      <c r="BO99" s="106">
        <v>33169.319416803206</v>
      </c>
      <c r="BP99" s="106">
        <v>3.0500557508270321</v>
      </c>
      <c r="BQ99" s="106">
        <v>16719.185603733458</v>
      </c>
      <c r="BR99" s="106">
        <v>3</v>
      </c>
      <c r="BS99" s="106">
        <v>16444.8</v>
      </c>
      <c r="BT99" s="106">
        <v>4.1342699666052871</v>
      </c>
      <c r="BU99" s="106">
        <v>22662.41424894354</v>
      </c>
      <c r="BV99" s="106">
        <v>2</v>
      </c>
      <c r="BW99" s="106">
        <v>10963.199999999999</v>
      </c>
      <c r="BX99" s="106">
        <v>7.0879946743916662</v>
      </c>
      <c r="BY99" s="106">
        <v>38853.551607145353</v>
      </c>
      <c r="BZ99" s="106">
        <v>8.0771219239032224</v>
      </c>
      <c r="CA99" s="106">
        <v>44275.551538067899</v>
      </c>
      <c r="CB99" s="106">
        <v>6</v>
      </c>
      <c r="CC99" s="106">
        <v>32889.599999999999</v>
      </c>
      <c r="CD99" s="106">
        <v>7.0765307418133219</v>
      </c>
      <c r="CE99" s="106">
        <v>38790.710914323899</v>
      </c>
      <c r="CF99" s="106">
        <v>2.0722589294264102</v>
      </c>
      <c r="CG99" s="106">
        <v>11359.294547543808</v>
      </c>
      <c r="CH99" s="106">
        <v>3</v>
      </c>
      <c r="CI99" s="106">
        <v>16444.8</v>
      </c>
      <c r="CJ99" s="106">
        <v>2.0279375857338819</v>
      </c>
      <c r="CK99" s="106">
        <v>11116.342669958845</v>
      </c>
      <c r="CL99" s="106">
        <v>2</v>
      </c>
      <c r="CM99" s="106">
        <v>10963.199999999999</v>
      </c>
      <c r="CN99" s="106">
        <v>2.0762806704315371</v>
      </c>
      <c r="CO99" s="106">
        <v>11381.340123037513</v>
      </c>
      <c r="CP99" s="106">
        <v>2.1006798059263727</v>
      </c>
      <c r="CQ99" s="106">
        <v>11515.086424166004</v>
      </c>
      <c r="CR99" s="106">
        <v>3.0766292727721281</v>
      </c>
      <c r="CS99" s="106">
        <v>16864.851021627695</v>
      </c>
      <c r="CT99" s="106">
        <v>4.0648585212754984</v>
      </c>
      <c r="CU99" s="106">
        <v>22281.928470223771</v>
      </c>
    </row>
    <row r="100" spans="2:99" x14ac:dyDescent="0.2">
      <c r="C100" s="105" t="s">
        <v>266</v>
      </c>
      <c r="D100" s="106">
        <v>4.1777717065470634</v>
      </c>
      <c r="E100" s="106">
        <v>6778.0168167019556</v>
      </c>
      <c r="F100" s="106">
        <v>5</v>
      </c>
      <c r="G100" s="106">
        <v>8111.9999999999991</v>
      </c>
      <c r="H100" s="106">
        <v>6.2722209846290937</v>
      </c>
      <c r="I100" s="106">
        <v>10176.05132546224</v>
      </c>
      <c r="J100" s="106">
        <v>4.0780579033974131</v>
      </c>
      <c r="K100" s="106">
        <v>6616.2411424719621</v>
      </c>
      <c r="L100" s="106">
        <v>3.0535188465980911</v>
      </c>
      <c r="M100" s="106">
        <v>4954.0289767207423</v>
      </c>
      <c r="N100" s="106">
        <v>2.0583003507280262</v>
      </c>
      <c r="O100" s="106">
        <v>3339.3864890211494</v>
      </c>
      <c r="P100" s="106">
        <v>2.074760197706738</v>
      </c>
      <c r="Q100" s="106">
        <v>3366.0909447594113</v>
      </c>
      <c r="R100" s="106">
        <v>3.0810236839833971</v>
      </c>
      <c r="S100" s="106">
        <v>4998.6528248946634</v>
      </c>
      <c r="T100" s="106">
        <v>11.114825608152531</v>
      </c>
      <c r="U100" s="106">
        <v>18032.693066666663</v>
      </c>
      <c r="V100" s="106">
        <v>10.112036250994628</v>
      </c>
      <c r="W100" s="106">
        <v>16405.767613613683</v>
      </c>
      <c r="X100" s="106">
        <v>8</v>
      </c>
      <c r="Y100" s="106">
        <v>12979.199999999999</v>
      </c>
      <c r="Z100" s="106">
        <v>11.154007168915722</v>
      </c>
      <c r="AA100" s="106">
        <v>18096.261230848868</v>
      </c>
      <c r="AB100" s="106">
        <v>7</v>
      </c>
      <c r="AC100" s="106">
        <v>11356.8</v>
      </c>
      <c r="AD100" s="106">
        <v>7.0366464964243658</v>
      </c>
      <c r="AE100" s="106">
        <v>11416.255275798891</v>
      </c>
      <c r="AF100" s="106">
        <v>7.0358186953568254</v>
      </c>
      <c r="AG100" s="106">
        <v>11414.912251346912</v>
      </c>
      <c r="AH100" s="106">
        <v>6.0411033739292579</v>
      </c>
      <c r="AI100" s="106">
        <v>9801.0861138628279</v>
      </c>
      <c r="AJ100" s="106">
        <v>22.05033452586456</v>
      </c>
      <c r="AK100" s="106">
        <v>35774.462734762659</v>
      </c>
      <c r="AL100" s="106">
        <v>44.174097215339025</v>
      </c>
      <c r="AM100" s="106">
        <v>71668.055322166023</v>
      </c>
      <c r="AN100" s="106">
        <v>29.049340470324509</v>
      </c>
      <c r="AO100" s="106">
        <v>47129.649979054477</v>
      </c>
      <c r="AP100" s="106">
        <v>43</v>
      </c>
      <c r="AQ100" s="106">
        <v>69763.199999999997</v>
      </c>
      <c r="AR100" s="106">
        <v>2</v>
      </c>
      <c r="AS100" s="106">
        <v>3244.7999999999997</v>
      </c>
      <c r="AT100" s="106">
        <v>3.1117442661675261</v>
      </c>
      <c r="AU100" s="106">
        <v>5048.493897430194</v>
      </c>
      <c r="AV100" s="106">
        <v>3</v>
      </c>
      <c r="AW100" s="106">
        <v>4867.2</v>
      </c>
      <c r="AX100" s="106">
        <v>2.0534224510192871</v>
      </c>
      <c r="AY100" s="106">
        <v>3331.4725845336911</v>
      </c>
      <c r="AZ100" s="106">
        <v>8.1261631271160351</v>
      </c>
      <c r="BA100" s="106">
        <v>13183.887057433054</v>
      </c>
      <c r="BB100" s="106">
        <v>7.0692041522491351</v>
      </c>
      <c r="BC100" s="106">
        <v>11469.076816608997</v>
      </c>
      <c r="BD100" s="106">
        <v>10.048185524767739</v>
      </c>
      <c r="BE100" s="106">
        <v>16302.176195383177</v>
      </c>
      <c r="BF100" s="106">
        <v>10.064578757408858</v>
      </c>
      <c r="BG100" s="106">
        <v>16328.77257602013</v>
      </c>
      <c r="BH100" s="106">
        <v>7.042221680757808</v>
      </c>
      <c r="BI100" s="106">
        <v>11425.300454861466</v>
      </c>
      <c r="BJ100" s="106">
        <v>11.035279139150182</v>
      </c>
      <c r="BK100" s="106">
        <v>17903.636875357253</v>
      </c>
      <c r="BL100" s="106">
        <v>9</v>
      </c>
      <c r="BM100" s="106">
        <v>14601.599999999999</v>
      </c>
      <c r="BN100" s="106">
        <v>10.064636467689009</v>
      </c>
      <c r="BO100" s="106">
        <v>16328.866205178647</v>
      </c>
      <c r="BP100" s="106">
        <v>5.0853892219990549</v>
      </c>
      <c r="BQ100" s="106">
        <v>8250.535473771266</v>
      </c>
      <c r="BR100" s="106">
        <v>4</v>
      </c>
      <c r="BS100" s="106">
        <v>6489.5999999999995</v>
      </c>
      <c r="BT100" s="106">
        <v>5.1966095939577412</v>
      </c>
      <c r="BU100" s="106">
        <v>8430.979405237038</v>
      </c>
      <c r="BV100" s="106">
        <v>3</v>
      </c>
      <c r="BW100" s="106">
        <v>4867.2</v>
      </c>
      <c r="BX100" s="106">
        <v>11.148201556870175</v>
      </c>
      <c r="BY100" s="106">
        <v>18086.842205866171</v>
      </c>
      <c r="BZ100" s="106">
        <v>13.121191594705065</v>
      </c>
      <c r="CA100" s="106">
        <v>21287.821243249495</v>
      </c>
      <c r="CB100" s="106">
        <v>9</v>
      </c>
      <c r="CC100" s="106">
        <v>14601.599999999999</v>
      </c>
      <c r="CD100" s="106">
        <v>9.1270084651370009</v>
      </c>
      <c r="CE100" s="106">
        <v>14807.658533838268</v>
      </c>
      <c r="CF100" s="106">
        <v>3.0843020843308118</v>
      </c>
      <c r="CG100" s="106">
        <v>5003.9717016183085</v>
      </c>
      <c r="CH100" s="106">
        <v>4</v>
      </c>
      <c r="CI100" s="106">
        <v>6489.5999999999995</v>
      </c>
      <c r="CJ100" s="106">
        <v>2.0399108367626888</v>
      </c>
      <c r="CK100" s="106">
        <v>3309.5513415637861</v>
      </c>
      <c r="CL100" s="106">
        <v>3</v>
      </c>
      <c r="CM100" s="106">
        <v>4867.2</v>
      </c>
      <c r="CN100" s="106">
        <v>3.1080642831113439</v>
      </c>
      <c r="CO100" s="106">
        <v>5042.5234929198441</v>
      </c>
      <c r="CP100" s="106">
        <v>3.1622063539924894</v>
      </c>
      <c r="CQ100" s="106">
        <v>5130.3635887174141</v>
      </c>
      <c r="CR100" s="106">
        <v>4.1106867273375185</v>
      </c>
      <c r="CS100" s="106">
        <v>6669.1781464323894</v>
      </c>
      <c r="CT100" s="106">
        <v>4.1099774925975838</v>
      </c>
      <c r="CU100" s="106">
        <v>6668.0274839903195</v>
      </c>
    </row>
    <row r="101" spans="2:99" x14ac:dyDescent="0.2">
      <c r="C101" s="105" t="s">
        <v>267</v>
      </c>
      <c r="D101" s="106">
        <v>4.2080307204274146</v>
      </c>
      <c r="E101" s="106">
        <v>5009.2397695967938</v>
      </c>
      <c r="F101" s="106">
        <v>5</v>
      </c>
      <c r="G101" s="106">
        <v>5951.9999999999991</v>
      </c>
      <c r="H101" s="106">
        <v>7.2895967921586102</v>
      </c>
      <c r="I101" s="106">
        <v>8677.5360213856093</v>
      </c>
      <c r="J101" s="106">
        <v>4.0836334679258002</v>
      </c>
      <c r="K101" s="106">
        <v>4861.1572802188721</v>
      </c>
      <c r="L101" s="106">
        <v>3.0609007564736896</v>
      </c>
      <c r="M101" s="106">
        <v>3643.6962605062799</v>
      </c>
      <c r="N101" s="106">
        <v>3.056058029546179</v>
      </c>
      <c r="O101" s="106">
        <v>3637.9314783717709</v>
      </c>
      <c r="P101" s="106">
        <v>2.0715789126979405</v>
      </c>
      <c r="Q101" s="106">
        <v>2466.0075376756281</v>
      </c>
      <c r="R101" s="106">
        <v>3.07796618647459</v>
      </c>
      <c r="S101" s="106">
        <v>3664.0109483793517</v>
      </c>
      <c r="T101" s="106">
        <v>11.113425295857988</v>
      </c>
      <c r="U101" s="106">
        <v>13229.421472189348</v>
      </c>
      <c r="V101" s="106">
        <v>10.108479544613845</v>
      </c>
      <c r="W101" s="106">
        <v>12033.13404990832</v>
      </c>
      <c r="X101" s="106">
        <v>9</v>
      </c>
      <c r="Y101" s="106">
        <v>10713.599999999999</v>
      </c>
      <c r="Z101" s="106">
        <v>14.173258065030188</v>
      </c>
      <c r="AA101" s="106">
        <v>16871.846400611936</v>
      </c>
      <c r="AB101" s="106">
        <v>8</v>
      </c>
      <c r="AC101" s="106">
        <v>9523.1999999999989</v>
      </c>
      <c r="AD101" s="106">
        <v>7.0412273084774117</v>
      </c>
      <c r="AE101" s="106">
        <v>8381.8769880115105</v>
      </c>
      <c r="AF101" s="106">
        <v>6.0394005648925084</v>
      </c>
      <c r="AG101" s="106">
        <v>7189.3024324480411</v>
      </c>
      <c r="AH101" s="106">
        <v>6.0411033739292579</v>
      </c>
      <c r="AI101" s="106">
        <v>7191.3294563253876</v>
      </c>
      <c r="AJ101" s="106">
        <v>26.057791492659309</v>
      </c>
      <c r="AK101" s="106">
        <v>31019.194992861638</v>
      </c>
      <c r="AL101" s="106">
        <v>47.16580687175145</v>
      </c>
      <c r="AM101" s="106">
        <v>56146.176500132919</v>
      </c>
      <c r="AN101" s="106">
        <v>29.055508029115071</v>
      </c>
      <c r="AO101" s="106">
        <v>34587.676757858579</v>
      </c>
      <c r="AP101" s="106">
        <v>48</v>
      </c>
      <c r="AQ101" s="106">
        <v>57139.199999999997</v>
      </c>
      <c r="AR101" s="106">
        <v>2</v>
      </c>
      <c r="AS101" s="106">
        <v>2380.7999999999997</v>
      </c>
      <c r="AT101" s="106">
        <v>4.1282989722664185</v>
      </c>
      <c r="AU101" s="106">
        <v>4914.3270965859438</v>
      </c>
      <c r="AV101" s="106">
        <v>3</v>
      </c>
      <c r="AW101" s="106">
        <v>3571.2</v>
      </c>
      <c r="AX101" s="106">
        <v>2.0555593490600588</v>
      </c>
      <c r="AY101" s="106">
        <v>2446.9378491210937</v>
      </c>
      <c r="AZ101" s="106">
        <v>7.1335844875346259</v>
      </c>
      <c r="BA101" s="106">
        <v>8491.8189739612171</v>
      </c>
      <c r="BB101" s="106">
        <v>7.0730488273740866</v>
      </c>
      <c r="BC101" s="106">
        <v>8419.7573241061109</v>
      </c>
      <c r="BD101" s="106">
        <v>10.044743701570043</v>
      </c>
      <c r="BE101" s="106">
        <v>11957.262902348979</v>
      </c>
      <c r="BF101" s="106">
        <v>10.064578757408858</v>
      </c>
      <c r="BG101" s="106">
        <v>11980.874552819503</v>
      </c>
      <c r="BH101" s="106">
        <v>8.0506660169093696</v>
      </c>
      <c r="BI101" s="106">
        <v>9583.5128265289131</v>
      </c>
      <c r="BJ101" s="106">
        <v>14.041504869588451</v>
      </c>
      <c r="BK101" s="106">
        <v>16715.00739675809</v>
      </c>
      <c r="BL101" s="106">
        <v>10</v>
      </c>
      <c r="BM101" s="106">
        <v>11903.999999999998</v>
      </c>
      <c r="BN101" s="106">
        <v>10.071440306393114</v>
      </c>
      <c r="BO101" s="106">
        <v>11989.042540730363</v>
      </c>
      <c r="BP101" s="106">
        <v>4.0795003101370515</v>
      </c>
      <c r="BQ101" s="106">
        <v>4856.2371691871458</v>
      </c>
      <c r="BR101" s="106">
        <v>4</v>
      </c>
      <c r="BS101" s="106">
        <v>4761.5999999999995</v>
      </c>
      <c r="BT101" s="106">
        <v>6.2253817296588743</v>
      </c>
      <c r="BU101" s="106">
        <v>7410.6944109859232</v>
      </c>
      <c r="BV101" s="106">
        <v>3</v>
      </c>
      <c r="BW101" s="106">
        <v>3571.2</v>
      </c>
      <c r="BX101" s="106">
        <v>12.166726751478947</v>
      </c>
      <c r="BY101" s="106">
        <v>14483.271524960537</v>
      </c>
      <c r="BZ101" s="106">
        <v>13.150571375239625</v>
      </c>
      <c r="CA101" s="106">
        <v>15654.440165085249</v>
      </c>
      <c r="CB101" s="106">
        <v>10</v>
      </c>
      <c r="CC101" s="106">
        <v>11903.999999999998</v>
      </c>
      <c r="CD101" s="106">
        <v>11.13189340610381</v>
      </c>
      <c r="CE101" s="106">
        <v>13251.405910625974</v>
      </c>
      <c r="CF101" s="106">
        <v>3.0843020843308118</v>
      </c>
      <c r="CG101" s="106">
        <v>3671.5532011873979</v>
      </c>
      <c r="CH101" s="106">
        <v>3</v>
      </c>
      <c r="CI101" s="106">
        <v>3571.2</v>
      </c>
      <c r="CJ101" s="106">
        <v>2.0359197530864197</v>
      </c>
      <c r="CK101" s="106">
        <v>2423.5588740740736</v>
      </c>
      <c r="CL101" s="106">
        <v>3</v>
      </c>
      <c r="CM101" s="106">
        <v>3571.2</v>
      </c>
      <c r="CN101" s="106">
        <v>2.1239560894512475</v>
      </c>
      <c r="CO101" s="106">
        <v>2528.3573288827647</v>
      </c>
      <c r="CP101" s="106">
        <v>3.1901729667498149</v>
      </c>
      <c r="CQ101" s="106">
        <v>3797.5818996189792</v>
      </c>
      <c r="CR101" s="106">
        <v>4.1106867273375185</v>
      </c>
      <c r="CS101" s="106">
        <v>4893.3614802225811</v>
      </c>
      <c r="CT101" s="106">
        <v>5.0986977497670631</v>
      </c>
      <c r="CU101" s="106">
        <v>6069.4898013227112</v>
      </c>
    </row>
    <row r="102" spans="2:99" x14ac:dyDescent="0.2">
      <c r="C102" s="105" t="s">
        <v>268</v>
      </c>
      <c r="D102" s="106">
        <v>4.1815540832821076</v>
      </c>
      <c r="E102" s="106">
        <v>8108.8696783006626</v>
      </c>
      <c r="F102" s="106">
        <v>5</v>
      </c>
      <c r="G102" s="106">
        <v>9696</v>
      </c>
      <c r="H102" s="106">
        <v>7.2258854978837155</v>
      </c>
      <c r="I102" s="106">
        <v>14012.437157496101</v>
      </c>
      <c r="J102" s="106">
        <v>4.0780579033974131</v>
      </c>
      <c r="K102" s="106">
        <v>7908.1698862682624</v>
      </c>
      <c r="L102" s="106">
        <v>3.0516733691291913</v>
      </c>
      <c r="M102" s="106">
        <v>5917.8049974153273</v>
      </c>
      <c r="N102" s="106">
        <v>2.0583003507280262</v>
      </c>
      <c r="O102" s="106">
        <v>3991.4560401317881</v>
      </c>
      <c r="P102" s="106">
        <v>2.0699882701935417</v>
      </c>
      <c r="Q102" s="106">
        <v>4014.1212535593158</v>
      </c>
      <c r="R102" s="106">
        <v>3.070322442702571</v>
      </c>
      <c r="S102" s="106">
        <v>5953.9692808888249</v>
      </c>
      <c r="T102" s="106">
        <v>12.106423734385272</v>
      </c>
      <c r="U102" s="106">
        <v>23476.776905719918</v>
      </c>
      <c r="V102" s="106">
        <v>10.096031072281109</v>
      </c>
      <c r="W102" s="106">
        <v>19578.223455367526</v>
      </c>
      <c r="X102" s="106">
        <v>7</v>
      </c>
      <c r="Y102" s="106">
        <v>13574.399999999998</v>
      </c>
      <c r="Z102" s="106">
        <v>11.14438172085849</v>
      </c>
      <c r="AA102" s="106">
        <v>21611.185033088783</v>
      </c>
      <c r="AB102" s="106">
        <v>8</v>
      </c>
      <c r="AC102" s="106">
        <v>15513.599999999999</v>
      </c>
      <c r="AD102" s="106">
        <v>6.0412273084774117</v>
      </c>
      <c r="AE102" s="106">
        <v>11715.147996599395</v>
      </c>
      <c r="AF102" s="106">
        <v>6.0322368258211432</v>
      </c>
      <c r="AG102" s="106">
        <v>11697.713652632359</v>
      </c>
      <c r="AH102" s="106">
        <v>6.0328826991434061</v>
      </c>
      <c r="AI102" s="106">
        <v>11698.966130178893</v>
      </c>
      <c r="AJ102" s="106">
        <v>22.057791492659309</v>
      </c>
      <c r="AK102" s="106">
        <v>42774.469262564926</v>
      </c>
      <c r="AL102" s="106">
        <v>46.149226184576307</v>
      </c>
      <c r="AM102" s="106">
        <v>89492.579417130371</v>
      </c>
      <c r="AN102" s="106">
        <v>27.051396323254696</v>
      </c>
      <c r="AO102" s="106">
        <v>52458.067750055503</v>
      </c>
      <c r="AP102" s="106">
        <v>36</v>
      </c>
      <c r="AQ102" s="106">
        <v>69811.199999999997</v>
      </c>
      <c r="AR102" s="106">
        <v>2</v>
      </c>
      <c r="AS102" s="106">
        <v>3878.3999999999996</v>
      </c>
      <c r="AT102" s="106">
        <v>3.1076055896428025</v>
      </c>
      <c r="AU102" s="106">
        <v>6026.268759435322</v>
      </c>
      <c r="AV102" s="106">
        <v>3</v>
      </c>
      <c r="AW102" s="106">
        <v>5817.5999999999995</v>
      </c>
      <c r="AX102" s="106">
        <v>2.0491486549377442</v>
      </c>
      <c r="AY102" s="106">
        <v>3973.7090716552734</v>
      </c>
      <c r="AZ102" s="106">
        <v>7.1113204062788551</v>
      </c>
      <c r="BA102" s="106">
        <v>13790.272531855955</v>
      </c>
      <c r="BB102" s="106">
        <v>6.057670126874279</v>
      </c>
      <c r="BC102" s="106">
        <v>11747.033910034601</v>
      </c>
      <c r="BD102" s="106">
        <v>10.048185524767739</v>
      </c>
      <c r="BE102" s="106">
        <v>19485.441369629596</v>
      </c>
      <c r="BF102" s="106">
        <v>11.064578757408858</v>
      </c>
      <c r="BG102" s="106">
        <v>21456.431126367257</v>
      </c>
      <c r="BH102" s="106">
        <v>7.042221680757808</v>
      </c>
      <c r="BI102" s="106">
        <v>13656.27628332554</v>
      </c>
      <c r="BJ102" s="106">
        <v>11.039429626109028</v>
      </c>
      <c r="BK102" s="106">
        <v>21407.661930950624</v>
      </c>
      <c r="BL102" s="106">
        <v>9</v>
      </c>
      <c r="BM102" s="106">
        <v>17452.8</v>
      </c>
      <c r="BN102" s="106">
        <v>10.068038387041062</v>
      </c>
      <c r="BO102" s="106">
        <v>19523.940040150024</v>
      </c>
      <c r="BP102" s="106">
        <v>4.0765558542060489</v>
      </c>
      <c r="BQ102" s="106">
        <v>7905.257112476369</v>
      </c>
      <c r="BR102" s="106">
        <v>4</v>
      </c>
      <c r="BS102" s="106">
        <v>7756.7999999999993</v>
      </c>
      <c r="BT102" s="106">
        <v>5.2109956618083082</v>
      </c>
      <c r="BU102" s="106">
        <v>10105.162787378671</v>
      </c>
      <c r="BV102" s="106">
        <v>3</v>
      </c>
      <c r="BW102" s="106">
        <v>5817.5999999999995</v>
      </c>
      <c r="BX102" s="106">
        <v>10.155920387957163</v>
      </c>
      <c r="BY102" s="106">
        <v>19694.360816326531</v>
      </c>
      <c r="BZ102" s="106">
        <v>12.113846649571425</v>
      </c>
      <c r="CA102" s="106">
        <v>23491.171422848904</v>
      </c>
      <c r="CB102" s="106">
        <v>10</v>
      </c>
      <c r="CC102" s="106">
        <v>19392</v>
      </c>
      <c r="CD102" s="106">
        <v>10.112353642236577</v>
      </c>
      <c r="CE102" s="106">
        <v>19609.876183025168</v>
      </c>
      <c r="CF102" s="106">
        <v>3.078280506878611</v>
      </c>
      <c r="CG102" s="106">
        <v>5969.4015589390019</v>
      </c>
      <c r="CH102" s="106">
        <v>3</v>
      </c>
      <c r="CI102" s="106">
        <v>5817.5999999999995</v>
      </c>
      <c r="CJ102" s="106">
        <v>2.031928669410151</v>
      </c>
      <c r="CK102" s="106">
        <v>3940.3160757201645</v>
      </c>
      <c r="CL102" s="106">
        <v>3</v>
      </c>
      <c r="CM102" s="106">
        <v>5817.5999999999995</v>
      </c>
      <c r="CN102" s="106">
        <v>2.1144210056473054</v>
      </c>
      <c r="CO102" s="106">
        <v>4100.285214151254</v>
      </c>
      <c r="CP102" s="106">
        <v>3.1733929990954195</v>
      </c>
      <c r="CQ102" s="106">
        <v>6153.8437038458369</v>
      </c>
      <c r="CR102" s="106">
        <v>3.1078486061237358</v>
      </c>
      <c r="CS102" s="106">
        <v>6026.7400169951479</v>
      </c>
      <c r="CT102" s="106">
        <v>5.1071575568899537</v>
      </c>
      <c r="CU102" s="106">
        <v>9903.7999343209976</v>
      </c>
    </row>
    <row r="103" spans="2:99" x14ac:dyDescent="0.2">
      <c r="C103" s="105" t="s">
        <v>269</v>
      </c>
      <c r="D103" s="106">
        <v>4.1966835902222828</v>
      </c>
      <c r="E103" s="106">
        <v>8510.87432097079</v>
      </c>
      <c r="F103" s="106">
        <v>5</v>
      </c>
      <c r="G103" s="106">
        <v>10140</v>
      </c>
      <c r="H103" s="106">
        <v>6.2664290487859216</v>
      </c>
      <c r="I103" s="106">
        <v>12708.318110937849</v>
      </c>
      <c r="J103" s="106">
        <v>4.0780579033974131</v>
      </c>
      <c r="K103" s="106">
        <v>8270.3014280899533</v>
      </c>
      <c r="L103" s="106">
        <v>3.0516733691291913</v>
      </c>
      <c r="M103" s="106">
        <v>6188.7935925940001</v>
      </c>
      <c r="N103" s="106">
        <v>2.0493310660006379</v>
      </c>
      <c r="O103" s="106">
        <v>4156.0434018492933</v>
      </c>
      <c r="P103" s="106">
        <v>2.0699882701935417</v>
      </c>
      <c r="Q103" s="106">
        <v>4197.9362119525022</v>
      </c>
      <c r="R103" s="106">
        <v>3.07796618647459</v>
      </c>
      <c r="S103" s="106">
        <v>6242.1154261704687</v>
      </c>
      <c r="T103" s="106">
        <v>11.095221236028928</v>
      </c>
      <c r="U103" s="106">
        <v>22501.108666666667</v>
      </c>
      <c r="V103" s="106">
        <v>9.0960310722811091</v>
      </c>
      <c r="W103" s="106">
        <v>18446.751014586091</v>
      </c>
      <c r="X103" s="106">
        <v>7</v>
      </c>
      <c r="Y103" s="106">
        <v>14196</v>
      </c>
      <c r="Z103" s="106">
        <v>12.154007168915722</v>
      </c>
      <c r="AA103" s="106">
        <v>24648.326538561087</v>
      </c>
      <c r="AB103" s="106">
        <v>7</v>
      </c>
      <c r="AC103" s="106">
        <v>14196</v>
      </c>
      <c r="AD103" s="106">
        <v>6.0366464964243658</v>
      </c>
      <c r="AE103" s="106">
        <v>12242.319094748615</v>
      </c>
      <c r="AF103" s="106">
        <v>7.0322368258211432</v>
      </c>
      <c r="AG103" s="106">
        <v>14261.376282765279</v>
      </c>
      <c r="AH103" s="106">
        <v>5.036993036536332</v>
      </c>
      <c r="AI103" s="106">
        <v>10215.021878095682</v>
      </c>
      <c r="AJ103" s="106">
        <v>21.057791492659309</v>
      </c>
      <c r="AK103" s="106">
        <v>42705.201147113075</v>
      </c>
      <c r="AL103" s="106">
        <v>42.174097215339025</v>
      </c>
      <c r="AM103" s="106">
        <v>85529.06915270754</v>
      </c>
      <c r="AN103" s="106">
        <v>28.045228764464131</v>
      </c>
      <c r="AO103" s="106">
        <v>56875.723934333255</v>
      </c>
      <c r="AP103" s="106">
        <v>41</v>
      </c>
      <c r="AQ103" s="106">
        <v>83148</v>
      </c>
      <c r="AR103" s="106">
        <v>2</v>
      </c>
      <c r="AS103" s="106">
        <v>4056</v>
      </c>
      <c r="AT103" s="106">
        <v>3.1117442661675261</v>
      </c>
      <c r="AU103" s="106">
        <v>6310.6173717877427</v>
      </c>
      <c r="AV103" s="106">
        <v>3</v>
      </c>
      <c r="AW103" s="106">
        <v>6084</v>
      </c>
      <c r="AX103" s="106">
        <v>2.0544909000396729</v>
      </c>
      <c r="AY103" s="106">
        <v>4166.5075452804567</v>
      </c>
      <c r="AZ103" s="106">
        <v>7.1261631271160359</v>
      </c>
      <c r="BA103" s="106">
        <v>14451.85882179132</v>
      </c>
      <c r="BB103" s="106">
        <v>6.057670126874279</v>
      </c>
      <c r="BC103" s="106">
        <v>12284.955017301038</v>
      </c>
      <c r="BD103" s="106">
        <v>10.044743701570043</v>
      </c>
      <c r="BE103" s="106">
        <v>20370.740226784048</v>
      </c>
      <c r="BF103" s="106">
        <v>11.053815631174048</v>
      </c>
      <c r="BG103" s="106">
        <v>22417.138100020969</v>
      </c>
      <c r="BH103" s="106">
        <v>8.0485549328714789</v>
      </c>
      <c r="BI103" s="106">
        <v>16322.469403863359</v>
      </c>
      <c r="BJ103" s="106">
        <v>13.033203895670759</v>
      </c>
      <c r="BK103" s="106">
        <v>26431.337500420301</v>
      </c>
      <c r="BL103" s="106">
        <v>8</v>
      </c>
      <c r="BM103" s="106">
        <v>16224</v>
      </c>
      <c r="BN103" s="106">
        <v>9.0646364676890094</v>
      </c>
      <c r="BO103" s="106">
        <v>18383.082756473312</v>
      </c>
      <c r="BP103" s="106">
        <v>4.0765558542060489</v>
      </c>
      <c r="BQ103" s="106">
        <v>8267.2552723298668</v>
      </c>
      <c r="BR103" s="106">
        <v>3</v>
      </c>
      <c r="BS103" s="106">
        <v>6084</v>
      </c>
      <c r="BT103" s="106">
        <v>5.2062003058581192</v>
      </c>
      <c r="BU103" s="106">
        <v>10558.174220280265</v>
      </c>
      <c r="BV103" s="106">
        <v>3</v>
      </c>
      <c r="BW103" s="106">
        <v>6084</v>
      </c>
      <c r="BX103" s="106">
        <v>10.149745323087572</v>
      </c>
      <c r="BY103" s="106">
        <v>20583.683515221597</v>
      </c>
      <c r="BZ103" s="106">
        <v>11.124864067271885</v>
      </c>
      <c r="CA103" s="106">
        <v>22561.224328427383</v>
      </c>
      <c r="CB103" s="106">
        <v>9</v>
      </c>
      <c r="CC103" s="106">
        <v>18252</v>
      </c>
      <c r="CD103" s="106">
        <v>10.102583760302963</v>
      </c>
      <c r="CE103" s="106">
        <v>20488.03986589441</v>
      </c>
      <c r="CF103" s="106">
        <v>3.0843020843308118</v>
      </c>
      <c r="CG103" s="106">
        <v>6254.9646270228859</v>
      </c>
      <c r="CH103" s="106">
        <v>3</v>
      </c>
      <c r="CI103" s="106">
        <v>6084</v>
      </c>
      <c r="CJ103" s="106">
        <v>2.031928669410151</v>
      </c>
      <c r="CK103" s="106">
        <v>4120.7513415637859</v>
      </c>
      <c r="CL103" s="106">
        <v>3</v>
      </c>
      <c r="CM103" s="106">
        <v>6084</v>
      </c>
      <c r="CN103" s="106">
        <v>2.1175993669152859</v>
      </c>
      <c r="CO103" s="106">
        <v>4294.4915161041999</v>
      </c>
      <c r="CP103" s="106">
        <v>3.1733929990954195</v>
      </c>
      <c r="CQ103" s="106">
        <v>6435.6410021655111</v>
      </c>
      <c r="CR103" s="106">
        <v>3.1106867273375181</v>
      </c>
      <c r="CS103" s="106">
        <v>6308.472683040487</v>
      </c>
      <c r="CT103" s="106">
        <v>5.1015176854746933</v>
      </c>
      <c r="CU103" s="106">
        <v>10345.877866142679</v>
      </c>
    </row>
    <row r="104" spans="2:99" x14ac:dyDescent="0.2">
      <c r="C104" s="105" t="s">
        <v>270</v>
      </c>
      <c r="D104" s="106">
        <v>4.1739893298120192</v>
      </c>
      <c r="E104" s="106">
        <v>8650.1754871024295</v>
      </c>
      <c r="F104" s="106">
        <v>5</v>
      </c>
      <c r="G104" s="106">
        <v>10362</v>
      </c>
      <c r="H104" s="106">
        <v>6.2664290487859216</v>
      </c>
      <c r="I104" s="106">
        <v>12986.547560703944</v>
      </c>
      <c r="J104" s="106">
        <v>5.072482338869027</v>
      </c>
      <c r="K104" s="106">
        <v>10512.212399072172</v>
      </c>
      <c r="L104" s="106">
        <v>3.0535188465980911</v>
      </c>
      <c r="M104" s="106">
        <v>6328.1124576898846</v>
      </c>
      <c r="N104" s="106">
        <v>3.056058029546179</v>
      </c>
      <c r="O104" s="106">
        <v>6333.374660431502</v>
      </c>
      <c r="P104" s="106">
        <v>2.0715789126979405</v>
      </c>
      <c r="Q104" s="106">
        <v>4293.1401386752123</v>
      </c>
      <c r="R104" s="106">
        <v>3.0764374377201862</v>
      </c>
      <c r="S104" s="106">
        <v>6375.6089459313143</v>
      </c>
      <c r="T104" s="106">
        <v>11.095221236028928</v>
      </c>
      <c r="U104" s="106">
        <v>22993.736489546351</v>
      </c>
      <c r="V104" s="106">
        <v>9.1049228382330636</v>
      </c>
      <c r="W104" s="106">
        <v>18869.0420899542</v>
      </c>
      <c r="X104" s="106">
        <v>8</v>
      </c>
      <c r="Y104" s="106">
        <v>16579.2</v>
      </c>
      <c r="Z104" s="106">
        <v>12.141173238172746</v>
      </c>
      <c r="AA104" s="106">
        <v>25161.367418789199</v>
      </c>
      <c r="AB104" s="106">
        <v>7</v>
      </c>
      <c r="AC104" s="106">
        <v>14506.800000000001</v>
      </c>
      <c r="AD104" s="106">
        <v>6.0366464964243658</v>
      </c>
      <c r="AE104" s="106">
        <v>12510.346199189857</v>
      </c>
      <c r="AF104" s="106">
        <v>6.0322368258211432</v>
      </c>
      <c r="AG104" s="106">
        <v>12501.207597831737</v>
      </c>
      <c r="AH104" s="106">
        <v>6.0328826991434061</v>
      </c>
      <c r="AI104" s="106">
        <v>12502.546105704796</v>
      </c>
      <c r="AJ104" s="106">
        <v>22.057791492659309</v>
      </c>
      <c r="AK104" s="106">
        <v>45712.56708938715</v>
      </c>
      <c r="AL104" s="106">
        <v>41.161661699957669</v>
      </c>
      <c r="AM104" s="106">
        <v>85303.427706992283</v>
      </c>
      <c r="AN104" s="106">
        <v>24.045228764464131</v>
      </c>
      <c r="AO104" s="106">
        <v>49831.332091475466</v>
      </c>
      <c r="AP104" s="106">
        <v>40</v>
      </c>
      <c r="AQ104" s="106">
        <v>82896</v>
      </c>
      <c r="AR104" s="106">
        <v>2</v>
      </c>
      <c r="AS104" s="106">
        <v>4144.8</v>
      </c>
      <c r="AT104" s="106">
        <v>3.1158829426922492</v>
      </c>
      <c r="AU104" s="106">
        <v>6457.3558104354179</v>
      </c>
      <c r="AV104" s="106">
        <v>3</v>
      </c>
      <c r="AW104" s="106">
        <v>6217.2000000000007</v>
      </c>
      <c r="AX104" s="106">
        <v>2.0534224510192871</v>
      </c>
      <c r="AY104" s="106">
        <v>4255.5126874923708</v>
      </c>
      <c r="AZ104" s="106">
        <v>7.1187417666974451</v>
      </c>
      <c r="BA104" s="106">
        <v>14752.880437303786</v>
      </c>
      <c r="BB104" s="106">
        <v>7.0653594771241828</v>
      </c>
      <c r="BC104" s="106">
        <v>14642.250980392157</v>
      </c>
      <c r="BD104" s="106">
        <v>9.0481855247677387</v>
      </c>
      <c r="BE104" s="106">
        <v>18751.459681528664</v>
      </c>
      <c r="BF104" s="106">
        <v>11.064578757408858</v>
      </c>
      <c r="BG104" s="106">
        <v>22930.233016854119</v>
      </c>
      <c r="BH104" s="106">
        <v>8.0422216807578071</v>
      </c>
      <c r="BI104" s="106">
        <v>16666.700211202478</v>
      </c>
      <c r="BJ104" s="106">
        <v>11.035279139150182</v>
      </c>
      <c r="BK104" s="106">
        <v>22869.51248797484</v>
      </c>
      <c r="BL104" s="106">
        <v>9</v>
      </c>
      <c r="BM104" s="106">
        <v>18651.600000000002</v>
      </c>
      <c r="BN104" s="106">
        <v>9.0680383870410619</v>
      </c>
      <c r="BO104" s="106">
        <v>18792.602753303898</v>
      </c>
      <c r="BP104" s="106">
        <v>4.0765558542060489</v>
      </c>
      <c r="BQ104" s="106">
        <v>8448.2543522566157</v>
      </c>
      <c r="BR104" s="106">
        <v>4</v>
      </c>
      <c r="BS104" s="106">
        <v>8289.6</v>
      </c>
      <c r="BT104" s="106">
        <v>5.1870188820573642</v>
      </c>
      <c r="BU104" s="106">
        <v>10749.577931175681</v>
      </c>
      <c r="BV104" s="106">
        <v>3</v>
      </c>
      <c r="BW104" s="106">
        <v>6217.2000000000007</v>
      </c>
      <c r="BX104" s="106">
        <v>9.1373951933483912</v>
      </c>
      <c r="BY104" s="106">
        <v>18936.337798695207</v>
      </c>
      <c r="BZ104" s="106">
        <v>13.115682885854834</v>
      </c>
      <c r="CA104" s="106">
        <v>27180.941212645561</v>
      </c>
      <c r="CB104" s="106">
        <v>10</v>
      </c>
      <c r="CC104" s="106">
        <v>20724</v>
      </c>
      <c r="CD104" s="106">
        <v>9.1107253285809762</v>
      </c>
      <c r="CE104" s="106">
        <v>18881.067170951217</v>
      </c>
      <c r="CF104" s="106">
        <v>3.0903236617830125</v>
      </c>
      <c r="CG104" s="106">
        <v>6404.386756679115</v>
      </c>
      <c r="CH104" s="106">
        <v>3</v>
      </c>
      <c r="CI104" s="106">
        <v>6217.2000000000007</v>
      </c>
      <c r="CJ104" s="106">
        <v>2.0359197530864197</v>
      </c>
      <c r="CK104" s="106">
        <v>4219.2400962962965</v>
      </c>
      <c r="CL104" s="106">
        <v>3</v>
      </c>
      <c r="CM104" s="106">
        <v>6217.2000000000007</v>
      </c>
      <c r="CN104" s="106">
        <v>3.1207777281832669</v>
      </c>
      <c r="CO104" s="106">
        <v>6467.4997638870027</v>
      </c>
      <c r="CP104" s="106">
        <v>3.145426386338094</v>
      </c>
      <c r="CQ104" s="106">
        <v>6518.5816430470659</v>
      </c>
      <c r="CR104" s="106">
        <v>3.0993342424823882</v>
      </c>
      <c r="CS104" s="106">
        <v>6423.0602841205018</v>
      </c>
      <c r="CT104" s="106">
        <v>4.0902379426441717</v>
      </c>
      <c r="CU104" s="106">
        <v>8476.6091123357819</v>
      </c>
    </row>
    <row r="105" spans="2:99" x14ac:dyDescent="0.2">
      <c r="C105" s="105" t="s">
        <v>271</v>
      </c>
      <c r="D105" s="106">
        <v>4.1891188367521952</v>
      </c>
      <c r="E105" s="106">
        <v>8369.8594358308856</v>
      </c>
      <c r="F105" s="106">
        <v>5</v>
      </c>
      <c r="G105" s="106">
        <v>9990</v>
      </c>
      <c r="H105" s="106">
        <v>7.2316774337268876</v>
      </c>
      <c r="I105" s="106">
        <v>14448.891512586322</v>
      </c>
      <c r="J105" s="106">
        <v>4.072482338869027</v>
      </c>
      <c r="K105" s="106">
        <v>8136.8197130603157</v>
      </c>
      <c r="L105" s="106">
        <v>3.047982414191392</v>
      </c>
      <c r="M105" s="106">
        <v>6089.8688635544013</v>
      </c>
      <c r="N105" s="106">
        <v>2.0538157083643318</v>
      </c>
      <c r="O105" s="106">
        <v>4103.5237853119352</v>
      </c>
      <c r="P105" s="106">
        <v>2.0683976276891429</v>
      </c>
      <c r="Q105" s="106">
        <v>4132.6584601229079</v>
      </c>
      <c r="R105" s="106">
        <v>3.07796618647459</v>
      </c>
      <c r="S105" s="106">
        <v>6149.7764405762309</v>
      </c>
      <c r="T105" s="106">
        <v>12.109224358974359</v>
      </c>
      <c r="U105" s="106">
        <v>24194.230269230768</v>
      </c>
      <c r="V105" s="106">
        <v>10.096031072281109</v>
      </c>
      <c r="W105" s="106">
        <v>20171.870082417656</v>
      </c>
      <c r="X105" s="106">
        <v>7</v>
      </c>
      <c r="Y105" s="106">
        <v>13986</v>
      </c>
      <c r="Z105" s="106">
        <v>12.141173238172746</v>
      </c>
      <c r="AA105" s="106">
        <v>24258.064129869144</v>
      </c>
      <c r="AB105" s="106">
        <v>7</v>
      </c>
      <c r="AC105" s="106">
        <v>13986</v>
      </c>
      <c r="AD105" s="106">
        <v>6.0366464964243658</v>
      </c>
      <c r="AE105" s="106">
        <v>12061.219699855883</v>
      </c>
      <c r="AF105" s="106">
        <v>6.0322368258211432</v>
      </c>
      <c r="AG105" s="106">
        <v>12052.409177990645</v>
      </c>
      <c r="AH105" s="106">
        <v>5.036993036536332</v>
      </c>
      <c r="AI105" s="106">
        <v>10063.912086999591</v>
      </c>
      <c r="AJ105" s="106">
        <v>22.05033452586456</v>
      </c>
      <c r="AK105" s="106">
        <v>44056.568382677389</v>
      </c>
      <c r="AL105" s="106">
        <v>39.149226184576307</v>
      </c>
      <c r="AM105" s="106">
        <v>78220.153916783456</v>
      </c>
      <c r="AN105" s="106">
        <v>25.051396323254696</v>
      </c>
      <c r="AO105" s="106">
        <v>50052.689853862881</v>
      </c>
      <c r="AP105" s="106">
        <v>40</v>
      </c>
      <c r="AQ105" s="106">
        <v>79920</v>
      </c>
      <c r="AR105" s="106">
        <v>2</v>
      </c>
      <c r="AS105" s="106">
        <v>3996</v>
      </c>
      <c r="AT105" s="106">
        <v>3.1076055896428025</v>
      </c>
      <c r="AU105" s="106">
        <v>6208.9959681063192</v>
      </c>
      <c r="AV105" s="106">
        <v>3</v>
      </c>
      <c r="AW105" s="106">
        <v>5994</v>
      </c>
      <c r="AX105" s="106">
        <v>3.0544909000396729</v>
      </c>
      <c r="AY105" s="106">
        <v>6102.8728182792665</v>
      </c>
      <c r="AZ105" s="106">
        <v>7.1261631271160359</v>
      </c>
      <c r="BA105" s="106">
        <v>14238.073927977839</v>
      </c>
      <c r="BB105" s="106">
        <v>6.0653594771241828</v>
      </c>
      <c r="BC105" s="106">
        <v>12118.588235294117</v>
      </c>
      <c r="BD105" s="106">
        <v>11.048185524767739</v>
      </c>
      <c r="BE105" s="106">
        <v>22074.274678485941</v>
      </c>
      <c r="BF105" s="106">
        <v>9.0574033399189862</v>
      </c>
      <c r="BG105" s="106">
        <v>18096.691873158135</v>
      </c>
      <c r="BH105" s="106">
        <v>7.0443327647956977</v>
      </c>
      <c r="BI105" s="106">
        <v>14074.576864061804</v>
      </c>
      <c r="BJ105" s="106">
        <v>13.039429626109028</v>
      </c>
      <c r="BK105" s="106">
        <v>26052.780392965837</v>
      </c>
      <c r="BL105" s="106">
        <v>9</v>
      </c>
      <c r="BM105" s="106">
        <v>17982</v>
      </c>
      <c r="BN105" s="106">
        <v>9.0646364676890094</v>
      </c>
      <c r="BO105" s="106">
        <v>18111.143662442642</v>
      </c>
      <c r="BP105" s="106">
        <v>4.0765558542060489</v>
      </c>
      <c r="BQ105" s="106">
        <v>8144.9585967036855</v>
      </c>
      <c r="BR105" s="106">
        <v>4</v>
      </c>
      <c r="BS105" s="106">
        <v>7992</v>
      </c>
      <c r="BT105" s="106">
        <v>5.2157910177584972</v>
      </c>
      <c r="BU105" s="106">
        <v>10421.150453481478</v>
      </c>
      <c r="BV105" s="106">
        <v>3</v>
      </c>
      <c r="BW105" s="106">
        <v>5994</v>
      </c>
      <c r="BX105" s="106">
        <v>10.135851427130994</v>
      </c>
      <c r="BY105" s="106">
        <v>20251.431151407727</v>
      </c>
      <c r="BZ105" s="106">
        <v>11.130372776122115</v>
      </c>
      <c r="CA105" s="106">
        <v>22238.484806691988</v>
      </c>
      <c r="CB105" s="106">
        <v>9</v>
      </c>
      <c r="CC105" s="106">
        <v>17982</v>
      </c>
      <c r="CD105" s="106">
        <v>9.1204952105145907</v>
      </c>
      <c r="CE105" s="106">
        <v>18222.749430608153</v>
      </c>
      <c r="CF105" s="106">
        <v>3.0903236617830125</v>
      </c>
      <c r="CG105" s="106">
        <v>6174.4666762424595</v>
      </c>
      <c r="CH105" s="106">
        <v>3</v>
      </c>
      <c r="CI105" s="106">
        <v>5994</v>
      </c>
      <c r="CJ105" s="106">
        <v>2.031928669410151</v>
      </c>
      <c r="CK105" s="106">
        <v>4059.7934814814816</v>
      </c>
      <c r="CL105" s="106">
        <v>3</v>
      </c>
      <c r="CM105" s="106">
        <v>5994</v>
      </c>
      <c r="CN105" s="106">
        <v>2.1017075605753828</v>
      </c>
      <c r="CO105" s="106">
        <v>4199.211706029615</v>
      </c>
      <c r="CP105" s="106">
        <v>3.1733929990954195</v>
      </c>
      <c r="CQ105" s="106">
        <v>6340.4392121926485</v>
      </c>
      <c r="CR105" s="106">
        <v>3.1078486061237358</v>
      </c>
      <c r="CS105" s="106">
        <v>6209.4815150352242</v>
      </c>
      <c r="CT105" s="106">
        <v>5.0986977497670631</v>
      </c>
      <c r="CU105" s="106">
        <v>10187.198104034593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182</v>
      </c>
      <c r="E109" s="106">
        <f>SUM(L$6:L$19)+SUM(N$6:N$19)+SUM(P$6:P$19)+SUM(R$6:R$19)</f>
        <v>166</v>
      </c>
      <c r="F109" s="106">
        <f>SUM(T$6:T$19)+SUM(V$6:V$19)+SUM(X$6:X$19)+SUM(Z$6:Z$19)</f>
        <v>314</v>
      </c>
      <c r="G109" s="106">
        <f>SUM(AB$6:AB$19)+SUM(AD$6:AD$19)+SUM(AF$6:AF$19)+SUM(AH$6:AH$19)</f>
        <v>1527</v>
      </c>
      <c r="H109" s="106">
        <f>SUM(AJ$6:AJ$19)+SUM(AL$6:AL$19)+SUM(AN$6:AN$19)+SUM(AP$6:AP$19)</f>
        <v>225</v>
      </c>
      <c r="I109" s="106">
        <f>SUM(AR$6:AR$19)+SUM(AT$6:AT$19)+SUM(AV$6:AV$19)+SUM(AX$6:AX$19)</f>
        <v>646</v>
      </c>
      <c r="J109" s="106">
        <f>SUM(AZ$6:AZ$19)+SUM(BB$6:BB$19)+SUM(BD$6:BD$19)+SUM(BF$6:BF$19)</f>
        <v>273</v>
      </c>
      <c r="K109" s="106">
        <f>SUM(BH$6:BH$19)+SUM(BJ$6:BJ$19)+SUM(BL$6:BL$19)+SUM(BN$6:BN$19)</f>
        <v>400</v>
      </c>
      <c r="L109" s="106">
        <f>SUM(BP$6:BP$19)+SUM(BR$6:BR$19)+SUM(BT$6:BT$19)+SUM(BV$6:BV$19)</f>
        <v>2228</v>
      </c>
      <c r="M109" s="106">
        <f>SUM(BX$6:BX$19)+SUM(BZ$6:BZ$19)+SUM(CB$6:CB$19)+SUM(CD$6:CD$19)</f>
        <v>222</v>
      </c>
      <c r="N109" s="106">
        <f>SUM(CF$6:CF$19)+SUM(CH$6:CH$19)+SUM(CJ$6:CJ$19)+SUM(CL$6:CL$19)</f>
        <v>1965</v>
      </c>
      <c r="O109" s="106">
        <f>SUM(CN$6:CN$19)+SUM(CP$6:CP$19)+SUM(CR$6:CR$19)+SUM(CT$6:CT$19)</f>
        <v>488</v>
      </c>
    </row>
    <row r="110" spans="2:99" x14ac:dyDescent="0.2">
      <c r="C110" s="105" t="s">
        <v>127</v>
      </c>
      <c r="D110" s="106">
        <f>SUM(D$20:D$36)+SUM(F$20:F$36)+SUM(H$20:H$36)+SUM(J$20:J$36)</f>
        <v>177</v>
      </c>
      <c r="E110" s="106">
        <f>SUM(L$20:L$36)+SUM(N$20:N$36)+SUM(P$20:P$36)+SUM(R$20:R$36)</f>
        <v>1160</v>
      </c>
      <c r="F110" s="106">
        <f>SUM(T$20:T$36)+SUM(V$20:V$36)+SUM(X$20:X$36)+SUM(Z$20:Z$36)</f>
        <v>248</v>
      </c>
      <c r="G110" s="106">
        <f>SUM(AB$20:AB$36)+SUM(AD$20:AD$36)+SUM(AF$20:AF$36)+SUM(AH$20:AH$36)</f>
        <v>222</v>
      </c>
      <c r="H110" s="106">
        <f>SUM(AJ$20:AJ$36)+SUM(AL$20:AL$36)+SUM(AN$20:AN$36)+SUM(AP$20:AP$36)</f>
        <v>664</v>
      </c>
      <c r="I110" s="106">
        <f>SUM(AR$20:AR$36)+SUM(AT$20:AT$36)+SUM(AV$20:AV$36)+SUM(AX$20:AX$36)</f>
        <v>1967</v>
      </c>
      <c r="J110" s="106">
        <f>SUM(AZ$20:AZ$36)+SUM(BB$20:BB$36)+SUM(BD$20:BD$36)+SUM(BF$20:BF$36)</f>
        <v>195</v>
      </c>
      <c r="K110" s="106">
        <f>SUM(BH$20:BH$36)+SUM(BJ$20:BJ$36)+SUM(BL$20:BL$36)+SUM(BN$20:BN$36)</f>
        <v>920</v>
      </c>
      <c r="L110" s="106">
        <f>SUM(BP$20:BP$36)+SUM(BR$20:BR$36)+SUM(BT$20:BT$36)+SUM(BV$20:BV$36)</f>
        <v>209</v>
      </c>
      <c r="M110" s="106">
        <f>SUM(BX$20:BX$36)+SUM(BZ$20:BZ$36)+SUM(CB$20:CB$36)+SUM(CD$20:CD$36)</f>
        <v>1391</v>
      </c>
      <c r="N110" s="106">
        <f>SUM(CF$20:CF$36)+SUM(CH$20:CH$36)+SUM(CJ$20:CJ$36)+SUM(CL$20:CL$36)</f>
        <v>1817</v>
      </c>
      <c r="O110" s="106">
        <f>SUM(CN$20:CN$36)+SUM(CP$20:CP$36)+SUM(CR$20:CR$36)+SUM(CT$20:CT$36)</f>
        <v>1476</v>
      </c>
    </row>
    <row r="111" spans="2:99" x14ac:dyDescent="0.2">
      <c r="C111" s="105" t="s">
        <v>128</v>
      </c>
      <c r="D111" s="106">
        <f>SUM(D$37:D$48)+SUM(F$37:F$48)+SUM(H$37:H$48)+SUM(J$37:J$48)</f>
        <v>600</v>
      </c>
      <c r="E111" s="106">
        <f>SUM(L$37:L$48)+SUM(N$37:N$48)+SUM(P$37:P$48)+SUM(R$37:R$48)</f>
        <v>3029</v>
      </c>
      <c r="F111" s="106">
        <f>SUM(T$37:T$48)+SUM(V$37:V$48)+SUM(X$37:X$48)+SUM(Z$37:Z$48)</f>
        <v>255</v>
      </c>
      <c r="G111" s="106">
        <f>SUM(AB$37:AB$48)+SUM(AD$37:AD$48)+SUM(AF$37:AF$48)+SUM(AH$37:AH$48)</f>
        <v>2634</v>
      </c>
      <c r="H111" s="106">
        <f>SUM(AJ$37:AJ$48)+SUM(AL$37:AL$48)+SUM(AN$37:AN$48)+SUM(AP$37:AP$48)</f>
        <v>3201</v>
      </c>
      <c r="I111" s="106">
        <f>SUM(AR$37:AR$48)+SUM(AT$37:AT$48)+SUM(AV$37:AV$48)+SUM(AX$37:AX$48)</f>
        <v>973</v>
      </c>
      <c r="J111" s="106">
        <f>SUM(AZ$37:AZ$48)+SUM(BB$37:BB$48)+SUM(BD$37:BD$48)+SUM(BF$37:BF$48)</f>
        <v>286</v>
      </c>
      <c r="K111" s="106">
        <f>SUM(BH$37:BH$48)+SUM(BJ$37:BJ$48)+SUM(BL$37:BL$48)+SUM(BN$37:BN$48)</f>
        <v>2369</v>
      </c>
      <c r="L111" s="106">
        <f>SUM(BP$37:BP$48)+SUM(BR$37:BR$48)+SUM(BT$37:BT$48)+SUM(BV$37:BV$48)</f>
        <v>1634</v>
      </c>
      <c r="M111" s="106">
        <f>SUM(BX$37:BX$48)+SUM(BZ$37:BZ$48)+SUM(CB$37:CB$48)+SUM(CD$37:CD$48)</f>
        <v>434</v>
      </c>
      <c r="N111" s="106">
        <f>SUM(CF$37:CF$48)+SUM(CH$37:CH$48)+SUM(CJ$37:CJ$48)+SUM(CL$37:CL$48)</f>
        <v>214</v>
      </c>
      <c r="O111" s="106">
        <f>SUM(CN$37:CN$48)+SUM(CP$37:CP$48)+SUM(CR$37:CR$48)+SUM(CT$37:CT$48)</f>
        <v>244</v>
      </c>
    </row>
    <row r="112" spans="2:99" x14ac:dyDescent="0.2">
      <c r="C112" s="105" t="s">
        <v>129</v>
      </c>
      <c r="D112" s="106">
        <f>SUM(D$49:D$70)+SUM(F$49:F$70)+SUM(H$49:H$70)+SUM(J$49:J$70)</f>
        <v>592.61327855689819</v>
      </c>
      <c r="E112" s="106">
        <f>SUM(L$49:L$70)+SUM(N$49:N$70)+SUM(P$49:P$70)+SUM(R$49:R$70)</f>
        <v>2370.3139612169634</v>
      </c>
      <c r="F112" s="106">
        <f>SUM(T$49:T$70)+SUM(V$49:V$70)+SUM(X$49:X$70)+SUM(Z$49:Z$70)</f>
        <v>286.20572416704056</v>
      </c>
      <c r="G112" s="106">
        <f>SUM(AB$49:AB$70)+SUM(AD$49:AD$70)+SUM(AF$49:AF$70)+SUM(AH$49:AH$70)</f>
        <v>605.3099368694169</v>
      </c>
      <c r="H112" s="106">
        <f>SUM(AJ$49:AJ$70)+SUM(AL$49:AL$70)+SUM(AN$49:AN$70)+SUM(AP$49:AP$70)</f>
        <v>556.60718843959603</v>
      </c>
      <c r="I112" s="106">
        <f>SUM(AR$49:AR$70)+SUM(AT$49:AT$70)+SUM(AV$49:AV$70)+SUM(AX$49:AX$70)</f>
        <v>327.40027306918927</v>
      </c>
      <c r="J112" s="106">
        <f>SUM(AZ$49:AZ$70)+SUM(BB$49:BB$70)+SUM(BD$49:BD$70)+SUM(BF$49:BF$70)</f>
        <v>518.76574202232086</v>
      </c>
      <c r="K112" s="106">
        <f>SUM(BH$49:BH$70)+SUM(BJ$49:BJ$70)+SUM(BL$49:BL$70)+SUM(BN$49:BN$70)</f>
        <v>415.4285634467177</v>
      </c>
      <c r="L112" s="106">
        <f>SUM(BP$49:BP$70)+SUM(BR$49:BR$70)+SUM(BT$49:BT$70)+SUM(BV$49:BV$70)</f>
        <v>330.35333818190975</v>
      </c>
      <c r="M112" s="106">
        <f>SUM(BX$49:BX$70)+SUM(BZ$49:BZ$70)+SUM(CB$49:CB$70)+SUM(CD$49:CD$70)</f>
        <v>5870.4605646845312</v>
      </c>
      <c r="N112" s="106">
        <f>SUM(CF$49:CF$70)+SUM(CH$49:CH$70)+SUM(CJ$49:CJ$70)+SUM(CL$49:CL$70)</f>
        <v>2100.5889961283065</v>
      </c>
      <c r="O112" s="106">
        <f>SUM(CN$49:CN$70)+SUM(CP$49:CP$70)+SUM(CR$49:CR$70)+SUM(CT$49:CT$70)</f>
        <v>312.59323202344882</v>
      </c>
    </row>
    <row r="113" spans="2:15" x14ac:dyDescent="0.2">
      <c r="C113" s="105" t="s">
        <v>130</v>
      </c>
      <c r="D113" s="106">
        <f>SUM(D$71:D$86)+SUM(F$71:F$86)+SUM(H$71:H$86)+SUM(J$71:J$86)</f>
        <v>1083.1817225373663</v>
      </c>
      <c r="E113" s="106">
        <f>SUM(L$71:L$86)+SUM(N$71:N$86)+SUM(P$71:P$86)+SUM(R$71:R$86)</f>
        <v>1142.2992107128634</v>
      </c>
      <c r="F113" s="106">
        <f>SUM(T$71:T$86)+SUM(V$71:V$86)+SUM(X$71:X$86)+SUM(Z$71:Z$86)</f>
        <v>437.60280140225848</v>
      </c>
      <c r="G113" s="106">
        <f>SUM(AB$71:AB$86)+SUM(AD$71:AD$86)+SUM(AF$71:AF$86)+SUM(AH$71:AH$86)</f>
        <v>671.96670139609307</v>
      </c>
      <c r="H113" s="106">
        <f>SUM(AJ$71:AJ$86)+SUM(AL$71:AL$86)+SUM(AN$71:AN$86)+SUM(AP$71:AP$86)</f>
        <v>287.49251779160238</v>
      </c>
      <c r="I113" s="106">
        <f>SUM(AR$71:AR$86)+SUM(AT$71:AT$86)+SUM(AV$71:AV$86)+SUM(AX$71:AX$86)</f>
        <v>2670.7961462545386</v>
      </c>
      <c r="J113" s="106">
        <f>SUM(AZ$71:AZ$86)+SUM(BB$71:BB$86)+SUM(BD$71:BD$86)+SUM(BF$71:BF$86)</f>
        <v>4146.9081984139393</v>
      </c>
      <c r="K113" s="106">
        <f>SUM(BH$71:BH$86)+SUM(BJ$71:BJ$86)+SUM(BL$71:BL$86)+SUM(BN$71:BN$86)</f>
        <v>353.40145033608098</v>
      </c>
      <c r="L113" s="106">
        <f>SUM(BP$71:BP$86)+SUM(BR$71:BR$86)+SUM(BT$71:BT$86)+SUM(BV$71:BV$86)</f>
        <v>229.02796521248209</v>
      </c>
      <c r="M113" s="106">
        <f>SUM(BX$71:BX$86)+SUM(BZ$71:BZ$86)+SUM(CB$71:CB$86)+SUM(CD$71:CD$86)</f>
        <v>288.18889738934661</v>
      </c>
      <c r="N113" s="106">
        <f>SUM(CF$71:CF$86)+SUM(CH$71:CH$86)+SUM(CJ$71:CJ$86)+SUM(CL$71:CL$86)</f>
        <v>1568.5379587301081</v>
      </c>
      <c r="O113" s="106">
        <f>SUM(CN$71:CN$86)+SUM(CP$71:CP$86)+SUM(CR$71:CR$86)+SUM(CT$71:CT$86)</f>
        <v>240.62489940675221</v>
      </c>
    </row>
    <row r="114" spans="2:15" x14ac:dyDescent="0.2">
      <c r="C114" s="105" t="s">
        <v>131</v>
      </c>
      <c r="D114" s="106">
        <f>SUM(D$87:D$94)+SUM(F$87:F$94)+SUM(H$87:H$94)+SUM(J$87:J$94)</f>
        <v>141.04862012989429</v>
      </c>
      <c r="E114" s="106">
        <f>SUM(L$87:L$94)+SUM(N$87:N$94)+SUM(P$87:P$94)+SUM(R$87:R$94)</f>
        <v>213.31180686585427</v>
      </c>
      <c r="F114" s="106">
        <f>SUM(T$87:T$94)+SUM(V$87:V$94)+SUM(X$87:X$94)+SUM(Z$87:Z$94)</f>
        <v>209.01859780909069</v>
      </c>
      <c r="G114" s="106">
        <f>SUM(AB$87:AB$94)+SUM(AD$87:AD$94)+SUM(AF$87:AF$94)+SUM(AH$87:AH$94)</f>
        <v>603.97846736543056</v>
      </c>
      <c r="H114" s="106">
        <f>SUM(AJ$87:AJ$94)+SUM(AL$87:AL$94)+SUM(AN$87:AN$94)+SUM(AP$87:AP$94)</f>
        <v>77.660219793027835</v>
      </c>
      <c r="I114" s="106">
        <f>SUM(AR$87:AR$94)+SUM(AT$87:AT$94)+SUM(AV$87:AV$94)+SUM(AX$87:AX$94)</f>
        <v>1092.6771965599778</v>
      </c>
      <c r="J114" s="106">
        <f>SUM(AZ$87:AZ$94)+SUM(BB$87:BB$94)+SUM(BD$87:BD$94)+SUM(BF$87:BF$94)</f>
        <v>842.81172369782701</v>
      </c>
      <c r="K114" s="106">
        <f>SUM(BH$87:BH$94)+SUM(BJ$87:BJ$94)+SUM(BL$87:BL$94)+SUM(BN$87:BN$94)</f>
        <v>133.20019536583462</v>
      </c>
      <c r="L114" s="106">
        <f>SUM(BP$87:BP$94)+SUM(BR$87:BR$94)+SUM(BT$87:BT$94)+SUM(BV$87:BV$94)</f>
        <v>437.93856984983756</v>
      </c>
      <c r="M114" s="106">
        <f>SUM(BX$87:BX$94)+SUM(BZ$87:BZ$94)+SUM(CB$87:CB$94)+SUM(CD$87:CD$94)</f>
        <v>238.66714377544062</v>
      </c>
      <c r="N114" s="106">
        <f>SUM(CF$87:CF$94)+SUM(CH$87:CH$94)+SUM(CJ$87:CJ$94)+SUM(CL$87:CL$94)</f>
        <v>305.97501862491623</v>
      </c>
      <c r="O114" s="106">
        <f>SUM(CN$87:CN$94)+SUM(CP$87:CP$94)+SUM(CR$87:CR$94)+SUM(CT$87:CT$94)</f>
        <v>740.24809241012076</v>
      </c>
    </row>
    <row r="115" spans="2:15" x14ac:dyDescent="0.2">
      <c r="C115" s="105" t="s">
        <v>132</v>
      </c>
      <c r="D115" s="106">
        <f>SUM(D$95:D$105)+SUM(F$95:F$105)+SUM(H$95:H$105)+SUM(J$95:J$105)</f>
        <v>217.65323686572691</v>
      </c>
      <c r="E115" s="106">
        <f>SUM(L$95:L$105)+SUM(N$95:N$105)+SUM(P$95:P$105)+SUM(R$95:R$105)</f>
        <v>115.79499637880417</v>
      </c>
      <c r="F115" s="106">
        <f>SUM(T$95:T$105)+SUM(V$95:V$105)+SUM(X$95:X$105)+SUM(Z$95:Z$105)</f>
        <v>440.86586795558571</v>
      </c>
      <c r="G115" s="106">
        <f>SUM(AB$95:AB$105)+SUM(AD$95:AD$105)+SUM(AF$95:AF$105)+SUM(AH$95:AH$105)</f>
        <v>278.20697934584774</v>
      </c>
      <c r="H115" s="106">
        <f>SUM(AJ$95:AJ$105)+SUM(AL$95:AL$105)+SUM(AN$95:AN$105)+SUM(AP$95:AP$105)</f>
        <v>1453.9033542683524</v>
      </c>
      <c r="I115" s="106">
        <f>SUM(AR$95:AR$105)+SUM(AT$95:AT$105)+SUM(AV$95:AV$105)+SUM(AX$95:AX$105)</f>
        <v>114.77504176513725</v>
      </c>
      <c r="J115" s="106">
        <f>SUM(AZ$95:AZ$105)+SUM(BB$95:BB$105)+SUM(BD$95:BD$105)+SUM(BF$95:BF$105)</f>
        <v>374.22263968221222</v>
      </c>
      <c r="K115" s="106">
        <f>SUM(BH$95:BH$105)+SUM(BJ$95:BJ$105)+SUM(BL$95:BL$105)+SUM(BN$95:BN$105)</f>
        <v>413.64708840080539</v>
      </c>
      <c r="L115" s="106">
        <f>SUM(BP$95:BP$105)+SUM(BR$95:BR$105)+SUM(BT$95:BT$105)+SUM(BV$95:BV$105)</f>
        <v>176.13908989640697</v>
      </c>
      <c r="M115" s="106">
        <f>SUM(BX$95:BX$105)+SUM(BZ$95:BZ$105)+SUM(CB$95:CB$105)+SUM(CD$95:CD$105)</f>
        <v>459.22783234899725</v>
      </c>
      <c r="N115" s="106">
        <f>SUM(CF$95:CF$105)+SUM(CH$95:CH$105)+SUM(CJ$95:CJ$105)+SUM(CL$95:CL$105)</f>
        <v>123.31648853801293</v>
      </c>
      <c r="O115" s="106">
        <f>SUM(CN$95:CN$105)+SUM(CP$95:CP$105)+SUM(CR$95:CR$105)+SUM(CT$95:CT$105)</f>
        <v>151.30839377898997</v>
      </c>
    </row>
    <row r="116" spans="2:15" x14ac:dyDescent="0.2">
      <c r="C116" s="105" t="s">
        <v>278</v>
      </c>
      <c r="D116" s="106">
        <f t="shared" ref="D116:O116" si="0">SUM(D$109:D$115)</f>
        <v>2993.4968580898853</v>
      </c>
      <c r="E116" s="106">
        <f t="shared" si="0"/>
        <v>8196.7199751744847</v>
      </c>
      <c r="F116" s="106">
        <f t="shared" si="0"/>
        <v>2190.6929913339754</v>
      </c>
      <c r="G116" s="106">
        <f t="shared" si="0"/>
        <v>6542.462084976788</v>
      </c>
      <c r="H116" s="106">
        <f t="shared" si="0"/>
        <v>6465.6632802925778</v>
      </c>
      <c r="I116" s="106">
        <f t="shared" si="0"/>
        <v>7791.6486576488423</v>
      </c>
      <c r="J116" s="106">
        <f t="shared" si="0"/>
        <v>6636.7083038162991</v>
      </c>
      <c r="K116" s="106">
        <f t="shared" si="0"/>
        <v>5004.6772975494387</v>
      </c>
      <c r="L116" s="106">
        <f t="shared" si="0"/>
        <v>5244.4589631406361</v>
      </c>
      <c r="M116" s="106">
        <f t="shared" si="0"/>
        <v>8903.5444381983161</v>
      </c>
      <c r="N116" s="106">
        <f t="shared" si="0"/>
        <v>8094.4184620213446</v>
      </c>
      <c r="O116" s="106">
        <f t="shared" si="0"/>
        <v>3652.7746176193114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D109*pricing!D33*2000</f>
        <v>1228874.7373622518</v>
      </c>
      <c r="E120" s="106">
        <f>E109*pricing!E33*2000</f>
        <v>1137227.7193441368</v>
      </c>
      <c r="F120" s="106">
        <f>F109*pricing!F33*2000</f>
        <v>1634942.5362506642</v>
      </c>
      <c r="G120" s="106">
        <f>G109*pricing!G33*2000</f>
        <v>4381916.3674309803</v>
      </c>
      <c r="H120" s="106">
        <f>H109*pricing!H33*2000</f>
        <v>1452373.0202372526</v>
      </c>
      <c r="I120" s="106">
        <f>I109*pricing!I33*2000</f>
        <v>2638776.4066455434</v>
      </c>
      <c r="J120" s="106">
        <f>J109*pricing!J33*2000</f>
        <v>1585348.4856616007</v>
      </c>
      <c r="K120" s="106">
        <f>K109*pricing!K33*2000</f>
        <v>2056258.9834070394</v>
      </c>
      <c r="L120" s="106">
        <f>L109*pricing!L33*2000</f>
        <v>6098923.4199991263</v>
      </c>
      <c r="M120" s="106">
        <f>M109*pricing!M33*2000</f>
        <v>1446483.0774918769</v>
      </c>
      <c r="N120" s="106">
        <f>N109*pricing!N33*2000</f>
        <v>5676974.6267579487</v>
      </c>
      <c r="O120" s="106">
        <f>O109*pricing!O33*2000</f>
        <v>2324195.5194305885</v>
      </c>
    </row>
    <row r="121" spans="2:15" x14ac:dyDescent="0.2">
      <c r="C121" s="105" t="s">
        <v>127</v>
      </c>
      <c r="D121" s="106">
        <f>D110*pricing!D34*2000</f>
        <v>1104032.3427538825</v>
      </c>
      <c r="E121" s="106">
        <f>E110*pricing!E34*2000</f>
        <v>3587748.7384766452</v>
      </c>
      <c r="F121" s="106">
        <f>F110*pricing!F34*2000</f>
        <v>1493723.3494663723</v>
      </c>
      <c r="G121" s="106">
        <f>G110*pricing!G34*2000</f>
        <v>1398079.4522216753</v>
      </c>
      <c r="H121" s="106">
        <f>H110*pricing!H34*2000</f>
        <v>2566172.7367725004</v>
      </c>
      <c r="I121" s="106">
        <f>I110*pricing!I34*2000</f>
        <v>5221545.0487039173</v>
      </c>
      <c r="J121" s="106">
        <f>J110*pricing!J34*2000</f>
        <v>1286038.408971298</v>
      </c>
      <c r="K121" s="106">
        <f>K110*pricing!K34*2000</f>
        <v>3450980.3187898658</v>
      </c>
      <c r="L121" s="106">
        <f>L110*pricing!L34*2000</f>
        <v>1395174.390599163</v>
      </c>
      <c r="M121" s="106">
        <f>M110*pricing!M34*2000</f>
        <v>4305853.0278172661</v>
      </c>
      <c r="N121" s="106">
        <f>N110*pricing!N34*2000</f>
        <v>5224998.029920443</v>
      </c>
      <c r="O121" s="106">
        <f>O110*pricing!O34*2000</f>
        <v>4505894.8049028842</v>
      </c>
    </row>
    <row r="122" spans="2:15" x14ac:dyDescent="0.2">
      <c r="C122" s="105" t="s">
        <v>128</v>
      </c>
      <c r="D122" s="106">
        <f>D111*pricing!D35*2000</f>
        <v>2740565.6569016408</v>
      </c>
      <c r="E122" s="106">
        <f>E111*pricing!E35*2000</f>
        <v>6573645.1214387119</v>
      </c>
      <c r="F122" s="106">
        <f>F111*pricing!F35*2000</f>
        <v>1680699.729391281</v>
      </c>
      <c r="G122" s="106">
        <f>G111*pricing!G35*2000</f>
        <v>5852010.9943885887</v>
      </c>
      <c r="H122" s="106">
        <f>H111*pricing!H35*2000</f>
        <v>7690767.5890154168</v>
      </c>
      <c r="I122" s="106">
        <f>I111*pricing!I35*2000</f>
        <v>3444102.4485357874</v>
      </c>
      <c r="J122" s="106">
        <f>J111*pricing!J35*2000</f>
        <v>1741796.1796686209</v>
      </c>
      <c r="K122" s="106">
        <f>K111*pricing!K35*2000</f>
        <v>5845385.6190258116</v>
      </c>
      <c r="L122" s="106">
        <f>L111*pricing!L35*2000</f>
        <v>5114166.1188359084</v>
      </c>
      <c r="M122" s="106">
        <f>M111*pricing!M35*2000</f>
        <v>2236677.1344019719</v>
      </c>
      <c r="N122" s="106">
        <f>N111*pricing!N35*2000</f>
        <v>1390686.8553658826</v>
      </c>
      <c r="O122" s="106">
        <f>O111*pricing!O35*2000</f>
        <v>1468750.8527290723</v>
      </c>
    </row>
    <row r="123" spans="2:15" x14ac:dyDescent="0.2">
      <c r="C123" s="105" t="s">
        <v>129</v>
      </c>
      <c r="D123" s="106">
        <f>D112*pricing!D36*2000</f>
        <v>3111629.3591027623</v>
      </c>
      <c r="E123" s="106">
        <f>E112*pricing!E36*2000</f>
        <v>6386249.197638873</v>
      </c>
      <c r="F123" s="106">
        <f>F112*pricing!F36*2000</f>
        <v>1790969.6509995349</v>
      </c>
      <c r="G123" s="106">
        <f>G112*pricing!G36*2000</f>
        <v>2832880.5946040554</v>
      </c>
      <c r="H123" s="106">
        <f>H112*pricing!H36*2000</f>
        <v>2742430.3508059937</v>
      </c>
      <c r="I123" s="106">
        <f>I112*pricing!I36*2000</f>
        <v>1996470.926438238</v>
      </c>
      <c r="J123" s="106">
        <f>J112*pricing!J36*2000</f>
        <v>2533988.7698104512</v>
      </c>
      <c r="K123" s="106">
        <f>K112*pricing!K36*2000</f>
        <v>2440277.9582326161</v>
      </c>
      <c r="L123" s="106">
        <f>L112*pricing!L36*2000</f>
        <v>2216287.1346445414</v>
      </c>
      <c r="M123" s="106">
        <f>M112*pricing!M36*2000</f>
        <v>11899698.243908809</v>
      </c>
      <c r="N123" s="106">
        <f>N112*pricing!N36*2000</f>
        <v>6373851.4672814701</v>
      </c>
      <c r="O123" s="106">
        <f>O112*pricing!O36*2000</f>
        <v>2066168.7634175273</v>
      </c>
    </row>
    <row r="124" spans="2:15" x14ac:dyDescent="0.2">
      <c r="C124" s="105" t="s">
        <v>130</v>
      </c>
      <c r="D124" s="106">
        <f>D113*pricing!D37*2000</f>
        <v>3567119.0102447523</v>
      </c>
      <c r="E124" s="106">
        <f>E113*pricing!E37*2000</f>
        <v>3681771.4517806727</v>
      </c>
      <c r="F124" s="106">
        <f>F113*pricing!F37*2000</f>
        <v>2161225.8353009503</v>
      </c>
      <c r="G124" s="106">
        <f>G113*pricing!G37*2000</f>
        <v>2854949.6989814388</v>
      </c>
      <c r="H124" s="106">
        <f>H113*pricing!H37*2000</f>
        <v>1583795.9889171429</v>
      </c>
      <c r="I124" s="106">
        <f>I113*pricing!I37*2000</f>
        <v>6548938.8933455963</v>
      </c>
      <c r="J124" s="106">
        <f>J113*pricing!J37*2000</f>
        <v>8541654.0343513861</v>
      </c>
      <c r="K124" s="106">
        <f>K113*pricing!K37*2000</f>
        <v>1890479.773878468</v>
      </c>
      <c r="L124" s="106">
        <f>L113*pricing!L37*2000</f>
        <v>1311419.4927108348</v>
      </c>
      <c r="M124" s="106">
        <f>M113*pricing!M37*2000</f>
        <v>1588447.2616712642</v>
      </c>
      <c r="N124" s="106">
        <f>N113*pricing!N37*2000</f>
        <v>4475563.5913243536</v>
      </c>
      <c r="O124" s="106">
        <f>O113*pricing!O37*2000</f>
        <v>1481241.6486869541</v>
      </c>
    </row>
    <row r="125" spans="2:15" x14ac:dyDescent="0.2">
      <c r="C125" s="105" t="s">
        <v>131</v>
      </c>
      <c r="D125" s="106">
        <f>D114*pricing!D38*2000</f>
        <v>725685.72262836865</v>
      </c>
      <c r="E125" s="106">
        <f>E114*pricing!E38*2000</f>
        <v>945769.30339573103</v>
      </c>
      <c r="F125" s="106">
        <f>F114*pricing!F38*2000</f>
        <v>937253.43811694416</v>
      </c>
      <c r="G125" s="106">
        <f>G114*pricing!G38*2000</f>
        <v>1894831.9128119568</v>
      </c>
      <c r="H125" s="106">
        <f>H114*pricing!H38*2000</f>
        <v>526534.32403578283</v>
      </c>
      <c r="I125" s="106">
        <f>I114*pricing!I38*2000</f>
        <v>2602919.8174260184</v>
      </c>
      <c r="J125" s="106">
        <f>J114*pricing!J38*2000</f>
        <v>2086518.3058931297</v>
      </c>
      <c r="K125" s="106">
        <f>K114*pricing!K38*2000</f>
        <v>791118.77334604657</v>
      </c>
      <c r="L125" s="106">
        <f>L114*pricing!L38*2000</f>
        <v>1529751.4793551089</v>
      </c>
      <c r="M125" s="106">
        <f>M114*pricing!M38*2000</f>
        <v>1078107.928316664</v>
      </c>
      <c r="N125" s="106">
        <f>N114*pricing!N38*2000</f>
        <v>1343346.3795870657</v>
      </c>
      <c r="O125" s="106">
        <f>O114*pricing!O38*2000</f>
        <v>2136045.7309079682</v>
      </c>
    </row>
    <row r="126" spans="2:15" x14ac:dyDescent="0.2">
      <c r="C126" s="105" t="s">
        <v>132</v>
      </c>
      <c r="D126" s="106">
        <f>D115*pricing!D39*2000</f>
        <v>1246399.3815866979</v>
      </c>
      <c r="E126" s="106">
        <f>E115*pricing!E39*2000</f>
        <v>808141.60002638318</v>
      </c>
      <c r="F126" s="106">
        <f>F115*pricing!F39*2000</f>
        <v>1960146.7044757353</v>
      </c>
      <c r="G126" s="106">
        <f>G115*pricing!G39*2000</f>
        <v>1501567.1289346574</v>
      </c>
      <c r="H126" s="106">
        <f>H115*pricing!H39*2000</f>
        <v>3680469.3099396988</v>
      </c>
      <c r="I126" s="106">
        <f>I115*pricing!I39*2000</f>
        <v>797952.48854841886</v>
      </c>
      <c r="J126" s="106">
        <f>J115*pricing!J39*2000</f>
        <v>1750106.458634434</v>
      </c>
      <c r="K126" s="106">
        <f>K115*pricing!K39*2000</f>
        <v>1774528.1487919695</v>
      </c>
      <c r="L126" s="106">
        <f>L115*pricing!L39*2000</f>
        <v>1070769.9681141872</v>
      </c>
      <c r="M126" s="106">
        <f>M115*pricing!M39*2000</f>
        <v>1842454.4908100541</v>
      </c>
      <c r="N126" s="106">
        <f>N115*pricing!N39*2000</f>
        <v>859617.80385202437</v>
      </c>
      <c r="O126" s="106">
        <f>O115*pricing!O39*2000</f>
        <v>996374.79400316323</v>
      </c>
    </row>
    <row r="127" spans="2:15" x14ac:dyDescent="0.2">
      <c r="C127" s="105" t="s">
        <v>278</v>
      </c>
      <c r="D127" s="106">
        <f>SUM(D$120:D$126)</f>
        <v>13724306.210580356</v>
      </c>
      <c r="E127" s="106">
        <f t="shared" ref="E127:O127" si="1">SUM(E$120:E$126)</f>
        <v>23120553.132101156</v>
      </c>
      <c r="F127" s="106">
        <f t="shared" si="1"/>
        <v>11658961.244001482</v>
      </c>
      <c r="G127" s="106">
        <f t="shared" si="1"/>
        <v>20716236.149373356</v>
      </c>
      <c r="H127" s="106">
        <f t="shared" si="1"/>
        <v>20242543.319723785</v>
      </c>
      <c r="I127" s="106">
        <f t="shared" si="1"/>
        <v>23250706.029643521</v>
      </c>
      <c r="J127" s="106">
        <f t="shared" si="1"/>
        <v>19525450.642990921</v>
      </c>
      <c r="K127" s="106">
        <f t="shared" si="1"/>
        <v>18249029.575471815</v>
      </c>
      <c r="L127" s="106">
        <f t="shared" si="1"/>
        <v>18736492.004258871</v>
      </c>
      <c r="M127" s="106">
        <f t="shared" si="1"/>
        <v>24397721.164417908</v>
      </c>
      <c r="N127" s="106">
        <f t="shared" si="1"/>
        <v>25345038.754089184</v>
      </c>
      <c r="O127" s="106">
        <f t="shared" si="1"/>
        <v>14978672.114078157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92410.8</v>
      </c>
      <c r="E131" s="112">
        <f>SUM(M$6:M$19)+SUM(O$6:O$19)+SUM(Q$6:Q$19)+SUM(S$6:S$19)</f>
        <v>83660.399999999994</v>
      </c>
      <c r="F131" s="112">
        <f>SUM(U$6:U$19)+SUM(W$6:W$19)+SUM(Y$6:Y$19)+SUM(AA$6:AA$19)</f>
        <v>159181.20000000001</v>
      </c>
      <c r="G131" s="112">
        <f>SUM(AC$6:AC$19)+SUM(AE$6:AE$19)+SUM(AG$6:AG$19)+SUM(AI$6:AI$19)</f>
        <v>765387.59999999986</v>
      </c>
      <c r="H131" s="112">
        <f>SUM(AK$6:AK$19)+SUM(AM$6:AM$19)+SUM(AO$6:AO$19)+SUM(AQ$6:AQ$19)</f>
        <v>112969.2</v>
      </c>
      <c r="I131" s="112">
        <f>SUM(AS$6:AS$19)+SUM(AU$6:AU$19)+SUM(AW$6:AW$19)+SUM(AY$6:AY$19)</f>
        <v>324747.59999999998</v>
      </c>
      <c r="J131" s="112">
        <f>SUM(BA$6:BA$19)+SUM(BC$6:BC$19)+SUM(BE$6:BE$19)+SUM(BG$6:BG$19)</f>
        <v>138006</v>
      </c>
      <c r="K131" s="112">
        <f>SUM(BI$6:BI$19)+SUM(BK$6:BK$19)+SUM(BM$6:BM$19)+SUM(BO$6:BO$19)</f>
        <v>201913.19999999998</v>
      </c>
      <c r="L131" s="112">
        <f>SUM(BQ$6:BQ$19)+SUM(BS$6:BS$19)+SUM(BU$6:BU$19)+SUM(BW$6:BW$19)</f>
        <v>1115207.9999999998</v>
      </c>
      <c r="M131" s="112">
        <f>SUM(BY$6:BY$19)+SUM(CA$6:CA$19)+SUM(CC$6:CC$19)+SUM(CE$6:CE$19)</f>
        <v>112966.8</v>
      </c>
      <c r="N131" s="112">
        <f>SUM(CG$6:CG$19)+SUM(CI$6:CI$19)+SUM(CK$6:CK$19)+SUM(CM$6:CM$19)</f>
        <v>983401.2</v>
      </c>
      <c r="O131" s="112">
        <f>SUM(CO$6:CO$19)+SUM(CQ$6:CQ$19)+SUM(CS$6:CS$19)+SUM(CU$6:CU$19)</f>
        <v>246620.39999999997</v>
      </c>
    </row>
    <row r="132" spans="2:15" x14ac:dyDescent="0.2">
      <c r="C132" s="111" t="s">
        <v>127</v>
      </c>
      <c r="D132" s="112">
        <f>SUM(E$20:E$36)+SUM(G$20:G$36)+SUM(I$20:I$36)+SUM(K$20:K$36)</f>
        <v>74551.199999999983</v>
      </c>
      <c r="E132" s="112">
        <f>SUM(M$20:M$36)+SUM(O$20:O$36)+SUM(Q$20:Q$36)+SUM(S$20:S$36)</f>
        <v>491705.99999999994</v>
      </c>
      <c r="F132" s="112">
        <f>SUM(U$20:U$36)+SUM(W$20:W$36)+SUM(Y$20:Y$36)+SUM(AA$20:AA$36)</f>
        <v>105818.4</v>
      </c>
      <c r="G132" s="112">
        <f>SUM(AC$20:AC$36)+SUM(AE$20:AE$36)+SUM(AG$20:AG$36)+SUM(AI$20:AI$36)</f>
        <v>94441.200000000012</v>
      </c>
      <c r="H132" s="112">
        <f>SUM(AK$20:AK$36)+SUM(AM$20:AM$36)+SUM(AO$20:AO$36)+SUM(AQ$20:AQ$36)</f>
        <v>282883.20000000001</v>
      </c>
      <c r="I132" s="112">
        <f>SUM(AS$20:AS$36)+SUM(AU$20:AU$36)+SUM(AW$20:AW$36)+SUM(AY$20:AY$36)</f>
        <v>835772.39999999991</v>
      </c>
      <c r="J132" s="112">
        <f>SUM(BA$20:BA$36)+SUM(BC$20:BC$36)+SUM(BE$20:BE$36)+SUM(BG$20:BG$36)</f>
        <v>83652</v>
      </c>
      <c r="K132" s="112">
        <f>SUM(BI$20:BI$36)+SUM(BK$20:BK$36)+SUM(BM$20:BM$36)+SUM(BO$20:BO$36)</f>
        <v>388808.39999999997</v>
      </c>
      <c r="L132" s="112">
        <f>SUM(BQ$20:BQ$36)+SUM(BS$20:BS$36)+SUM(BU$20:BU$36)+SUM(BW$20:BW$36)</f>
        <v>89226</v>
      </c>
      <c r="M132" s="112">
        <f>SUM(BY$20:BY$36)+SUM(CA$20:CA$36)+SUM(CC$20:CC$36)+SUM(CE$20:CE$36)</f>
        <v>589812</v>
      </c>
      <c r="N132" s="112">
        <f>SUM(CG$20:CG$36)+SUM(CI$20:CI$36)+SUM(CK$20:CK$36)+SUM(CM$20:CM$36)</f>
        <v>764854.79999999981</v>
      </c>
      <c r="O132" s="112">
        <f>SUM(CO$20:CO$36)+SUM(CQ$20:CQ$36)+SUM(CS$20:CS$36)+SUM(CU$20:CU$36)</f>
        <v>629715.6</v>
      </c>
    </row>
    <row r="133" spans="2:15" x14ac:dyDescent="0.2">
      <c r="C133" s="111" t="s">
        <v>128</v>
      </c>
      <c r="D133" s="112">
        <f>SUM(E$37:E$48)+SUM(G$37:G$48)+SUM(I$37:I$48)+SUM(K$37:K$48)</f>
        <v>627031.19999999995</v>
      </c>
      <c r="E133" s="112">
        <f>SUM(M$37:M$48)+SUM(O$37:O$48)+SUM(Q$37:Q$48)+SUM(S$37:S$48)</f>
        <v>3141145.2</v>
      </c>
      <c r="F133" s="112">
        <f>SUM(U$37:U$48)+SUM(W$37:W$48)+SUM(Y$37:Y$48)+SUM(AA$37:AA$48)</f>
        <v>267835.2</v>
      </c>
      <c r="G133" s="112">
        <f>SUM(AC$37:AC$48)+SUM(AE$37:AE$48)+SUM(AG$37:AG$48)+SUM(AI$37:AI$48)</f>
        <v>2741683.1999999997</v>
      </c>
      <c r="H133" s="112">
        <f>SUM(AK$37:AK$48)+SUM(AM$37:AM$48)+SUM(AO$37:AO$48)+SUM(AQ$37:AQ$48)</f>
        <v>3330682.8</v>
      </c>
      <c r="I133" s="112">
        <f>SUM(AS$37:AS$48)+SUM(AU$37:AU$48)+SUM(AW$37:AW$48)+SUM(AY$37:AY$48)</f>
        <v>1019490</v>
      </c>
      <c r="J133" s="112">
        <f>SUM(BA$37:BA$48)+SUM(BC$37:BC$48)+SUM(BE$37:BE$48)+SUM(BG$37:BG$48)</f>
        <v>300471.59999999998</v>
      </c>
      <c r="K133" s="112">
        <f>SUM(BI$37:BI$48)+SUM(BK$37:BK$48)+SUM(BM$37:BM$48)+SUM(BO$37:BO$48)</f>
        <v>2461184.4000000004</v>
      </c>
      <c r="L133" s="112">
        <f>SUM(BQ$37:BQ$48)+SUM(BS$37:BS$48)+SUM(BU$37:BU$48)+SUM(BW$37:BW$48)</f>
        <v>1707984</v>
      </c>
      <c r="M133" s="112">
        <f>SUM(BY$37:BY$48)+SUM(CA$37:CA$48)+SUM(CC$37:CC$48)+SUM(CE$37:CE$48)</f>
        <v>454682.39999999997</v>
      </c>
      <c r="N133" s="112">
        <f>SUM(CG$37:CG$48)+SUM(CI$37:CI$48)+SUM(CK$37:CK$48)+SUM(CM$37:CM$48)</f>
        <v>224990.4</v>
      </c>
      <c r="O133" s="112">
        <f>SUM(CO$37:CO$48)+SUM(CQ$37:CQ$48)+SUM(CS$37:CS$48)+SUM(CU$37:CU$48)</f>
        <v>254839.2</v>
      </c>
    </row>
    <row r="134" spans="2:15" x14ac:dyDescent="0.2">
      <c r="C134" s="111" t="s">
        <v>129</v>
      </c>
      <c r="D134" s="112">
        <f>SUM(E$49:E$70)+SUM(G$49:G$70)+SUM(I$49:I$70)+SUM(K$49:K$70)</f>
        <v>504570.09025673452</v>
      </c>
      <c r="E134" s="112">
        <f>SUM(M$49:M$70)+SUM(O$49:O$70)+SUM(Q$49:Q$70)+SUM(S$49:S$70)</f>
        <v>1983994.0486167907</v>
      </c>
      <c r="F134" s="112">
        <f>SUM(U$49:U$70)+SUM(W$49:W$70)+SUM(Y$49:Y$70)+SUM(AA$49:AA$70)</f>
        <v>243925.15840119461</v>
      </c>
      <c r="G134" s="112">
        <f>SUM(AC$49:AC$70)+SUM(AE$49:AE$70)+SUM(AG$49:AG$70)+SUM(AI$49:AI$70)</f>
        <v>510704.1342859196</v>
      </c>
      <c r="H134" s="112">
        <f>SUM(AK$49:AK$70)+SUM(AM$49:AM$70)+SUM(AO$49:AO$70)+SUM(AQ$49:AQ$70)</f>
        <v>470308.28864014667</v>
      </c>
      <c r="I134" s="112">
        <f>SUM(AS$49:AS$70)+SUM(AU$49:AU$70)+SUM(AW$49:AW$70)+SUM(AY$49:AY$70)</f>
        <v>277052.8766770456</v>
      </c>
      <c r="J134" s="112">
        <f>SUM(BA$49:BA$70)+SUM(BC$49:BC$70)+SUM(BE$49:BE$70)+SUM(BG$49:BG$70)</f>
        <v>438493.86686911026</v>
      </c>
      <c r="K134" s="112">
        <f>SUM(BI$49:BI$70)+SUM(BK$49:BK$70)+SUM(BM$49:BM$70)+SUM(BO$49:BO$70)</f>
        <v>350641.8721547082</v>
      </c>
      <c r="L134" s="112">
        <f>SUM(BQ$49:BQ$70)+SUM(BS$49:BS$70)+SUM(BU$49:BU$70)+SUM(BW$49:BW$70)</f>
        <v>281069.79587334045</v>
      </c>
      <c r="M134" s="112">
        <f>SUM(BY$49:BY$70)+SUM(CA$49:CA$70)+SUM(CC$49:CC$70)+SUM(CE$49:CE$70)</f>
        <v>4851250.1153484108</v>
      </c>
      <c r="N134" s="112">
        <f>SUM(CG$49:CG$70)+SUM(CI$49:CI$70)+SUM(CK$49:CK$70)+SUM(CM$49:CM$70)</f>
        <v>1764883.9043904289</v>
      </c>
      <c r="O134" s="112">
        <f>SUM(CO$49:CO$70)+SUM(CQ$49:CQ$70)+SUM(CS$49:CS$70)+SUM(CU$49:CU$70)</f>
        <v>265388.04969412723</v>
      </c>
    </row>
    <row r="135" spans="2:15" x14ac:dyDescent="0.2">
      <c r="C135" s="111" t="s">
        <v>130</v>
      </c>
      <c r="D135" s="112">
        <f>SUM(E$71:E$86)+SUM(G$71:G$86)+SUM(I$71:I$86)+SUM(K$71:K$86)</f>
        <v>599653.54168627702</v>
      </c>
      <c r="E135" s="112">
        <f>SUM(M$71:M$86)+SUM(O$71:O$86)+SUM(Q$71:Q$86)+SUM(S$71:S$86)</f>
        <v>633579.26824798551</v>
      </c>
      <c r="F135" s="112">
        <f>SUM(U$71:U$86)+SUM(W$71:W$86)+SUM(Y$71:Y$86)+SUM(AA$71:AA$86)</f>
        <v>244620.36346096799</v>
      </c>
      <c r="G135" s="112">
        <f>SUM(AC$71:AC$86)+SUM(AE$71:AE$86)+SUM(AG$71:AG$86)+SUM(AI$71:AI$86)</f>
        <v>373885.54901916167</v>
      </c>
      <c r="H135" s="112">
        <f>SUM(AK$71:AK$86)+SUM(AM$71:AM$86)+SUM(AO$71:AO$86)+SUM(AQ$71:AQ$86)</f>
        <v>160585.97895669838</v>
      </c>
      <c r="I135" s="112">
        <f>SUM(AS$71:AS$86)+SUM(AU$71:AU$86)+SUM(AW$71:AW$86)+SUM(AY$71:AY$86)</f>
        <v>1469378.3856926486</v>
      </c>
      <c r="J135" s="112">
        <f>SUM(BA$71:BA$86)+SUM(BC$71:BC$86)+SUM(BE$71:BE$86)+SUM(BG$71:BG$86)</f>
        <v>2284236.5635872427</v>
      </c>
      <c r="K135" s="112">
        <f>SUM(BI$71:BI$86)+SUM(BK$71:BK$86)+SUM(BM$71:BM$86)+SUM(BO$71:BO$86)</f>
        <v>196358.14799818632</v>
      </c>
      <c r="L135" s="112">
        <f>SUM(BQ$71:BQ$86)+SUM(BS$71:BS$86)+SUM(BU$71:BU$86)+SUM(BW$71:BW$86)</f>
        <v>127267.40031931452</v>
      </c>
      <c r="M135" s="112">
        <f>SUM(BY$71:BY$86)+SUM(CA$71:CA$86)+SUM(CC$71:CC$86)+SUM(CE$71:CE$86)</f>
        <v>160806.05399138841</v>
      </c>
      <c r="N135" s="112">
        <f>SUM(CG$71:CG$86)+SUM(CI$71:CI$86)+SUM(CK$71:CK$86)+SUM(CM$71:CM$86)</f>
        <v>865811.87797145383</v>
      </c>
      <c r="O135" s="112">
        <f>SUM(CO$71:CO$86)+SUM(CQ$71:CQ$86)+SUM(CS$71:CS$86)+SUM(CU$71:CU$86)</f>
        <v>133878.69423340543</v>
      </c>
    </row>
    <row r="136" spans="2:15" x14ac:dyDescent="0.2">
      <c r="C136" s="111" t="s">
        <v>131</v>
      </c>
      <c r="D136" s="112">
        <f>SUM(E$87:E$94)+SUM(G$87:G$94)+SUM(I$87:I$94)+SUM(K$87:K$94)</f>
        <v>285296.58332485659</v>
      </c>
      <c r="E136" s="112">
        <f>SUM(M$87:M$94)+SUM(O$87:O$94)+SUM(Q$87:Q$94)+SUM(S$87:S$94)</f>
        <v>433512.61979075614</v>
      </c>
      <c r="F136" s="112">
        <f>SUM(U$87:U$94)+SUM(W$87:W$94)+SUM(Y$87:Y$94)+SUM(AA$87:AA$94)</f>
        <v>425502.38783626229</v>
      </c>
      <c r="G136" s="112">
        <f>SUM(AC$87:AC$94)+SUM(AE$87:AE$94)+SUM(AG$87:AG$94)+SUM(AI$87:AI$94)</f>
        <v>1221016.1940027578</v>
      </c>
      <c r="H136" s="112">
        <f>SUM(AK$87:AK$94)+SUM(AM$87:AM$94)+SUM(AO$87:AO$94)+SUM(AQ$87:AQ$94)</f>
        <v>158191.15060902131</v>
      </c>
      <c r="I136" s="112">
        <f>SUM(AS$87:AS$94)+SUM(AU$87:AU$94)+SUM(AW$87:AW$94)+SUM(AY$87:AY$94)</f>
        <v>2202169.0902724965</v>
      </c>
      <c r="J136" s="112">
        <f>SUM(BA$87:BA$94)+SUM(BC$87:BC$94)+SUM(BE$87:BE$94)+SUM(BG$87:BG$94)</f>
        <v>1707564.5986580383</v>
      </c>
      <c r="K136" s="112">
        <f>SUM(BI$87:BI$94)+SUM(BK$87:BK$94)+SUM(BM$87:BM$94)+SUM(BO$87:BO$94)</f>
        <v>270236.54829122272</v>
      </c>
      <c r="L136" s="112">
        <f>SUM(BQ$87:BQ$94)+SUM(BS$87:BS$94)+SUM(BU$87:BU$94)+SUM(BW$87:BW$94)</f>
        <v>887836.56237414817</v>
      </c>
      <c r="M136" s="112">
        <f>SUM(BY$87:BY$94)+SUM(CA$87:CA$94)+SUM(CC$87:CC$94)+SUM(CE$87:CE$94)</f>
        <v>483543.89557405293</v>
      </c>
      <c r="N136" s="112">
        <f>SUM(CG$87:CG$94)+SUM(CI$87:CI$94)+SUM(CK$87:CK$94)+SUM(CM$87:CM$94)</f>
        <v>620811.54416399333</v>
      </c>
      <c r="O136" s="112">
        <f>SUM(CO$87:CO$94)+SUM(CQ$87:CQ$94)+SUM(CS$87:CS$94)+SUM(CU$87:CU$94)</f>
        <v>1499108.6140463711</v>
      </c>
    </row>
    <row r="137" spans="2:15" x14ac:dyDescent="0.2">
      <c r="C137" s="111" t="s">
        <v>132</v>
      </c>
      <c r="D137" s="112">
        <f>SUM(E$95:E$105)+SUM(G$95:G$105)+SUM(I$95:I$105)+SUM(K$95:K$105)</f>
        <v>412263.31989587197</v>
      </c>
      <c r="E137" s="112">
        <f>SUM(M$95:M$105)+SUM(O$95:O$105)+SUM(Q$95:Q$105)+SUM(S$95:S$105)</f>
        <v>222160.31466349828</v>
      </c>
      <c r="F137" s="112">
        <f>SUM(U$95:U$105)+SUM(W$95:W$105)+SUM(Y$95:Y$105)+SUM(AA$95:AA$105)</f>
        <v>824273.5483665202</v>
      </c>
      <c r="G137" s="112">
        <f>SUM(AC$95:AC$105)+SUM(AE$95:AE$105)+SUM(AG$95:AG$105)+SUM(AI$95:AI$105)</f>
        <v>525051.41294550197</v>
      </c>
      <c r="H137" s="112">
        <f>SUM(AK$95:AK$105)+SUM(AM$95:AM$105)+SUM(AO$95:AO$105)+SUM(AQ$95:AQ$105)</f>
        <v>2628030.4407223351</v>
      </c>
      <c r="I137" s="112">
        <f>SUM(AS$95:AS$105)+SUM(AU$95:AU$105)+SUM(AW$95:AW$105)+SUM(AY$95:AY$105)</f>
        <v>219668.37285831076</v>
      </c>
      <c r="J137" s="112">
        <f>SUM(BA$95:BA$105)+SUM(BC$95:BC$105)+SUM(BE$95:BE$105)+SUM(BG$95:BG$105)</f>
        <v>710101.34803695139</v>
      </c>
      <c r="K137" s="112">
        <f>SUM(BI$95:BI$105)+SUM(BK$95:BK$105)+SUM(BM$95:BM$105)+SUM(BO$95:BO$105)</f>
        <v>771046.59472820966</v>
      </c>
      <c r="L137" s="112">
        <f>SUM(BQ$95:BQ$105)+SUM(BS$95:BS$105)+SUM(BU$95:BU$105)+SUM(BW$95:BW$105)</f>
        <v>335914.90178997559</v>
      </c>
      <c r="M137" s="112">
        <f>SUM(BY$95:BY$105)+SUM(CA$95:CA$105)+SUM(CC$95:CC$105)+SUM(CE$95:CE$105)</f>
        <v>857985.30511492607</v>
      </c>
      <c r="N137" s="112">
        <f>SUM(CG$95:CG$105)+SUM(CI$95:CI$105)+SUM(CK$95:CK$105)+SUM(CM$95:CM$105)</f>
        <v>237075.63990116742</v>
      </c>
      <c r="O137" s="112">
        <f>SUM(CO$95:CO$105)+SUM(CQ$95:CQ$105)+SUM(CS$95:CS$105)+SUM(CU$95:CU$105)</f>
        <v>291319.77098525816</v>
      </c>
    </row>
    <row r="138" spans="2:15" x14ac:dyDescent="0.2">
      <c r="C138" s="111" t="s">
        <v>278</v>
      </c>
      <c r="D138" s="106">
        <f t="shared" ref="D138:O138" si="2">SUM(D$131:D$137)</f>
        <v>2595776.7351637399</v>
      </c>
      <c r="E138" s="106">
        <f t="shared" si="2"/>
        <v>6989757.8513190309</v>
      </c>
      <c r="F138" s="106">
        <f t="shared" si="2"/>
        <v>2271156.2580649452</v>
      </c>
      <c r="G138" s="106">
        <f t="shared" si="2"/>
        <v>6232169.2902533412</v>
      </c>
      <c r="H138" s="106">
        <f t="shared" si="2"/>
        <v>7143651.058928201</v>
      </c>
      <c r="I138" s="106">
        <f t="shared" si="2"/>
        <v>6348278.7255005017</v>
      </c>
      <c r="J138" s="106">
        <f t="shared" si="2"/>
        <v>5662525.9771513427</v>
      </c>
      <c r="K138" s="106">
        <f t="shared" si="2"/>
        <v>4640189.163172327</v>
      </c>
      <c r="L138" s="106">
        <f t="shared" si="2"/>
        <v>4544506.6603567787</v>
      </c>
      <c r="M138" s="106">
        <f t="shared" si="2"/>
        <v>7511046.5700287782</v>
      </c>
      <c r="N138" s="106">
        <f t="shared" si="2"/>
        <v>5461829.3664270435</v>
      </c>
      <c r="O138" s="106">
        <f t="shared" si="2"/>
        <v>3320870.3289591619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2.75" x14ac:dyDescent="0.2"/>
  <cols>
    <col min="1" max="2" width="9.140625" style="106"/>
    <col min="3" max="3" width="14.5703125" style="106" bestFit="1" customWidth="1"/>
    <col min="4" max="4" width="16.85546875" style="106" bestFit="1" customWidth="1"/>
    <col min="5" max="5" width="22.85546875" style="106" bestFit="1" customWidth="1"/>
    <col min="6" max="16384" width="9.140625" style="106"/>
  </cols>
  <sheetData>
    <row r="1" spans="1:5" x14ac:dyDescent="0.2">
      <c r="A1" s="105" t="s">
        <v>167</v>
      </c>
      <c r="B1" s="105" t="s">
        <v>168</v>
      </c>
      <c r="C1" s="105" t="s">
        <v>169</v>
      </c>
      <c r="D1" s="105" t="s">
        <v>170</v>
      </c>
      <c r="E1" s="105" t="s">
        <v>171</v>
      </c>
    </row>
    <row r="2" spans="1:5" x14ac:dyDescent="0.2">
      <c r="A2" s="105" t="s">
        <v>126</v>
      </c>
      <c r="B2" s="105" t="s">
        <v>172</v>
      </c>
      <c r="C2" s="106" t="s">
        <v>59</v>
      </c>
      <c r="D2" s="106">
        <v>482</v>
      </c>
      <c r="E2" s="106">
        <v>578.4</v>
      </c>
    </row>
    <row r="3" spans="1:5" x14ac:dyDescent="0.2">
      <c r="B3" s="105" t="s">
        <v>173</v>
      </c>
      <c r="C3" s="106" t="s">
        <v>59</v>
      </c>
      <c r="D3" s="106">
        <v>657</v>
      </c>
      <c r="E3" s="106">
        <v>788.4</v>
      </c>
    </row>
    <row r="4" spans="1:5" x14ac:dyDescent="0.2">
      <c r="B4" s="105" t="s">
        <v>174</v>
      </c>
      <c r="C4" s="106" t="s">
        <v>59</v>
      </c>
      <c r="D4" s="106">
        <v>258</v>
      </c>
      <c r="E4" s="106">
        <v>309.59999999999997</v>
      </c>
    </row>
    <row r="5" spans="1:5" x14ac:dyDescent="0.2">
      <c r="B5" s="105" t="s">
        <v>175</v>
      </c>
      <c r="C5" s="106" t="s">
        <v>59</v>
      </c>
      <c r="D5" s="106">
        <v>585</v>
      </c>
      <c r="E5" s="106">
        <v>702</v>
      </c>
    </row>
    <row r="6" spans="1:5" x14ac:dyDescent="0.2">
      <c r="B6" s="105" t="s">
        <v>176</v>
      </c>
      <c r="C6" s="106" t="s">
        <v>59</v>
      </c>
      <c r="D6" s="106">
        <v>454</v>
      </c>
      <c r="E6" s="106">
        <v>544.79999999999995</v>
      </c>
    </row>
    <row r="7" spans="1:5" x14ac:dyDescent="0.2">
      <c r="B7" s="105" t="s">
        <v>177</v>
      </c>
      <c r="C7" s="106" t="s">
        <v>59</v>
      </c>
      <c r="D7" s="106">
        <v>444</v>
      </c>
      <c r="E7" s="106">
        <v>532.79999999999995</v>
      </c>
    </row>
    <row r="8" spans="1:5" x14ac:dyDescent="0.2">
      <c r="B8" s="105" t="s">
        <v>178</v>
      </c>
      <c r="C8" s="106" t="s">
        <v>59</v>
      </c>
      <c r="D8" s="106">
        <v>469</v>
      </c>
      <c r="E8" s="106">
        <v>562.79999999999995</v>
      </c>
    </row>
    <row r="9" spans="1:5" x14ac:dyDescent="0.2">
      <c r="B9" s="105" t="s">
        <v>179</v>
      </c>
      <c r="C9" s="106" t="s">
        <v>59</v>
      </c>
      <c r="D9" s="106">
        <v>71</v>
      </c>
      <c r="E9" s="106">
        <v>85.2</v>
      </c>
    </row>
    <row r="10" spans="1:5" x14ac:dyDescent="0.2">
      <c r="B10" s="105" t="s">
        <v>180</v>
      </c>
      <c r="C10" s="106" t="s">
        <v>59</v>
      </c>
      <c r="D10" s="106">
        <v>407</v>
      </c>
      <c r="E10" s="106">
        <v>488.4</v>
      </c>
    </row>
    <row r="11" spans="1:5" x14ac:dyDescent="0.2">
      <c r="B11" s="105" t="s">
        <v>181</v>
      </c>
      <c r="C11" s="106" t="s">
        <v>59</v>
      </c>
      <c r="D11" s="106">
        <v>636</v>
      </c>
      <c r="E11" s="106">
        <v>763.19999999999993</v>
      </c>
    </row>
    <row r="12" spans="1:5" x14ac:dyDescent="0.2">
      <c r="B12" s="105" t="s">
        <v>182</v>
      </c>
      <c r="C12" s="106" t="s">
        <v>59</v>
      </c>
      <c r="D12" s="106">
        <v>284</v>
      </c>
      <c r="E12" s="106">
        <v>340.8</v>
      </c>
    </row>
    <row r="13" spans="1:5" x14ac:dyDescent="0.2">
      <c r="B13" s="105" t="s">
        <v>183</v>
      </c>
      <c r="C13" s="106" t="s">
        <v>59</v>
      </c>
      <c r="D13" s="106">
        <v>352</v>
      </c>
      <c r="E13" s="106">
        <v>422.4</v>
      </c>
    </row>
    <row r="14" spans="1:5" x14ac:dyDescent="0.2">
      <c r="B14" s="105" t="s">
        <v>184</v>
      </c>
      <c r="C14" s="106" t="s">
        <v>59</v>
      </c>
      <c r="D14" s="106">
        <v>544</v>
      </c>
      <c r="E14" s="106">
        <v>652.79999999999995</v>
      </c>
    </row>
    <row r="15" spans="1:5" x14ac:dyDescent="0.2">
      <c r="B15" s="105" t="s">
        <v>185</v>
      </c>
      <c r="C15" s="106" t="s">
        <v>59</v>
      </c>
      <c r="D15" s="106">
        <v>275</v>
      </c>
      <c r="E15" s="106">
        <v>330</v>
      </c>
    </row>
    <row r="16" spans="1:5" x14ac:dyDescent="0.2">
      <c r="A16" s="105" t="s">
        <v>127</v>
      </c>
      <c r="B16" s="105" t="s">
        <v>186</v>
      </c>
      <c r="C16" s="106" t="s">
        <v>59</v>
      </c>
      <c r="D16" s="106">
        <v>239</v>
      </c>
      <c r="E16" s="106">
        <v>286.8</v>
      </c>
    </row>
    <row r="17" spans="2:5" x14ac:dyDescent="0.2">
      <c r="B17" s="105" t="s">
        <v>187</v>
      </c>
      <c r="C17" s="106" t="s">
        <v>59</v>
      </c>
      <c r="D17" s="106">
        <v>52</v>
      </c>
      <c r="E17" s="106">
        <v>62.4</v>
      </c>
    </row>
    <row r="18" spans="2:5" x14ac:dyDescent="0.2">
      <c r="B18" s="105" t="s">
        <v>188</v>
      </c>
      <c r="C18" s="106" t="s">
        <v>59</v>
      </c>
      <c r="D18" s="106">
        <v>156</v>
      </c>
      <c r="E18" s="106">
        <v>187.2</v>
      </c>
    </row>
    <row r="19" spans="2:5" x14ac:dyDescent="0.2">
      <c r="B19" s="105" t="s">
        <v>189</v>
      </c>
      <c r="C19" s="106" t="s">
        <v>59</v>
      </c>
      <c r="D19" s="106">
        <v>245</v>
      </c>
      <c r="E19" s="106">
        <v>294</v>
      </c>
    </row>
    <row r="20" spans="2:5" x14ac:dyDescent="0.2">
      <c r="B20" s="105" t="s">
        <v>190</v>
      </c>
      <c r="C20" s="106" t="s">
        <v>59</v>
      </c>
      <c r="D20" s="106">
        <v>306</v>
      </c>
      <c r="E20" s="106">
        <v>367.2</v>
      </c>
    </row>
    <row r="21" spans="2:5" x14ac:dyDescent="0.2">
      <c r="B21" s="105" t="s">
        <v>191</v>
      </c>
      <c r="C21" s="106" t="s">
        <v>59</v>
      </c>
      <c r="D21" s="106">
        <v>442</v>
      </c>
      <c r="E21" s="106">
        <v>530.4</v>
      </c>
    </row>
    <row r="22" spans="2:5" x14ac:dyDescent="0.2">
      <c r="B22" s="105" t="s">
        <v>192</v>
      </c>
      <c r="C22" s="106" t="s">
        <v>59</v>
      </c>
      <c r="D22" s="106">
        <v>405</v>
      </c>
      <c r="E22" s="106">
        <v>486</v>
      </c>
    </row>
    <row r="23" spans="2:5" x14ac:dyDescent="0.2">
      <c r="B23" s="105" t="s">
        <v>193</v>
      </c>
      <c r="C23" s="106" t="s">
        <v>59</v>
      </c>
      <c r="D23" s="106">
        <v>356</v>
      </c>
      <c r="E23" s="106">
        <v>427.2</v>
      </c>
    </row>
    <row r="24" spans="2:5" x14ac:dyDescent="0.2">
      <c r="B24" s="105" t="s">
        <v>194</v>
      </c>
      <c r="C24" s="106" t="s">
        <v>59</v>
      </c>
      <c r="D24" s="106">
        <v>615</v>
      </c>
      <c r="E24" s="106">
        <v>738</v>
      </c>
    </row>
    <row r="25" spans="2:5" x14ac:dyDescent="0.2">
      <c r="B25" s="105" t="s">
        <v>195</v>
      </c>
      <c r="C25" s="106" t="s">
        <v>59</v>
      </c>
      <c r="D25" s="106">
        <v>282</v>
      </c>
      <c r="E25" s="106">
        <v>338.4</v>
      </c>
    </row>
    <row r="26" spans="2:5" x14ac:dyDescent="0.2">
      <c r="B26" s="105" t="s">
        <v>196</v>
      </c>
      <c r="C26" s="106" t="s">
        <v>59</v>
      </c>
      <c r="D26" s="106">
        <v>116</v>
      </c>
      <c r="E26" s="106">
        <v>139.19999999999999</v>
      </c>
    </row>
    <row r="27" spans="2:5" x14ac:dyDescent="0.2">
      <c r="B27" s="105" t="s">
        <v>197</v>
      </c>
      <c r="C27" s="106" t="s">
        <v>59</v>
      </c>
      <c r="D27" s="106">
        <v>284</v>
      </c>
      <c r="E27" s="106">
        <v>340.8</v>
      </c>
    </row>
    <row r="28" spans="2:5" x14ac:dyDescent="0.2">
      <c r="B28" s="105" t="s">
        <v>198</v>
      </c>
      <c r="C28" s="106" t="s">
        <v>59</v>
      </c>
      <c r="D28" s="106">
        <v>700</v>
      </c>
      <c r="E28" s="106">
        <v>840</v>
      </c>
    </row>
    <row r="29" spans="2:5" x14ac:dyDescent="0.2">
      <c r="B29" s="105" t="s">
        <v>199</v>
      </c>
      <c r="C29" s="106" t="s">
        <v>59</v>
      </c>
      <c r="D29" s="106">
        <v>395</v>
      </c>
      <c r="E29" s="106">
        <v>474</v>
      </c>
    </row>
    <row r="30" spans="2:5" x14ac:dyDescent="0.2">
      <c r="B30" s="105" t="s">
        <v>200</v>
      </c>
      <c r="C30" s="106" t="s">
        <v>59</v>
      </c>
      <c r="D30" s="106">
        <v>457</v>
      </c>
      <c r="E30" s="106">
        <v>548.4</v>
      </c>
    </row>
    <row r="31" spans="2:5" x14ac:dyDescent="0.2">
      <c r="B31" s="105" t="s">
        <v>201</v>
      </c>
      <c r="C31" s="106" t="s">
        <v>59</v>
      </c>
      <c r="D31" s="106">
        <v>419</v>
      </c>
      <c r="E31" s="106">
        <v>502.7999999999999</v>
      </c>
    </row>
    <row r="32" spans="2:5" x14ac:dyDescent="0.2">
      <c r="B32" s="105" t="s">
        <v>202</v>
      </c>
      <c r="C32" s="106" t="s">
        <v>59</v>
      </c>
      <c r="D32" s="106">
        <v>634</v>
      </c>
      <c r="E32" s="106">
        <v>760.8</v>
      </c>
    </row>
    <row r="33" spans="1:5" x14ac:dyDescent="0.2">
      <c r="A33" s="105" t="s">
        <v>128</v>
      </c>
      <c r="B33" s="105" t="s">
        <v>203</v>
      </c>
      <c r="C33" s="106" t="s">
        <v>59</v>
      </c>
      <c r="D33" s="106">
        <v>717</v>
      </c>
      <c r="E33" s="106">
        <v>860.4</v>
      </c>
    </row>
    <row r="34" spans="1:5" x14ac:dyDescent="0.2">
      <c r="B34" s="105" t="s">
        <v>204</v>
      </c>
      <c r="C34" s="106" t="s">
        <v>59</v>
      </c>
      <c r="D34" s="106">
        <v>1035</v>
      </c>
      <c r="E34" s="106">
        <v>1242</v>
      </c>
    </row>
    <row r="35" spans="1:5" x14ac:dyDescent="0.2">
      <c r="B35" s="105" t="s">
        <v>205</v>
      </c>
      <c r="C35" s="106" t="s">
        <v>59</v>
      </c>
      <c r="D35" s="106">
        <v>1186</v>
      </c>
      <c r="E35" s="106">
        <v>1423.2</v>
      </c>
    </row>
    <row r="36" spans="1:5" x14ac:dyDescent="0.2">
      <c r="B36" s="105" t="s">
        <v>206</v>
      </c>
      <c r="C36" s="106" t="s">
        <v>59</v>
      </c>
      <c r="D36" s="106">
        <v>604</v>
      </c>
      <c r="E36" s="106">
        <v>724.8</v>
      </c>
    </row>
    <row r="37" spans="1:5" x14ac:dyDescent="0.2">
      <c r="B37" s="105" t="s">
        <v>207</v>
      </c>
      <c r="C37" s="106" t="s">
        <v>59</v>
      </c>
      <c r="D37" s="106">
        <v>550</v>
      </c>
      <c r="E37" s="106">
        <v>660</v>
      </c>
    </row>
    <row r="38" spans="1:5" x14ac:dyDescent="0.2">
      <c r="B38" s="105" t="s">
        <v>208</v>
      </c>
      <c r="C38" s="106" t="s">
        <v>59</v>
      </c>
      <c r="D38" s="106">
        <v>705</v>
      </c>
      <c r="E38" s="106">
        <v>846</v>
      </c>
    </row>
    <row r="39" spans="1:5" x14ac:dyDescent="0.2">
      <c r="B39" s="105" t="s">
        <v>209</v>
      </c>
      <c r="C39" s="106" t="s">
        <v>59</v>
      </c>
      <c r="D39" s="106">
        <v>852</v>
      </c>
      <c r="E39" s="106">
        <v>1022.4</v>
      </c>
    </row>
    <row r="40" spans="1:5" x14ac:dyDescent="0.2">
      <c r="B40" s="105" t="s">
        <v>210</v>
      </c>
      <c r="C40" s="106" t="s">
        <v>59</v>
      </c>
      <c r="D40" s="106">
        <v>852</v>
      </c>
      <c r="E40" s="106">
        <v>1022.4</v>
      </c>
    </row>
    <row r="41" spans="1:5" x14ac:dyDescent="0.2">
      <c r="B41" s="105" t="s">
        <v>211</v>
      </c>
      <c r="C41" s="106" t="s">
        <v>59</v>
      </c>
      <c r="D41" s="106">
        <v>1041</v>
      </c>
      <c r="E41" s="106">
        <v>1249.2</v>
      </c>
    </row>
    <row r="42" spans="1:5" x14ac:dyDescent="0.2">
      <c r="B42" s="105" t="s">
        <v>212</v>
      </c>
      <c r="C42" s="106" t="s">
        <v>59</v>
      </c>
      <c r="D42" s="106">
        <v>1010</v>
      </c>
      <c r="E42" s="106">
        <v>1212</v>
      </c>
    </row>
    <row r="43" spans="1:5" x14ac:dyDescent="0.2">
      <c r="B43" s="105" t="s">
        <v>213</v>
      </c>
      <c r="C43" s="106" t="s">
        <v>59</v>
      </c>
      <c r="D43" s="106">
        <v>1273</v>
      </c>
      <c r="E43" s="106">
        <v>1527.6</v>
      </c>
    </row>
    <row r="44" spans="1:5" x14ac:dyDescent="0.2">
      <c r="B44" s="105" t="s">
        <v>214</v>
      </c>
      <c r="C44" s="106" t="s">
        <v>59</v>
      </c>
      <c r="D44" s="106">
        <v>723</v>
      </c>
      <c r="E44" s="106">
        <v>867.6</v>
      </c>
    </row>
    <row r="45" spans="1:5" x14ac:dyDescent="0.2">
      <c r="A45" s="105" t="s">
        <v>129</v>
      </c>
      <c r="B45" s="105" t="s">
        <v>215</v>
      </c>
      <c r="C45" s="106" t="s">
        <v>22</v>
      </c>
      <c r="D45" s="106">
        <v>821</v>
      </c>
      <c r="E45" s="106">
        <v>985.19999999999993</v>
      </c>
    </row>
    <row r="46" spans="1:5" x14ac:dyDescent="0.2">
      <c r="B46" s="105" t="s">
        <v>216</v>
      </c>
      <c r="C46" s="106" t="s">
        <v>59</v>
      </c>
      <c r="D46" s="106">
        <v>235</v>
      </c>
      <c r="E46" s="106">
        <v>282</v>
      </c>
    </row>
    <row r="47" spans="1:5" x14ac:dyDescent="0.2">
      <c r="B47" s="105" t="s">
        <v>217</v>
      </c>
      <c r="C47" s="106" t="s">
        <v>59</v>
      </c>
      <c r="D47" s="106">
        <v>712</v>
      </c>
      <c r="E47" s="106">
        <v>854.4</v>
      </c>
    </row>
    <row r="48" spans="1:5" x14ac:dyDescent="0.2">
      <c r="B48" s="105" t="s">
        <v>218</v>
      </c>
      <c r="C48" s="106" t="s">
        <v>59</v>
      </c>
      <c r="D48" s="106">
        <v>450</v>
      </c>
      <c r="E48" s="106">
        <v>540</v>
      </c>
    </row>
    <row r="49" spans="2:5" x14ac:dyDescent="0.2">
      <c r="B49" s="105" t="s">
        <v>219</v>
      </c>
      <c r="C49" s="106" t="s">
        <v>59</v>
      </c>
      <c r="D49" s="106">
        <v>339</v>
      </c>
      <c r="E49" s="106">
        <v>406.8</v>
      </c>
    </row>
    <row r="50" spans="2:5" x14ac:dyDescent="0.2">
      <c r="B50" s="105" t="s">
        <v>220</v>
      </c>
      <c r="C50" s="106" t="s">
        <v>59</v>
      </c>
      <c r="D50" s="106">
        <v>279</v>
      </c>
      <c r="E50" s="106">
        <v>334.8</v>
      </c>
    </row>
    <row r="51" spans="2:5" x14ac:dyDescent="0.2">
      <c r="B51" s="105" t="s">
        <v>221</v>
      </c>
      <c r="C51" s="106" t="s">
        <v>59</v>
      </c>
      <c r="D51" s="106">
        <v>553</v>
      </c>
      <c r="E51" s="106">
        <v>663.6</v>
      </c>
    </row>
    <row r="52" spans="2:5" x14ac:dyDescent="0.2">
      <c r="B52" s="105" t="s">
        <v>222</v>
      </c>
      <c r="C52" s="106" t="s">
        <v>22</v>
      </c>
      <c r="D52" s="106">
        <v>959</v>
      </c>
      <c r="E52" s="106">
        <v>1150.8</v>
      </c>
    </row>
    <row r="53" spans="2:5" x14ac:dyDescent="0.2">
      <c r="B53" s="105" t="s">
        <v>223</v>
      </c>
      <c r="C53" s="106" t="s">
        <v>59</v>
      </c>
      <c r="D53" s="106">
        <v>1176</v>
      </c>
      <c r="E53" s="106">
        <v>1411.2</v>
      </c>
    </row>
    <row r="54" spans="2:5" x14ac:dyDescent="0.2">
      <c r="B54" s="105" t="s">
        <v>224</v>
      </c>
      <c r="C54" s="106" t="s">
        <v>22</v>
      </c>
      <c r="D54" s="106">
        <v>981</v>
      </c>
      <c r="E54" s="106">
        <v>1177.2</v>
      </c>
    </row>
    <row r="55" spans="2:5" x14ac:dyDescent="0.2">
      <c r="B55" s="105" t="s">
        <v>225</v>
      </c>
      <c r="C55" s="106" t="s">
        <v>59</v>
      </c>
      <c r="D55" s="106">
        <v>253</v>
      </c>
      <c r="E55" s="106">
        <v>303.59999999999997</v>
      </c>
    </row>
    <row r="56" spans="2:5" x14ac:dyDescent="0.2">
      <c r="B56" s="105" t="s">
        <v>226</v>
      </c>
      <c r="C56" s="106" t="s">
        <v>59</v>
      </c>
      <c r="D56" s="106">
        <v>543</v>
      </c>
      <c r="E56" s="106">
        <v>651.6</v>
      </c>
    </row>
    <row r="57" spans="2:5" x14ac:dyDescent="0.2">
      <c r="B57" s="105" t="s">
        <v>227</v>
      </c>
      <c r="C57" s="106" t="s">
        <v>59</v>
      </c>
      <c r="D57" s="106">
        <v>793</v>
      </c>
      <c r="E57" s="106">
        <v>951.59999999999991</v>
      </c>
    </row>
    <row r="58" spans="2:5" x14ac:dyDescent="0.2">
      <c r="B58" s="105" t="s">
        <v>228</v>
      </c>
      <c r="C58" s="106" t="s">
        <v>59</v>
      </c>
      <c r="D58" s="106">
        <v>1421</v>
      </c>
      <c r="E58" s="106">
        <v>1705.2</v>
      </c>
    </row>
    <row r="59" spans="2:5" x14ac:dyDescent="0.2">
      <c r="B59" s="105" t="s">
        <v>229</v>
      </c>
      <c r="C59" s="106" t="s">
        <v>59</v>
      </c>
      <c r="D59" s="106">
        <v>663</v>
      </c>
      <c r="E59" s="106">
        <v>795.6</v>
      </c>
    </row>
    <row r="60" spans="2:5" x14ac:dyDescent="0.2">
      <c r="B60" s="105" t="s">
        <v>230</v>
      </c>
      <c r="C60" s="106" t="s">
        <v>59</v>
      </c>
      <c r="D60" s="106">
        <v>841</v>
      </c>
      <c r="E60" s="106">
        <v>1009.1999999999998</v>
      </c>
    </row>
    <row r="61" spans="2:5" x14ac:dyDescent="0.2">
      <c r="B61" s="105" t="s">
        <v>231</v>
      </c>
      <c r="C61" s="106" t="s">
        <v>59</v>
      </c>
      <c r="D61" s="106">
        <v>855</v>
      </c>
      <c r="E61" s="106">
        <v>1026</v>
      </c>
    </row>
    <row r="62" spans="2:5" x14ac:dyDescent="0.2">
      <c r="B62" s="105" t="s">
        <v>232</v>
      </c>
      <c r="C62" s="106" t="s">
        <v>59</v>
      </c>
      <c r="D62" s="106">
        <v>992</v>
      </c>
      <c r="E62" s="106">
        <v>1190.3999999999999</v>
      </c>
    </row>
    <row r="63" spans="2:5" x14ac:dyDescent="0.2">
      <c r="B63" s="105" t="s">
        <v>233</v>
      </c>
      <c r="C63" s="106" t="s">
        <v>59</v>
      </c>
      <c r="D63" s="106">
        <v>936</v>
      </c>
      <c r="E63" s="106">
        <v>1123.2</v>
      </c>
    </row>
    <row r="64" spans="2:5" x14ac:dyDescent="0.2">
      <c r="B64" s="105" t="s">
        <v>234</v>
      </c>
      <c r="C64" s="106" t="s">
        <v>59</v>
      </c>
      <c r="D64" s="106">
        <v>861</v>
      </c>
      <c r="E64" s="106">
        <v>1033.2</v>
      </c>
    </row>
    <row r="65" spans="1:5" x14ac:dyDescent="0.2">
      <c r="B65" s="105" t="s">
        <v>235</v>
      </c>
      <c r="C65" s="106" t="s">
        <v>59</v>
      </c>
      <c r="D65" s="106">
        <v>632</v>
      </c>
      <c r="E65" s="106">
        <v>758.4</v>
      </c>
    </row>
    <row r="66" spans="1:5" x14ac:dyDescent="0.2">
      <c r="B66" s="105" t="s">
        <v>236</v>
      </c>
      <c r="C66" s="106" t="s">
        <v>59</v>
      </c>
      <c r="D66" s="106">
        <v>446</v>
      </c>
      <c r="E66" s="106">
        <v>535.19999999999993</v>
      </c>
    </row>
    <row r="67" spans="1:5" x14ac:dyDescent="0.2">
      <c r="A67" s="105" t="s">
        <v>130</v>
      </c>
      <c r="B67" s="105" t="s">
        <v>237</v>
      </c>
      <c r="C67" s="106" t="s">
        <v>22</v>
      </c>
      <c r="D67" s="106">
        <v>470</v>
      </c>
      <c r="E67" s="106">
        <v>564</v>
      </c>
    </row>
    <row r="68" spans="1:5" x14ac:dyDescent="0.2">
      <c r="B68" s="105" t="s">
        <v>238</v>
      </c>
      <c r="C68" s="106" t="s">
        <v>22</v>
      </c>
      <c r="D68" s="106">
        <v>62</v>
      </c>
      <c r="E68" s="106">
        <v>74.399999999999991</v>
      </c>
    </row>
    <row r="69" spans="1:5" x14ac:dyDescent="0.2">
      <c r="B69" s="105" t="s">
        <v>239</v>
      </c>
      <c r="C69" s="106" t="s">
        <v>22</v>
      </c>
      <c r="D69" s="106">
        <v>466</v>
      </c>
      <c r="E69" s="106">
        <v>559.19999999999993</v>
      </c>
    </row>
    <row r="70" spans="1:5" x14ac:dyDescent="0.2">
      <c r="B70" s="105" t="s">
        <v>240</v>
      </c>
      <c r="C70" s="106" t="s">
        <v>22</v>
      </c>
      <c r="D70" s="106">
        <v>336</v>
      </c>
      <c r="E70" s="106">
        <v>403.2</v>
      </c>
    </row>
    <row r="71" spans="1:5" x14ac:dyDescent="0.2">
      <c r="B71" s="105" t="s">
        <v>241</v>
      </c>
      <c r="C71" s="106" t="s">
        <v>22</v>
      </c>
      <c r="D71" s="106">
        <v>536</v>
      </c>
      <c r="E71" s="106">
        <v>643.19999999999993</v>
      </c>
    </row>
    <row r="72" spans="1:5" x14ac:dyDescent="0.2">
      <c r="B72" s="105" t="s">
        <v>242</v>
      </c>
      <c r="C72" s="106" t="s">
        <v>22</v>
      </c>
      <c r="D72" s="106">
        <v>649</v>
      </c>
      <c r="E72" s="106">
        <v>778.8</v>
      </c>
    </row>
    <row r="73" spans="1:5" x14ac:dyDescent="0.2">
      <c r="B73" s="105" t="s">
        <v>243</v>
      </c>
      <c r="C73" s="106" t="s">
        <v>22</v>
      </c>
      <c r="D73" s="106">
        <v>232</v>
      </c>
      <c r="E73" s="106">
        <v>278.39999999999998</v>
      </c>
    </row>
    <row r="74" spans="1:5" x14ac:dyDescent="0.2">
      <c r="B74" s="105" t="s">
        <v>244</v>
      </c>
      <c r="C74" s="106" t="s">
        <v>22</v>
      </c>
      <c r="D74" s="106">
        <v>460</v>
      </c>
      <c r="E74" s="106">
        <v>552</v>
      </c>
    </row>
    <row r="75" spans="1:5" x14ac:dyDescent="0.2">
      <c r="B75" s="105" t="s">
        <v>245</v>
      </c>
      <c r="C75" s="106" t="s">
        <v>22</v>
      </c>
      <c r="D75" s="106">
        <v>631</v>
      </c>
      <c r="E75" s="106">
        <v>757.19999999999993</v>
      </c>
    </row>
    <row r="76" spans="1:5" x14ac:dyDescent="0.2">
      <c r="B76" s="105" t="s">
        <v>246</v>
      </c>
      <c r="C76" s="106" t="s">
        <v>22</v>
      </c>
      <c r="D76" s="106">
        <v>671</v>
      </c>
      <c r="E76" s="106">
        <v>805.19999999999993</v>
      </c>
    </row>
    <row r="77" spans="1:5" x14ac:dyDescent="0.2">
      <c r="B77" s="105" t="s">
        <v>247</v>
      </c>
      <c r="C77" s="106" t="s">
        <v>22</v>
      </c>
      <c r="D77" s="106">
        <v>628</v>
      </c>
      <c r="E77" s="106">
        <v>753.6</v>
      </c>
    </row>
    <row r="78" spans="1:5" x14ac:dyDescent="0.2">
      <c r="B78" s="105" t="s">
        <v>248</v>
      </c>
      <c r="C78" s="106" t="s">
        <v>22</v>
      </c>
      <c r="D78" s="106">
        <v>424</v>
      </c>
      <c r="E78" s="106">
        <v>508.7999999999999</v>
      </c>
    </row>
    <row r="79" spans="1:5" x14ac:dyDescent="0.2">
      <c r="B79" s="105" t="s">
        <v>249</v>
      </c>
      <c r="C79" s="106" t="s">
        <v>22</v>
      </c>
      <c r="D79" s="106">
        <v>717</v>
      </c>
      <c r="E79" s="106">
        <v>860.4</v>
      </c>
    </row>
    <row r="80" spans="1:5" x14ac:dyDescent="0.2">
      <c r="B80" s="105" t="s">
        <v>250</v>
      </c>
      <c r="C80" s="106" t="s">
        <v>22</v>
      </c>
      <c r="D80" s="106">
        <v>651</v>
      </c>
      <c r="E80" s="106">
        <v>781.19999999999993</v>
      </c>
    </row>
    <row r="81" spans="1:5" x14ac:dyDescent="0.2">
      <c r="B81" s="105" t="s">
        <v>251</v>
      </c>
      <c r="C81" s="106" t="s">
        <v>22</v>
      </c>
      <c r="D81" s="106">
        <v>125</v>
      </c>
      <c r="E81" s="106">
        <v>150</v>
      </c>
    </row>
    <row r="82" spans="1:5" x14ac:dyDescent="0.2">
      <c r="B82" s="105" t="s">
        <v>252</v>
      </c>
      <c r="C82" s="106" t="s">
        <v>22</v>
      </c>
      <c r="D82" s="106">
        <v>450</v>
      </c>
      <c r="E82" s="106">
        <v>540</v>
      </c>
    </row>
    <row r="83" spans="1:5" x14ac:dyDescent="0.2">
      <c r="A83" s="105" t="s">
        <v>131</v>
      </c>
      <c r="B83" s="105" t="s">
        <v>253</v>
      </c>
      <c r="C83" s="106" t="s">
        <v>22</v>
      </c>
      <c r="D83" s="106">
        <v>1629</v>
      </c>
      <c r="E83" s="106">
        <v>1954.8</v>
      </c>
    </row>
    <row r="84" spans="1:5" x14ac:dyDescent="0.2">
      <c r="B84" s="105" t="s">
        <v>254</v>
      </c>
      <c r="C84" s="106" t="s">
        <v>22</v>
      </c>
      <c r="D84" s="106">
        <v>1577</v>
      </c>
      <c r="E84" s="106">
        <v>1892.3999999999999</v>
      </c>
    </row>
    <row r="85" spans="1:5" x14ac:dyDescent="0.2">
      <c r="B85" s="105" t="s">
        <v>255</v>
      </c>
      <c r="C85" s="106" t="s">
        <v>22</v>
      </c>
      <c r="D85" s="106">
        <v>1998</v>
      </c>
      <c r="E85" s="106">
        <v>2397.6</v>
      </c>
    </row>
    <row r="86" spans="1:5" x14ac:dyDescent="0.2">
      <c r="B86" s="105" t="s">
        <v>256</v>
      </c>
      <c r="C86" s="106" t="s">
        <v>22</v>
      </c>
      <c r="D86" s="106">
        <v>1831</v>
      </c>
      <c r="E86" s="106">
        <v>2197.1999999999998</v>
      </c>
    </row>
    <row r="87" spans="1:5" x14ac:dyDescent="0.2">
      <c r="B87" s="105" t="s">
        <v>257</v>
      </c>
      <c r="C87" s="106" t="s">
        <v>22</v>
      </c>
      <c r="D87" s="106">
        <v>1914</v>
      </c>
      <c r="E87" s="106">
        <v>2296.7999999999997</v>
      </c>
    </row>
    <row r="88" spans="1:5" x14ac:dyDescent="0.2">
      <c r="B88" s="105" t="s">
        <v>258</v>
      </c>
      <c r="C88" s="106" t="s">
        <v>22</v>
      </c>
      <c r="D88" s="106">
        <v>1184</v>
      </c>
      <c r="E88" s="106">
        <v>1420.8</v>
      </c>
    </row>
    <row r="89" spans="1:5" x14ac:dyDescent="0.2">
      <c r="B89" s="105" t="s">
        <v>259</v>
      </c>
      <c r="C89" s="106" t="s">
        <v>22</v>
      </c>
      <c r="D89" s="106">
        <v>1477</v>
      </c>
      <c r="E89" s="106">
        <v>1772.3999999999999</v>
      </c>
    </row>
    <row r="90" spans="1:5" x14ac:dyDescent="0.2">
      <c r="B90" s="105" t="s">
        <v>260</v>
      </c>
      <c r="C90" s="106" t="s">
        <v>22</v>
      </c>
      <c r="D90" s="106">
        <v>1996</v>
      </c>
      <c r="E90" s="106">
        <v>2395.1999999999998</v>
      </c>
    </row>
    <row r="91" spans="1:5" x14ac:dyDescent="0.2">
      <c r="A91" s="105" t="s">
        <v>132</v>
      </c>
      <c r="B91" s="105" t="s">
        <v>261</v>
      </c>
      <c r="C91" s="106" t="s">
        <v>22</v>
      </c>
      <c r="D91" s="106">
        <v>1444</v>
      </c>
      <c r="E91" s="106">
        <v>1732.8</v>
      </c>
    </row>
    <row r="92" spans="1:5" x14ac:dyDescent="0.2">
      <c r="B92" s="105" t="s">
        <v>262</v>
      </c>
      <c r="C92" s="106" t="s">
        <v>22</v>
      </c>
      <c r="D92" s="106">
        <v>686</v>
      </c>
      <c r="E92" s="106">
        <v>823.19999999999993</v>
      </c>
    </row>
    <row r="93" spans="1:5" x14ac:dyDescent="0.2">
      <c r="B93" s="105" t="s">
        <v>263</v>
      </c>
      <c r="C93" s="106" t="s">
        <v>22</v>
      </c>
      <c r="D93" s="106">
        <v>1524</v>
      </c>
      <c r="E93" s="106">
        <v>1828.8</v>
      </c>
    </row>
    <row r="94" spans="1:5" x14ac:dyDescent="0.2">
      <c r="B94" s="105" t="s">
        <v>264</v>
      </c>
      <c r="C94" s="106" t="s">
        <v>22</v>
      </c>
      <c r="D94" s="106">
        <v>1053</v>
      </c>
      <c r="E94" s="106">
        <v>1263.5999999999999</v>
      </c>
    </row>
    <row r="95" spans="1:5" x14ac:dyDescent="0.2">
      <c r="B95" s="105" t="s">
        <v>265</v>
      </c>
      <c r="C95" s="106" t="s">
        <v>22</v>
      </c>
      <c r="D95" s="106">
        <v>4568</v>
      </c>
      <c r="E95" s="106">
        <v>5481.5999999999995</v>
      </c>
    </row>
    <row r="96" spans="1:5" x14ac:dyDescent="0.2">
      <c r="B96" s="105" t="s">
        <v>266</v>
      </c>
      <c r="C96" s="106" t="s">
        <v>22</v>
      </c>
      <c r="D96" s="106">
        <v>1352</v>
      </c>
      <c r="E96" s="106">
        <v>1622.3999999999999</v>
      </c>
    </row>
    <row r="97" spans="2:5" x14ac:dyDescent="0.2">
      <c r="B97" s="105" t="s">
        <v>267</v>
      </c>
      <c r="C97" s="106" t="s">
        <v>22</v>
      </c>
      <c r="D97" s="106">
        <v>992</v>
      </c>
      <c r="E97" s="106">
        <v>1190.3999999999999</v>
      </c>
    </row>
    <row r="98" spans="2:5" x14ac:dyDescent="0.2">
      <c r="B98" s="105" t="s">
        <v>268</v>
      </c>
      <c r="C98" s="106" t="s">
        <v>22</v>
      </c>
      <c r="D98" s="106">
        <v>1616</v>
      </c>
      <c r="E98" s="106">
        <v>1939.1999999999998</v>
      </c>
    </row>
    <row r="99" spans="2:5" x14ac:dyDescent="0.2">
      <c r="B99" s="105" t="s">
        <v>269</v>
      </c>
      <c r="C99" s="106" t="s">
        <v>22</v>
      </c>
      <c r="D99" s="106">
        <v>1690</v>
      </c>
      <c r="E99" s="106">
        <v>2028</v>
      </c>
    </row>
    <row r="100" spans="2:5" x14ac:dyDescent="0.2">
      <c r="B100" s="105" t="s">
        <v>270</v>
      </c>
      <c r="C100" s="106" t="s">
        <v>22</v>
      </c>
      <c r="D100" s="106">
        <v>1727</v>
      </c>
      <c r="E100" s="106">
        <v>2072.4</v>
      </c>
    </row>
    <row r="101" spans="2:5" x14ac:dyDescent="0.2">
      <c r="B101" s="105" t="s">
        <v>271</v>
      </c>
      <c r="C101" s="106" t="s">
        <v>22</v>
      </c>
      <c r="D101" s="106">
        <v>1665</v>
      </c>
      <c r="E101" s="106">
        <v>1998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S61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hpsimao</cp:lastModifiedBy>
  <dcterms:created xsi:type="dcterms:W3CDTF">2003-07-09T21:14:27Z</dcterms:created>
  <dcterms:modified xsi:type="dcterms:W3CDTF">2016-10-10T15:24:00Z</dcterms:modified>
</cp:coreProperties>
</file>