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freeoj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8" r:id="rId6"/>
    <sheet name="grove" sheetId="17" r:id="rId7"/>
    <sheet name="P07" sheetId="16" r:id="rId8"/>
    <sheet name="S15" sheetId="15" r:id="rId9"/>
    <sheet name="S61" sheetId="14" r:id="rId10"/>
    <sheet name="ORA" sheetId="13" r:id="rId11"/>
    <sheet name="POJ" sheetId="12" r:id="rId12"/>
    <sheet name="ROJ" sheetId="11" r:id="rId13"/>
    <sheet name="FCOJ" sheetId="10" r:id="rId14"/>
    <sheet name="market" sheetId="9" r:id="rId1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18" l="1"/>
  <c r="S15" i="18"/>
  <c r="T19" i="18" s="1"/>
  <c r="S14" i="18"/>
  <c r="S8" i="18"/>
  <c r="H40" i="18"/>
  <c r="H39" i="18"/>
  <c r="S39" i="18" s="1"/>
  <c r="H38" i="18"/>
  <c r="H35" i="18"/>
  <c r="S42" i="18" s="1"/>
  <c r="H34" i="18"/>
  <c r="H33" i="18"/>
  <c r="S36" i="18" s="1"/>
  <c r="H30" i="18"/>
  <c r="H29" i="18"/>
  <c r="H28" i="18"/>
  <c r="S40" i="18" s="1"/>
  <c r="H27" i="18"/>
  <c r="S37" i="18" s="1"/>
  <c r="H24" i="18"/>
  <c r="H23" i="18"/>
  <c r="H15" i="18"/>
  <c r="H14" i="18"/>
  <c r="H13" i="18"/>
  <c r="H8" i="18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T25" i="18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18" s="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18" s="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18" s="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M138" i="13" s="1"/>
  <c r="N137" i="13"/>
  <c r="O137" i="13"/>
  <c r="D138" i="13"/>
  <c r="E138" i="13"/>
  <c r="F138" i="13"/>
  <c r="G138" i="13"/>
  <c r="H138" i="13"/>
  <c r="I138" i="13"/>
  <c r="J138" i="13"/>
  <c r="K138" i="13"/>
  <c r="L138" i="13"/>
  <c r="N138" i="13"/>
  <c r="O138" i="13"/>
  <c r="AZ14" i="14"/>
  <c r="AY259" i="14" s="1"/>
  <c r="AY181" i="14"/>
  <c r="AY179" i="14"/>
  <c r="AY177" i="14"/>
  <c r="AY175" i="14"/>
  <c r="AY260" i="14" s="1"/>
  <c r="AY14" i="14"/>
  <c r="AX259" i="14" s="1"/>
  <c r="AX181" i="14"/>
  <c r="AX179" i="14"/>
  <c r="AX177" i="14"/>
  <c r="AX175" i="14"/>
  <c r="AX260" i="14" s="1"/>
  <c r="AX14" i="14"/>
  <c r="AW259" i="14" s="1"/>
  <c r="AW181" i="14"/>
  <c r="AW179" i="14"/>
  <c r="AW260" i="14" s="1"/>
  <c r="AW177" i="14"/>
  <c r="AW175" i="14"/>
  <c r="AV259" i="14"/>
  <c r="AW14" i="14"/>
  <c r="AV181" i="14"/>
  <c r="AV179" i="14"/>
  <c r="AV260" i="14" s="1"/>
  <c r="AV177" i="14"/>
  <c r="AV175" i="14"/>
  <c r="AU259" i="14"/>
  <c r="AV14" i="14"/>
  <c r="AU181" i="14"/>
  <c r="AU179" i="14"/>
  <c r="AU177" i="14"/>
  <c r="AU175" i="14"/>
  <c r="AU14" i="14"/>
  <c r="AT259" i="14" s="1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R259" i="14"/>
  <c r="AS14" i="14"/>
  <c r="AR181" i="14"/>
  <c r="AR179" i="14"/>
  <c r="AR260" i="14" s="1"/>
  <c r="AR177" i="14"/>
  <c r="AR175" i="14"/>
  <c r="AR14" i="14"/>
  <c r="AQ259" i="14" s="1"/>
  <c r="AQ181" i="14"/>
  <c r="AQ179" i="14"/>
  <c r="AQ177" i="14"/>
  <c r="AQ175" i="14"/>
  <c r="AQ260" i="14" s="1"/>
  <c r="AQ14" i="14"/>
  <c r="AP259" i="14" s="1"/>
  <c r="AP181" i="14"/>
  <c r="AP179" i="14"/>
  <c r="AP177" i="14"/>
  <c r="AP175" i="14"/>
  <c r="AP260" i="14" s="1"/>
  <c r="AP14" i="14"/>
  <c r="AO259" i="14" s="1"/>
  <c r="AO181" i="14"/>
  <c r="AO179" i="14"/>
  <c r="AO260" i="14" s="1"/>
  <c r="AO177" i="14"/>
  <c r="AO175" i="14"/>
  <c r="AN259" i="14"/>
  <c r="AO14" i="14"/>
  <c r="AN181" i="14"/>
  <c r="AN179" i="14"/>
  <c r="AN260" i="14" s="1"/>
  <c r="AN177" i="14"/>
  <c r="AN175" i="14"/>
  <c r="AM259" i="14"/>
  <c r="AN14" i="14"/>
  <c r="AM181" i="14"/>
  <c r="AM179" i="14"/>
  <c r="AM177" i="14"/>
  <c r="AM175" i="14"/>
  <c r="AM14" i="14"/>
  <c r="AL259" i="14" s="1"/>
  <c r="AL181" i="14"/>
  <c r="AL179" i="14"/>
  <c r="AL177" i="14"/>
  <c r="AL175" i="14"/>
  <c r="AL260" i="14" s="1"/>
  <c r="AL14" i="14"/>
  <c r="AK259" i="14" s="1"/>
  <c r="AK181" i="14"/>
  <c r="AK179" i="14"/>
  <c r="AK177" i="14"/>
  <c r="AK175" i="14"/>
  <c r="AJ259" i="14"/>
  <c r="AK14" i="14"/>
  <c r="AJ181" i="14"/>
  <c r="AJ179" i="14"/>
  <c r="AJ260" i="14" s="1"/>
  <c r="AJ177" i="14"/>
  <c r="AJ175" i="14"/>
  <c r="AJ14" i="14"/>
  <c r="AI259" i="14" s="1"/>
  <c r="AI181" i="14"/>
  <c r="AI179" i="14"/>
  <c r="AI177" i="14"/>
  <c r="AI175" i="14"/>
  <c r="AI260" i="14" s="1"/>
  <c r="AI14" i="14"/>
  <c r="AH259" i="14" s="1"/>
  <c r="AH181" i="14"/>
  <c r="AH179" i="14"/>
  <c r="AH177" i="14"/>
  <c r="AH175" i="14"/>
  <c r="AH260" i="14" s="1"/>
  <c r="AH14" i="14"/>
  <c r="AG259" i="14" s="1"/>
  <c r="AG181" i="14"/>
  <c r="AG179" i="14"/>
  <c r="AG260" i="14" s="1"/>
  <c r="AG177" i="14"/>
  <c r="AG175" i="14"/>
  <c r="AF260" i="14"/>
  <c r="AF259" i="14"/>
  <c r="AG14" i="14"/>
  <c r="AF181" i="14"/>
  <c r="AF179" i="14"/>
  <c r="AF177" i="14"/>
  <c r="AF175" i="14"/>
  <c r="AF14" i="14"/>
  <c r="AE259" i="14" s="1"/>
  <c r="AE181" i="14"/>
  <c r="AE179" i="14"/>
  <c r="AE177" i="14"/>
  <c r="AE175" i="14"/>
  <c r="AE260" i="14" s="1"/>
  <c r="AE14" i="14"/>
  <c r="AD259" i="14" s="1"/>
  <c r="AD181" i="14"/>
  <c r="AD179" i="14"/>
  <c r="AD177" i="14"/>
  <c r="AD175" i="14"/>
  <c r="AD260" i="14" s="1"/>
  <c r="AD14" i="14"/>
  <c r="AC259" i="14" s="1"/>
  <c r="AC181" i="14"/>
  <c r="AC179" i="14"/>
  <c r="AC260" i="14" s="1"/>
  <c r="AC177" i="14"/>
  <c r="AC175" i="14"/>
  <c r="AB259" i="14"/>
  <c r="AC14" i="14"/>
  <c r="AB181" i="14"/>
  <c r="AB179" i="14"/>
  <c r="AB260" i="14" s="1"/>
  <c r="AB177" i="14"/>
  <c r="AB175" i="14"/>
  <c r="AB14" i="14"/>
  <c r="AA259" i="14" s="1"/>
  <c r="AA181" i="14"/>
  <c r="AA179" i="14"/>
  <c r="AA177" i="14"/>
  <c r="AA175" i="14"/>
  <c r="AA260" i="14" s="1"/>
  <c r="AA14" i="14"/>
  <c r="Z259" i="14" s="1"/>
  <c r="Z181" i="14"/>
  <c r="Z179" i="14"/>
  <c r="Z177" i="14"/>
  <c r="Z175" i="14"/>
  <c r="Z260" i="14" s="1"/>
  <c r="Z14" i="14"/>
  <c r="Y259" i="14" s="1"/>
  <c r="Y181" i="14"/>
  <c r="Y179" i="14"/>
  <c r="Y260" i="14" s="1"/>
  <c r="Y177" i="14"/>
  <c r="Y175" i="14"/>
  <c r="X259" i="14"/>
  <c r="Y14" i="14"/>
  <c r="X181" i="14"/>
  <c r="X179" i="14"/>
  <c r="X260" i="14" s="1"/>
  <c r="X177" i="14"/>
  <c r="X175" i="14"/>
  <c r="W259" i="14"/>
  <c r="X14" i="14"/>
  <c r="W181" i="14"/>
  <c r="W179" i="14"/>
  <c r="W177" i="14"/>
  <c r="W175" i="14"/>
  <c r="W14" i="14"/>
  <c r="V259" i="14" s="1"/>
  <c r="V181" i="14"/>
  <c r="V179" i="14"/>
  <c r="V177" i="14"/>
  <c r="V175" i="14"/>
  <c r="V260" i="14" s="1"/>
  <c r="V14" i="14"/>
  <c r="U259" i="14" s="1"/>
  <c r="U181" i="14"/>
  <c r="U179" i="14"/>
  <c r="U177" i="14"/>
  <c r="U175" i="14"/>
  <c r="T259" i="14"/>
  <c r="U14" i="14"/>
  <c r="T181" i="14"/>
  <c r="T179" i="14"/>
  <c r="T260" i="14" s="1"/>
  <c r="T177" i="14"/>
  <c r="T175" i="14"/>
  <c r="T14" i="14"/>
  <c r="S259" i="14" s="1"/>
  <c r="S181" i="14"/>
  <c r="S179" i="14"/>
  <c r="S177" i="14"/>
  <c r="S175" i="14"/>
  <c r="S260" i="14" s="1"/>
  <c r="S14" i="14"/>
  <c r="R259" i="14" s="1"/>
  <c r="R181" i="14"/>
  <c r="R179" i="14"/>
  <c r="R177" i="14"/>
  <c r="R175" i="14"/>
  <c r="R260" i="14" s="1"/>
  <c r="R14" i="14"/>
  <c r="Q259" i="14" s="1"/>
  <c r="Q181" i="14"/>
  <c r="Q179" i="14"/>
  <c r="Q260" i="14" s="1"/>
  <c r="Q177" i="14"/>
  <c r="Q175" i="14"/>
  <c r="P259" i="14"/>
  <c r="Q14" i="14"/>
  <c r="P181" i="14"/>
  <c r="P179" i="14"/>
  <c r="P260" i="14" s="1"/>
  <c r="P177" i="14"/>
  <c r="P175" i="14"/>
  <c r="O259" i="14"/>
  <c r="P14" i="14"/>
  <c r="O181" i="14"/>
  <c r="O179" i="14"/>
  <c r="O177" i="14"/>
  <c r="O175" i="14"/>
  <c r="O14" i="14"/>
  <c r="N259" i="14" s="1"/>
  <c r="N181" i="14"/>
  <c r="N179" i="14"/>
  <c r="N177" i="14"/>
  <c r="N175" i="14"/>
  <c r="N260" i="14" s="1"/>
  <c r="N14" i="14"/>
  <c r="M259" i="14" s="1"/>
  <c r="M181" i="14"/>
  <c r="M179" i="14"/>
  <c r="M177" i="14"/>
  <c r="M175" i="14"/>
  <c r="L259" i="14"/>
  <c r="M14" i="14"/>
  <c r="L181" i="14"/>
  <c r="L179" i="14"/>
  <c r="L260" i="14" s="1"/>
  <c r="L177" i="14"/>
  <c r="L175" i="14"/>
  <c r="L14" i="14"/>
  <c r="K259" i="14" s="1"/>
  <c r="K181" i="14"/>
  <c r="K179" i="14"/>
  <c r="K177" i="14"/>
  <c r="K175" i="14"/>
  <c r="K260" i="14" s="1"/>
  <c r="K14" i="14"/>
  <c r="J259" i="14" s="1"/>
  <c r="J181" i="14"/>
  <c r="J179" i="14"/>
  <c r="J177" i="14"/>
  <c r="J175" i="14"/>
  <c r="J260" i="14" s="1"/>
  <c r="J14" i="14"/>
  <c r="I259" i="14" s="1"/>
  <c r="I181" i="14"/>
  <c r="I179" i="14"/>
  <c r="I260" i="14" s="1"/>
  <c r="I177" i="14"/>
  <c r="I175" i="14"/>
  <c r="H259" i="14"/>
  <c r="I14" i="14"/>
  <c r="H181" i="14"/>
  <c r="H179" i="14"/>
  <c r="H260" i="14" s="1"/>
  <c r="H177" i="14"/>
  <c r="H175" i="14"/>
  <c r="G259" i="14"/>
  <c r="H14" i="14"/>
  <c r="G181" i="14"/>
  <c r="G179" i="14"/>
  <c r="G177" i="14"/>
  <c r="G175" i="14"/>
  <c r="G14" i="14"/>
  <c r="F259" i="14" s="1"/>
  <c r="F181" i="14"/>
  <c r="F179" i="14"/>
  <c r="F177" i="14"/>
  <c r="F175" i="14"/>
  <c r="F260" i="14" s="1"/>
  <c r="F14" i="14"/>
  <c r="E259" i="14" s="1"/>
  <c r="E181" i="14"/>
  <c r="E179" i="14"/>
  <c r="E177" i="14"/>
  <c r="E175" i="14"/>
  <c r="D259" i="14"/>
  <c r="E14" i="14"/>
  <c r="D181" i="14"/>
  <c r="D179" i="14"/>
  <c r="D260" i="14" s="1"/>
  <c r="D177" i="14"/>
  <c r="D175" i="14"/>
  <c r="AZ14" i="15"/>
  <c r="AY259" i="15" s="1"/>
  <c r="AY181" i="15"/>
  <c r="AY179" i="15"/>
  <c r="AY177" i="15"/>
  <c r="AY175" i="15"/>
  <c r="AY260" i="15" s="1"/>
  <c r="AY14" i="15"/>
  <c r="AX259" i="15" s="1"/>
  <c r="AX181" i="15"/>
  <c r="AX179" i="15"/>
  <c r="AX177" i="15"/>
  <c r="AX175" i="15"/>
  <c r="AX260" i="15" s="1"/>
  <c r="AX14" i="15"/>
  <c r="AW259" i="15" s="1"/>
  <c r="AW181" i="15"/>
  <c r="AW179" i="15"/>
  <c r="AW260" i="15" s="1"/>
  <c r="AW177" i="15"/>
  <c r="AW175" i="15"/>
  <c r="AV259" i="15"/>
  <c r="AW14" i="15"/>
  <c r="AV181" i="15"/>
  <c r="AV179" i="15"/>
  <c r="AV260" i="15" s="1"/>
  <c r="AV177" i="15"/>
  <c r="AV175" i="15"/>
  <c r="AV14" i="15"/>
  <c r="AU259" i="15" s="1"/>
  <c r="AU181" i="15"/>
  <c r="AU179" i="15"/>
  <c r="AU177" i="15"/>
  <c r="AU175" i="15"/>
  <c r="AU260" i="15" s="1"/>
  <c r="AU14" i="15"/>
  <c r="AT259" i="15" s="1"/>
  <c r="AT181" i="15"/>
  <c r="AT179" i="15"/>
  <c r="AT177" i="15"/>
  <c r="AT175" i="15"/>
  <c r="AT14" i="15"/>
  <c r="AS259" i="15" s="1"/>
  <c r="AS181" i="15"/>
  <c r="AS260" i="15" s="1"/>
  <c r="AS179" i="15"/>
  <c r="AS177" i="15"/>
  <c r="AS175" i="15"/>
  <c r="AR259" i="15"/>
  <c r="AS14" i="15"/>
  <c r="AR181" i="15"/>
  <c r="AR179" i="15"/>
  <c r="AR260" i="15" s="1"/>
  <c r="AR177" i="15"/>
  <c r="AR175" i="15"/>
  <c r="AR14" i="15"/>
  <c r="AQ259" i="15" s="1"/>
  <c r="AQ181" i="15"/>
  <c r="AQ179" i="15"/>
  <c r="AQ177" i="15"/>
  <c r="AQ175" i="15"/>
  <c r="AQ260" i="15" s="1"/>
  <c r="AQ14" i="15"/>
  <c r="AP259" i="15" s="1"/>
  <c r="AP181" i="15"/>
  <c r="AP179" i="15"/>
  <c r="AP177" i="15"/>
  <c r="AP175" i="15"/>
  <c r="AP14" i="15"/>
  <c r="AO259" i="15" s="1"/>
  <c r="AO181" i="15"/>
  <c r="AO260" i="15" s="1"/>
  <c r="AO179" i="15"/>
  <c r="AO177" i="15"/>
  <c r="AO175" i="15"/>
  <c r="AN259" i="15"/>
  <c r="AO14" i="15"/>
  <c r="AN181" i="15"/>
  <c r="AN179" i="15"/>
  <c r="AN260" i="15" s="1"/>
  <c r="AN177" i="15"/>
  <c r="AN175" i="15"/>
  <c r="AM259" i="15"/>
  <c r="AN14" i="15"/>
  <c r="AM181" i="15"/>
  <c r="AM179" i="15"/>
  <c r="AM177" i="15"/>
  <c r="AM175" i="15"/>
  <c r="AM14" i="15"/>
  <c r="AL259" i="15" s="1"/>
  <c r="AL181" i="15"/>
  <c r="AL179" i="15"/>
  <c r="AL177" i="15"/>
  <c r="AL175" i="15"/>
  <c r="AL14" i="15"/>
  <c r="AK259" i="15" s="1"/>
  <c r="AK181" i="15"/>
  <c r="AK260" i="15" s="1"/>
  <c r="AK179" i="15"/>
  <c r="AK177" i="15"/>
  <c r="AK175" i="15"/>
  <c r="AJ259" i="15"/>
  <c r="AK14" i="15"/>
  <c r="AJ181" i="15"/>
  <c r="AJ179" i="15"/>
  <c r="AJ260" i="15" s="1"/>
  <c r="AJ177" i="15"/>
  <c r="AJ175" i="15"/>
  <c r="AJ14" i="15"/>
  <c r="AI259" i="15" s="1"/>
  <c r="AI181" i="15"/>
  <c r="AI179" i="15"/>
  <c r="AI177" i="15"/>
  <c r="AI175" i="15"/>
  <c r="AI260" i="15" s="1"/>
  <c r="AI14" i="15"/>
  <c r="AH259" i="15" s="1"/>
  <c r="AH181" i="15"/>
  <c r="AH179" i="15"/>
  <c r="AH177" i="15"/>
  <c r="AH175" i="15"/>
  <c r="AH14" i="15"/>
  <c r="AG259" i="15" s="1"/>
  <c r="AG181" i="15"/>
  <c r="AG260" i="15" s="1"/>
  <c r="AG179" i="15"/>
  <c r="AG177" i="15"/>
  <c r="AG175" i="15"/>
  <c r="AF259" i="15"/>
  <c r="AG14" i="15"/>
  <c r="AF181" i="15"/>
  <c r="AF179" i="15"/>
  <c r="AF260" i="15" s="1"/>
  <c r="AF177" i="15"/>
  <c r="AF175" i="15"/>
  <c r="AF14" i="15"/>
  <c r="AE259" i="15" s="1"/>
  <c r="AE181" i="15"/>
  <c r="AE179" i="15"/>
  <c r="AE177" i="15"/>
  <c r="AE175" i="15"/>
  <c r="AE260" i="15" s="1"/>
  <c r="AE14" i="15"/>
  <c r="AD259" i="15" s="1"/>
  <c r="AD181" i="15"/>
  <c r="AD179" i="15"/>
  <c r="AD177" i="15"/>
  <c r="AD175" i="15"/>
  <c r="AD14" i="15"/>
  <c r="AC259" i="15" s="1"/>
  <c r="AC181" i="15"/>
  <c r="AC260" i="15" s="1"/>
  <c r="AC179" i="15"/>
  <c r="AC177" i="15"/>
  <c r="AC175" i="15"/>
  <c r="AB259" i="15"/>
  <c r="AC14" i="15"/>
  <c r="AB181" i="15"/>
  <c r="AB179" i="15"/>
  <c r="AB260" i="15" s="1"/>
  <c r="AB177" i="15"/>
  <c r="AB175" i="15"/>
  <c r="AB14" i="15"/>
  <c r="AA259" i="15" s="1"/>
  <c r="AA181" i="15"/>
  <c r="AA179" i="15"/>
  <c r="AA177" i="15"/>
  <c r="AA175" i="15"/>
  <c r="AA260" i="15" s="1"/>
  <c r="AA14" i="15"/>
  <c r="Z259" i="15" s="1"/>
  <c r="Z181" i="15"/>
  <c r="Z179" i="15"/>
  <c r="Z177" i="15"/>
  <c r="Z175" i="15"/>
  <c r="Z14" i="15"/>
  <c r="Y259" i="15" s="1"/>
  <c r="Y181" i="15"/>
  <c r="Y260" i="15" s="1"/>
  <c r="Y179" i="15"/>
  <c r="Y177" i="15"/>
  <c r="Y175" i="15"/>
  <c r="X259" i="15"/>
  <c r="Y14" i="15"/>
  <c r="X181" i="15"/>
  <c r="X179" i="15"/>
  <c r="X260" i="15" s="1"/>
  <c r="X177" i="15"/>
  <c r="X175" i="15"/>
  <c r="W259" i="15"/>
  <c r="X14" i="15"/>
  <c r="W181" i="15"/>
  <c r="W179" i="15"/>
  <c r="W177" i="15"/>
  <c r="W175" i="15"/>
  <c r="W14" i="15"/>
  <c r="V259" i="15" s="1"/>
  <c r="V181" i="15"/>
  <c r="V179" i="15"/>
  <c r="V177" i="15"/>
  <c r="V175" i="15"/>
  <c r="V14" i="15"/>
  <c r="U259" i="15" s="1"/>
  <c r="U181" i="15"/>
  <c r="U260" i="15" s="1"/>
  <c r="U179" i="15"/>
  <c r="U177" i="15"/>
  <c r="U175" i="15"/>
  <c r="T259" i="15"/>
  <c r="U14" i="15"/>
  <c r="T181" i="15"/>
  <c r="T179" i="15"/>
  <c r="T260" i="15" s="1"/>
  <c r="T177" i="15"/>
  <c r="T175" i="15"/>
  <c r="T14" i="15"/>
  <c r="S259" i="15" s="1"/>
  <c r="S181" i="15"/>
  <c r="S179" i="15"/>
  <c r="S177" i="15"/>
  <c r="S175" i="15"/>
  <c r="S260" i="15" s="1"/>
  <c r="S14" i="15"/>
  <c r="R259" i="15" s="1"/>
  <c r="R181" i="15"/>
  <c r="R179" i="15"/>
  <c r="R177" i="15"/>
  <c r="R175" i="15"/>
  <c r="R14" i="15"/>
  <c r="Q259" i="15" s="1"/>
  <c r="Q181" i="15"/>
  <c r="Q260" i="15" s="1"/>
  <c r="Q179" i="15"/>
  <c r="Q177" i="15"/>
  <c r="Q175" i="15"/>
  <c r="P259" i="15"/>
  <c r="Q14" i="15"/>
  <c r="P181" i="15"/>
  <c r="P179" i="15"/>
  <c r="P260" i="15" s="1"/>
  <c r="P177" i="15"/>
  <c r="P175" i="15"/>
  <c r="P14" i="15"/>
  <c r="O259" i="15" s="1"/>
  <c r="O181" i="15"/>
  <c r="O179" i="15"/>
  <c r="O177" i="15"/>
  <c r="O175" i="15"/>
  <c r="O260" i="15" s="1"/>
  <c r="O14" i="15"/>
  <c r="N259" i="15" s="1"/>
  <c r="N181" i="15"/>
  <c r="N179" i="15"/>
  <c r="N177" i="15"/>
  <c r="N175" i="15"/>
  <c r="N14" i="15"/>
  <c r="M259" i="15" s="1"/>
  <c r="M181" i="15"/>
  <c r="M260" i="15" s="1"/>
  <c r="M179" i="15"/>
  <c r="M177" i="15"/>
  <c r="M175" i="15"/>
  <c r="L259" i="15"/>
  <c r="M14" i="15"/>
  <c r="L181" i="15"/>
  <c r="L179" i="15"/>
  <c r="L260" i="15" s="1"/>
  <c r="L177" i="15"/>
  <c r="L175" i="15"/>
  <c r="L14" i="15"/>
  <c r="K259" i="15" s="1"/>
  <c r="K181" i="15"/>
  <c r="K179" i="15"/>
  <c r="K177" i="15"/>
  <c r="K175" i="15"/>
  <c r="K260" i="15" s="1"/>
  <c r="K14" i="15"/>
  <c r="J259" i="15" s="1"/>
  <c r="J181" i="15"/>
  <c r="J179" i="15"/>
  <c r="J177" i="15"/>
  <c r="J175" i="15"/>
  <c r="J14" i="15"/>
  <c r="I259" i="15" s="1"/>
  <c r="I181" i="15"/>
  <c r="I260" i="15" s="1"/>
  <c r="I179" i="15"/>
  <c r="I177" i="15"/>
  <c r="I175" i="15"/>
  <c r="H259" i="15"/>
  <c r="I14" i="15"/>
  <c r="H181" i="15"/>
  <c r="H179" i="15"/>
  <c r="H260" i="15" s="1"/>
  <c r="H177" i="15"/>
  <c r="H175" i="15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F14" i="15"/>
  <c r="E259" i="15" s="1"/>
  <c r="E181" i="15"/>
  <c r="E260" i="15" s="1"/>
  <c r="E179" i="15"/>
  <c r="E177" i="15"/>
  <c r="E175" i="15"/>
  <c r="D259" i="15"/>
  <c r="E14" i="15"/>
  <c r="D181" i="15"/>
  <c r="D179" i="15"/>
  <c r="D260" i="15" s="1"/>
  <c r="D177" i="15"/>
  <c r="D175" i="15"/>
  <c r="AY14" i="16"/>
  <c r="AY15" i="16"/>
  <c r="AY16" i="16"/>
  <c r="AY17" i="16"/>
  <c r="AY29" i="16"/>
  <c r="AX14" i="16"/>
  <c r="AX15" i="16"/>
  <c r="AX16" i="16"/>
  <c r="AX10" i="16" s="1"/>
  <c r="AX13" i="16" s="1"/>
  <c r="AY21" i="16" s="1"/>
  <c r="AX17" i="16"/>
  <c r="AX29" i="16"/>
  <c r="AW14" i="16"/>
  <c r="AW10" i="16" s="1"/>
  <c r="AW13" i="16" s="1"/>
  <c r="AW15" i="16"/>
  <c r="AW16" i="16"/>
  <c r="AW17" i="16"/>
  <c r="AW29" i="16"/>
  <c r="AV14" i="16"/>
  <c r="AV15" i="16"/>
  <c r="AV16" i="16"/>
  <c r="AV17" i="16"/>
  <c r="AV29" i="16"/>
  <c r="AU14" i="16"/>
  <c r="AU15" i="16"/>
  <c r="AU10" i="16" s="1"/>
  <c r="AU13" i="16" s="1"/>
  <c r="AU16" i="16"/>
  <c r="AU17" i="16"/>
  <c r="AU29" i="16"/>
  <c r="AT21" i="16"/>
  <c r="AT22" i="16"/>
  <c r="AT24" i="16" s="1"/>
  <c r="AT29" i="16"/>
  <c r="AT34" i="16"/>
  <c r="AT40" i="16" s="1"/>
  <c r="AT45" i="16"/>
  <c r="AT51" i="16" s="1"/>
  <c r="AS14" i="16"/>
  <c r="AS15" i="16"/>
  <c r="AT16" i="16" s="1"/>
  <c r="AS16" i="16"/>
  <c r="AT17" i="16" s="1"/>
  <c r="AS17" i="16"/>
  <c r="AS29" i="16"/>
  <c r="AR14" i="16"/>
  <c r="AR15" i="16"/>
  <c r="AR10" i="16" s="1"/>
  <c r="AR13" i="16" s="1"/>
  <c r="AR16" i="16"/>
  <c r="AR17" i="16"/>
  <c r="AR29" i="16"/>
  <c r="AQ14" i="16"/>
  <c r="AQ15" i="16"/>
  <c r="AQ16" i="16"/>
  <c r="AQ10" i="16" s="1"/>
  <c r="AQ13" i="16" s="1"/>
  <c r="AQ17" i="16"/>
  <c r="AQ29" i="16"/>
  <c r="AP14" i="16"/>
  <c r="AP15" i="16"/>
  <c r="AP16" i="16"/>
  <c r="AP10" i="16"/>
  <c r="AP13" i="16" s="1"/>
  <c r="AQ21" i="16" s="1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6" i="16"/>
  <c r="AL17" i="16"/>
  <c r="AL29" i="16"/>
  <c r="AK14" i="16"/>
  <c r="AK15" i="16"/>
  <c r="AK16" i="16"/>
  <c r="AK17" i="16"/>
  <c r="AK29" i="16"/>
  <c r="AJ14" i="16"/>
  <c r="AJ15" i="16"/>
  <c r="AJ16" i="16"/>
  <c r="AJ10" i="16"/>
  <c r="AJ13" i="16" s="1"/>
  <c r="AJ17" i="16"/>
  <c r="AJ29" i="16"/>
  <c r="AI14" i="16"/>
  <c r="AI15" i="16"/>
  <c r="AI16" i="16"/>
  <c r="AI10" i="16"/>
  <c r="AI13" i="16" s="1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6" i="16"/>
  <c r="AG17" i="16"/>
  <c r="AG29" i="16"/>
  <c r="AF14" i="16"/>
  <c r="AF15" i="16"/>
  <c r="AF10" i="16" s="1"/>
  <c r="AF13" i="16" s="1"/>
  <c r="AF16" i="16"/>
  <c r="AF17" i="16"/>
  <c r="AF29" i="16"/>
  <c r="AE14" i="16"/>
  <c r="AE15" i="16"/>
  <c r="AE16" i="16"/>
  <c r="AE10" i="16"/>
  <c r="AE13" i="16" s="1"/>
  <c r="AF21" i="16" s="1"/>
  <c r="AE17" i="16"/>
  <c r="AE29" i="16"/>
  <c r="AD14" i="16"/>
  <c r="AD15" i="16"/>
  <c r="AD16" i="16"/>
  <c r="AD17" i="16"/>
  <c r="AD29" i="16"/>
  <c r="AC14" i="16"/>
  <c r="AC10" i="16" s="1"/>
  <c r="AC13" i="16" s="1"/>
  <c r="AC15" i="16"/>
  <c r="AC16" i="16"/>
  <c r="AC17" i="16"/>
  <c r="AC29" i="16"/>
  <c r="AB14" i="16"/>
  <c r="AB15" i="16"/>
  <c r="AB10" i="16" s="1"/>
  <c r="AB13" i="16" s="1"/>
  <c r="AB16" i="16"/>
  <c r="AB17" i="16"/>
  <c r="AB21" i="16"/>
  <c r="AB29" i="16"/>
  <c r="AA14" i="16"/>
  <c r="AA15" i="16"/>
  <c r="AA16" i="16"/>
  <c r="AA10" i="16" s="1"/>
  <c r="AA13" i="16" s="1"/>
  <c r="AA17" i="16"/>
  <c r="AA29" i="16"/>
  <c r="Z14" i="16"/>
  <c r="Z15" i="16"/>
  <c r="Z16" i="16"/>
  <c r="Z10" i="16"/>
  <c r="Z13" i="16" s="1"/>
  <c r="AA21" i="16" s="1"/>
  <c r="Z17" i="16"/>
  <c r="Z29" i="16"/>
  <c r="Y14" i="16"/>
  <c r="Y15" i="16"/>
  <c r="Y16" i="16"/>
  <c r="Y17" i="16"/>
  <c r="Y29" i="16"/>
  <c r="X14" i="16"/>
  <c r="X15" i="16"/>
  <c r="X16" i="16"/>
  <c r="X10" i="16"/>
  <c r="X13" i="16" s="1"/>
  <c r="X17" i="16"/>
  <c r="X29" i="16"/>
  <c r="W14" i="16"/>
  <c r="W10" i="16" s="1"/>
  <c r="W13" i="16" s="1"/>
  <c r="W15" i="16"/>
  <c r="W16" i="16"/>
  <c r="W17" i="16"/>
  <c r="W29" i="16"/>
  <c r="V14" i="16"/>
  <c r="V15" i="16"/>
  <c r="V16" i="16"/>
  <c r="V17" i="16"/>
  <c r="V29" i="16"/>
  <c r="U14" i="16"/>
  <c r="U15" i="16"/>
  <c r="U16" i="16"/>
  <c r="U17" i="16"/>
  <c r="U29" i="16"/>
  <c r="T14" i="16"/>
  <c r="T15" i="16"/>
  <c r="T16" i="16"/>
  <c r="T10" i="16"/>
  <c r="T13" i="16" s="1"/>
  <c r="T17" i="16"/>
  <c r="T29" i="16"/>
  <c r="S14" i="16"/>
  <c r="S15" i="16"/>
  <c r="S16" i="16"/>
  <c r="S10" i="16"/>
  <c r="S13" i="16" s="1"/>
  <c r="S17" i="16"/>
  <c r="S29" i="16"/>
  <c r="R14" i="16"/>
  <c r="R10" i="16" s="1"/>
  <c r="R13" i="16" s="1"/>
  <c r="R15" i="16"/>
  <c r="R16" i="16"/>
  <c r="R17" i="16"/>
  <c r="R29" i="16"/>
  <c r="Q14" i="16"/>
  <c r="Q15" i="16"/>
  <c r="Q16" i="16"/>
  <c r="Q17" i="16"/>
  <c r="Q29" i="16"/>
  <c r="P14" i="16"/>
  <c r="P15" i="16"/>
  <c r="P16" i="16"/>
  <c r="P17" i="16"/>
  <c r="P29" i="16"/>
  <c r="O14" i="16"/>
  <c r="O15" i="16"/>
  <c r="O16" i="16"/>
  <c r="O10" i="16"/>
  <c r="O13" i="16" s="1"/>
  <c r="P21" i="16" s="1"/>
  <c r="O17" i="16"/>
  <c r="O29" i="16"/>
  <c r="N14" i="16"/>
  <c r="N15" i="16"/>
  <c r="N16" i="16"/>
  <c r="N17" i="16"/>
  <c r="N29" i="16"/>
  <c r="M14" i="16"/>
  <c r="M10" i="16" s="1"/>
  <c r="M13" i="16" s="1"/>
  <c r="M15" i="16"/>
  <c r="M16" i="16"/>
  <c r="M17" i="16"/>
  <c r="M21" i="16"/>
  <c r="M29" i="16"/>
  <c r="L14" i="16"/>
  <c r="L15" i="16"/>
  <c r="L16" i="16"/>
  <c r="L10" i="16"/>
  <c r="L13" i="16" s="1"/>
  <c r="L17" i="16"/>
  <c r="L29" i="16"/>
  <c r="K15" i="16"/>
  <c r="K17" i="16"/>
  <c r="K21" i="16"/>
  <c r="K22" i="16"/>
  <c r="K24" i="16"/>
  <c r="K29" i="16"/>
  <c r="K34" i="16"/>
  <c r="K40" i="16" s="1"/>
  <c r="K45" i="16"/>
  <c r="K51" i="16"/>
  <c r="J14" i="16"/>
  <c r="J15" i="16"/>
  <c r="K16" i="16" s="1"/>
  <c r="J16" i="16"/>
  <c r="J10" i="16"/>
  <c r="J13" i="16" s="1"/>
  <c r="K14" i="16" s="1"/>
  <c r="J17" i="16"/>
  <c r="J29" i="16"/>
  <c r="I14" i="16"/>
  <c r="I10" i="16" s="1"/>
  <c r="I13" i="16" s="1"/>
  <c r="I15" i="16"/>
  <c r="I16" i="16"/>
  <c r="I17" i="16"/>
  <c r="I21" i="16"/>
  <c r="I29" i="16"/>
  <c r="H14" i="16"/>
  <c r="H15" i="16"/>
  <c r="H16" i="16"/>
  <c r="H10" i="16"/>
  <c r="H13" i="16" s="1"/>
  <c r="H17" i="16"/>
  <c r="H29" i="16"/>
  <c r="G14" i="16"/>
  <c r="G15" i="16"/>
  <c r="G16" i="16"/>
  <c r="G17" i="16"/>
  <c r="G29" i="16"/>
  <c r="F21" i="16"/>
  <c r="F33" i="16" s="1"/>
  <c r="F22" i="16"/>
  <c r="F24" i="16" s="1"/>
  <c r="F23" i="16"/>
  <c r="F29" i="16"/>
  <c r="F39" i="16"/>
  <c r="F44" i="16"/>
  <c r="F50" i="16" s="1"/>
  <c r="F45" i="16"/>
  <c r="F51" i="16" s="1"/>
  <c r="F46" i="16"/>
  <c r="E14" i="16"/>
  <c r="F15" i="16" s="1"/>
  <c r="E15" i="16"/>
  <c r="F16" i="16" s="1"/>
  <c r="E16" i="16"/>
  <c r="F17" i="16" s="1"/>
  <c r="E17" i="16"/>
  <c r="E29" i="16"/>
  <c r="D14" i="16"/>
  <c r="D10" i="16" s="1"/>
  <c r="D15" i="16"/>
  <c r="D16" i="16"/>
  <c r="D17" i="16"/>
  <c r="D21" i="16"/>
  <c r="D27" i="16"/>
  <c r="D29" i="16"/>
  <c r="D44" i="16"/>
  <c r="B21" i="16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C121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C117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C113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C109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C105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C101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C19" i="17"/>
  <c r="C28" i="17" s="1"/>
  <c r="D19" i="17"/>
  <c r="D28" i="17" s="1"/>
  <c r="E19" i="17"/>
  <c r="E28" i="17" s="1"/>
  <c r="F19" i="17"/>
  <c r="F28" i="17" s="1"/>
  <c r="G19" i="17"/>
  <c r="G28" i="17" s="1"/>
  <c r="H19" i="17"/>
  <c r="H28" i="17" s="1"/>
  <c r="I19" i="17"/>
  <c r="I28" i="17" s="1"/>
  <c r="J19" i="17"/>
  <c r="J28" i="17" s="1"/>
  <c r="K19" i="17"/>
  <c r="K28" i="17" s="1"/>
  <c r="L19" i="17"/>
  <c r="L28" i="17" s="1"/>
  <c r="M19" i="17"/>
  <c r="M28" i="17" s="1"/>
  <c r="N19" i="17"/>
  <c r="N28" i="17" s="1"/>
  <c r="C20" i="17"/>
  <c r="C29" i="17" s="1"/>
  <c r="D20" i="17"/>
  <c r="D29" i="17" s="1"/>
  <c r="E20" i="17"/>
  <c r="E29" i="17" s="1"/>
  <c r="F20" i="17"/>
  <c r="F29" i="17" s="1"/>
  <c r="G20" i="17"/>
  <c r="G29" i="17" s="1"/>
  <c r="H20" i="17"/>
  <c r="H29" i="17" s="1"/>
  <c r="I20" i="17"/>
  <c r="I29" i="17" s="1"/>
  <c r="J20" i="17"/>
  <c r="J29" i="17" s="1"/>
  <c r="K20" i="17"/>
  <c r="K29" i="17" s="1"/>
  <c r="L20" i="17"/>
  <c r="L29" i="17" s="1"/>
  <c r="M20" i="17"/>
  <c r="M29" i="17" s="1"/>
  <c r="N20" i="17"/>
  <c r="N29" i="17" s="1"/>
  <c r="C21" i="17"/>
  <c r="C30" i="17" s="1"/>
  <c r="D21" i="17"/>
  <c r="D30" i="17" s="1"/>
  <c r="E21" i="17"/>
  <c r="E30" i="17" s="1"/>
  <c r="F21" i="17"/>
  <c r="F30" i="17" s="1"/>
  <c r="G21" i="17"/>
  <c r="G30" i="17" s="1"/>
  <c r="H21" i="17"/>
  <c r="H30" i="17" s="1"/>
  <c r="I21" i="17"/>
  <c r="I30" i="17" s="1"/>
  <c r="J21" i="17"/>
  <c r="J30" i="17" s="1"/>
  <c r="K21" i="17"/>
  <c r="K30" i="17" s="1"/>
  <c r="L21" i="17"/>
  <c r="L30" i="17" s="1"/>
  <c r="M21" i="17"/>
  <c r="M30" i="17" s="1"/>
  <c r="N21" i="17"/>
  <c r="N30" i="17" s="1"/>
  <c r="C22" i="17"/>
  <c r="C31" i="17" s="1"/>
  <c r="D22" i="17"/>
  <c r="D31" i="17" s="1"/>
  <c r="E22" i="17"/>
  <c r="E31" i="17" s="1"/>
  <c r="F22" i="17"/>
  <c r="F31" i="17" s="1"/>
  <c r="G22" i="17"/>
  <c r="G31" i="17" s="1"/>
  <c r="H22" i="17"/>
  <c r="H31" i="17" s="1"/>
  <c r="I22" i="17"/>
  <c r="I31" i="17" s="1"/>
  <c r="J22" i="17"/>
  <c r="J31" i="17" s="1"/>
  <c r="K22" i="17"/>
  <c r="K31" i="17" s="1"/>
  <c r="L22" i="17"/>
  <c r="L31" i="17" s="1"/>
  <c r="M22" i="17"/>
  <c r="M31" i="17" s="1"/>
  <c r="N22" i="17"/>
  <c r="N31" i="17" s="1"/>
  <c r="C23" i="17"/>
  <c r="C32" i="17" s="1"/>
  <c r="D23" i="17"/>
  <c r="D32" i="17" s="1"/>
  <c r="E23" i="17"/>
  <c r="E32" i="17" s="1"/>
  <c r="F23" i="17"/>
  <c r="F32" i="17" s="1"/>
  <c r="G23" i="17"/>
  <c r="G32" i="17" s="1"/>
  <c r="H23" i="17"/>
  <c r="H32" i="17" s="1"/>
  <c r="I23" i="17"/>
  <c r="I32" i="17" s="1"/>
  <c r="J23" i="17"/>
  <c r="J32" i="17" s="1"/>
  <c r="K23" i="17"/>
  <c r="K32" i="17" s="1"/>
  <c r="L23" i="17"/>
  <c r="L32" i="17" s="1"/>
  <c r="M23" i="17"/>
  <c r="M32" i="17" s="1"/>
  <c r="N23" i="17"/>
  <c r="N32" i="17" s="1"/>
  <c r="C24" i="17"/>
  <c r="C33" i="17" s="1"/>
  <c r="D24" i="17"/>
  <c r="D33" i="17" s="1"/>
  <c r="E24" i="17"/>
  <c r="E33" i="17" s="1"/>
  <c r="F24" i="17"/>
  <c r="F33" i="17" s="1"/>
  <c r="G24" i="17"/>
  <c r="G33" i="17" s="1"/>
  <c r="H24" i="17"/>
  <c r="H33" i="17" s="1"/>
  <c r="I24" i="17"/>
  <c r="I33" i="17" s="1"/>
  <c r="J24" i="17"/>
  <c r="J33" i="17" s="1"/>
  <c r="K24" i="17"/>
  <c r="K33" i="17" s="1"/>
  <c r="L24" i="17"/>
  <c r="L33" i="17" s="1"/>
  <c r="M24" i="17"/>
  <c r="M33" i="17" s="1"/>
  <c r="N24" i="17"/>
  <c r="N33" i="17" s="1"/>
  <c r="E27" i="16" l="1"/>
  <c r="D30" i="16"/>
  <c r="P23" i="16"/>
  <c r="P44" i="16"/>
  <c r="P33" i="16"/>
  <c r="AC21" i="16"/>
  <c r="AG21" i="16"/>
  <c r="AQ33" i="16"/>
  <c r="AQ23" i="16"/>
  <c r="AQ44" i="16"/>
  <c r="AX21" i="16"/>
  <c r="AY23" i="16"/>
  <c r="AY33" i="16"/>
  <c r="AY44" i="16"/>
  <c r="D50" i="16"/>
  <c r="D23" i="16"/>
  <c r="D33" i="16"/>
  <c r="D13" i="16"/>
  <c r="I33" i="16"/>
  <c r="I44" i="16"/>
  <c r="I23" i="16"/>
  <c r="J21" i="16"/>
  <c r="M33" i="16"/>
  <c r="M44" i="16"/>
  <c r="M23" i="16"/>
  <c r="N21" i="16"/>
  <c r="S21" i="16"/>
  <c r="U21" i="16"/>
  <c r="AB23" i="16"/>
  <c r="AB33" i="16"/>
  <c r="AB44" i="16"/>
  <c r="AD21" i="16"/>
  <c r="AD22" i="16"/>
  <c r="AN21" i="16"/>
  <c r="I22" i="16"/>
  <c r="K23" i="16"/>
  <c r="K33" i="16"/>
  <c r="K44" i="16"/>
  <c r="M22" i="16"/>
  <c r="P10" i="16"/>
  <c r="P13" i="16" s="1"/>
  <c r="AA33" i="16"/>
  <c r="AA23" i="16"/>
  <c r="AA44" i="16"/>
  <c r="AF23" i="16"/>
  <c r="AF44" i="16"/>
  <c r="AF33" i="16"/>
  <c r="AS22" i="16"/>
  <c r="AS21" i="16"/>
  <c r="AV21" i="16"/>
  <c r="F35" i="16"/>
  <c r="K10" i="16"/>
  <c r="K13" i="16" s="1"/>
  <c r="Q10" i="16"/>
  <c r="Q13" i="16" s="1"/>
  <c r="X21" i="16"/>
  <c r="AI21" i="16"/>
  <c r="AI22" i="16"/>
  <c r="AK21" i="16"/>
  <c r="AR21" i="16"/>
  <c r="V10" i="16"/>
  <c r="V13" i="16" s="1"/>
  <c r="AG10" i="16"/>
  <c r="AG13" i="16" s="1"/>
  <c r="AL10" i="16"/>
  <c r="AL13" i="16" s="1"/>
  <c r="AT15" i="16"/>
  <c r="AS10" i="16"/>
  <c r="AS13" i="16" s="1"/>
  <c r="AT14" i="16" s="1"/>
  <c r="AT23" i="16"/>
  <c r="AT33" i="16"/>
  <c r="AT44" i="16"/>
  <c r="T21" i="16"/>
  <c r="H7" i="18"/>
  <c r="S9" i="18"/>
  <c r="AZ17" i="16"/>
  <c r="G10" i="16"/>
  <c r="G13" i="16" s="1"/>
  <c r="AY10" i="16"/>
  <c r="AY13" i="16" s="1"/>
  <c r="BA14" i="15"/>
  <c r="E10" i="16"/>
  <c r="E13" i="16" s="1"/>
  <c r="F14" i="16" s="1"/>
  <c r="F10" i="16" s="1"/>
  <c r="F13" i="16" s="1"/>
  <c r="F34" i="16"/>
  <c r="F40" i="16" s="1"/>
  <c r="AJ21" i="16"/>
  <c r="N10" i="16"/>
  <c r="N13" i="16" s="1"/>
  <c r="U10" i="16"/>
  <c r="U13" i="16" s="1"/>
  <c r="Y21" i="16"/>
  <c r="Y10" i="16"/>
  <c r="Y13" i="16" s="1"/>
  <c r="AD10" i="16"/>
  <c r="AD13" i="16" s="1"/>
  <c r="AK10" i="16"/>
  <c r="AK13" i="16" s="1"/>
  <c r="AO21" i="16"/>
  <c r="AO10" i="16"/>
  <c r="AO13" i="16" s="1"/>
  <c r="G260" i="15"/>
  <c r="AZ260" i="15" s="1"/>
  <c r="W260" i="15"/>
  <c r="AM260" i="15"/>
  <c r="M260" i="14"/>
  <c r="O260" i="14"/>
  <c r="AS260" i="14"/>
  <c r="AU260" i="14"/>
  <c r="S31" i="18"/>
  <c r="T32" i="18" s="1"/>
  <c r="S7" i="18"/>
  <c r="T11" i="18" s="1"/>
  <c r="T45" i="18" s="1"/>
  <c r="E260" i="14"/>
  <c r="AZ260" i="14" s="1"/>
  <c r="G260" i="14"/>
  <c r="U260" i="14"/>
  <c r="W260" i="14"/>
  <c r="AK260" i="14"/>
  <c r="AM260" i="14"/>
  <c r="BA14" i="14"/>
  <c r="AV10" i="16"/>
  <c r="AV13" i="16" s="1"/>
  <c r="AZ259" i="15"/>
  <c r="F260" i="15"/>
  <c r="J260" i="15"/>
  <c r="N260" i="15"/>
  <c r="R260" i="15"/>
  <c r="V260" i="15"/>
  <c r="Z260" i="15"/>
  <c r="AD260" i="15"/>
  <c r="AH260" i="15"/>
  <c r="AL260" i="15"/>
  <c r="AP260" i="15"/>
  <c r="AT260" i="15"/>
  <c r="AZ259" i="14"/>
  <c r="T43" i="18"/>
  <c r="B22" i="16"/>
  <c r="E29" i="7"/>
  <c r="D29" i="7"/>
  <c r="C29" i="7"/>
  <c r="D19" i="7"/>
  <c r="F11" i="7"/>
  <c r="F10" i="7"/>
  <c r="F9" i="7"/>
  <c r="F8" i="7"/>
  <c r="F7" i="7"/>
  <c r="F6" i="7"/>
  <c r="AW21" i="16" l="1"/>
  <c r="AW22" i="16"/>
  <c r="AE21" i="16"/>
  <c r="AE22" i="16"/>
  <c r="O21" i="16"/>
  <c r="O22" i="16"/>
  <c r="AT46" i="16"/>
  <c r="AT50" i="16"/>
  <c r="AH21" i="16"/>
  <c r="AH22" i="16"/>
  <c r="AR23" i="16"/>
  <c r="AR33" i="16"/>
  <c r="AR44" i="16"/>
  <c r="AI24" i="16"/>
  <c r="AI34" i="16"/>
  <c r="AI40" i="16" s="1"/>
  <c r="AI45" i="16"/>
  <c r="AI51" i="16" s="1"/>
  <c r="X23" i="16"/>
  <c r="X33" i="16"/>
  <c r="X44" i="16"/>
  <c r="AS45" i="16"/>
  <c r="AS51" i="16" s="1"/>
  <c r="AS24" i="16"/>
  <c r="AS34" i="16"/>
  <c r="AS40" i="16" s="1"/>
  <c r="AA50" i="16"/>
  <c r="M24" i="16"/>
  <c r="M34" i="16"/>
  <c r="M40" i="16" s="1"/>
  <c r="M45" i="16"/>
  <c r="M51" i="16" s="1"/>
  <c r="I24" i="16"/>
  <c r="I34" i="16"/>
  <c r="I40" i="16" s="1"/>
  <c r="I45" i="16"/>
  <c r="I51" i="16" s="1"/>
  <c r="AD34" i="16"/>
  <c r="AD40" i="16" s="1"/>
  <c r="AD45" i="16"/>
  <c r="AD51" i="16" s="1"/>
  <c r="AD24" i="16"/>
  <c r="S33" i="16"/>
  <c r="S23" i="16"/>
  <c r="S44" i="16"/>
  <c r="M50" i="16"/>
  <c r="AZ10" i="16"/>
  <c r="AC33" i="16"/>
  <c r="AC44" i="16"/>
  <c r="AC23" i="16"/>
  <c r="D22" i="16"/>
  <c r="AF22" i="16"/>
  <c r="AA22" i="16"/>
  <c r="AP21" i="16"/>
  <c r="AP22" i="16"/>
  <c r="Z21" i="16"/>
  <c r="Z22" i="16"/>
  <c r="AJ23" i="16"/>
  <c r="AJ33" i="16"/>
  <c r="AJ44" i="16"/>
  <c r="AT39" i="16"/>
  <c r="AT35" i="16"/>
  <c r="AO22" i="16"/>
  <c r="Y22" i="16"/>
  <c r="AQ22" i="16"/>
  <c r="AI33" i="16"/>
  <c r="AI23" i="16"/>
  <c r="AI44" i="16"/>
  <c r="R21" i="16"/>
  <c r="R22" i="16"/>
  <c r="AV22" i="16"/>
  <c r="AF39" i="16"/>
  <c r="K46" i="16"/>
  <c r="K50" i="16"/>
  <c r="AR22" i="16"/>
  <c r="AD44" i="16"/>
  <c r="AD23" i="16"/>
  <c r="AD33" i="16"/>
  <c r="U23" i="16"/>
  <c r="U44" i="16"/>
  <c r="U33" i="16"/>
  <c r="N22" i="16"/>
  <c r="M35" i="16"/>
  <c r="M39" i="16"/>
  <c r="I50" i="16"/>
  <c r="I46" i="16"/>
  <c r="D39" i="16"/>
  <c r="AX22" i="16"/>
  <c r="AQ39" i="16"/>
  <c r="AC22" i="16"/>
  <c r="AO33" i="16"/>
  <c r="AO44" i="16"/>
  <c r="AO23" i="16"/>
  <c r="Y33" i="16"/>
  <c r="Y44" i="16"/>
  <c r="Y23" i="16"/>
  <c r="AY22" i="16"/>
  <c r="AM21" i="16"/>
  <c r="AM22" i="16"/>
  <c r="W21" i="16"/>
  <c r="W22" i="16"/>
  <c r="AK23" i="16"/>
  <c r="AK44" i="16"/>
  <c r="AK33" i="16"/>
  <c r="AB22" i="16"/>
  <c r="P22" i="16"/>
  <c r="AV44" i="16"/>
  <c r="AV23" i="16"/>
  <c r="AV33" i="16"/>
  <c r="AF50" i="16"/>
  <c r="AA39" i="16"/>
  <c r="K35" i="16"/>
  <c r="K39" i="16"/>
  <c r="AN22" i="16"/>
  <c r="AB50" i="16"/>
  <c r="U22" i="16"/>
  <c r="N23" i="16"/>
  <c r="N33" i="16"/>
  <c r="N44" i="16"/>
  <c r="J22" i="16"/>
  <c r="I39" i="16"/>
  <c r="AY50" i="16"/>
  <c r="AX23" i="16"/>
  <c r="AX33" i="16"/>
  <c r="AX44" i="16"/>
  <c r="AG33" i="16"/>
  <c r="AG44" i="16"/>
  <c r="AG23" i="16"/>
  <c r="P39" i="16"/>
  <c r="F27" i="16"/>
  <c r="E30" i="16"/>
  <c r="AL21" i="16"/>
  <c r="AL22" i="16"/>
  <c r="V21" i="16"/>
  <c r="V22" i="16"/>
  <c r="G22" i="16"/>
  <c r="G21" i="16"/>
  <c r="H21" i="16"/>
  <c r="H22" i="16"/>
  <c r="T23" i="16"/>
  <c r="T33" i="16"/>
  <c r="T44" i="16"/>
  <c r="AT10" i="16"/>
  <c r="AT13" i="16" s="1"/>
  <c r="AJ22" i="16"/>
  <c r="T22" i="16"/>
  <c r="AK22" i="16"/>
  <c r="X22" i="16"/>
  <c r="L21" i="16"/>
  <c r="L22" i="16"/>
  <c r="AS33" i="16"/>
  <c r="AS23" i="16"/>
  <c r="AS44" i="16"/>
  <c r="Q22" i="16"/>
  <c r="Q21" i="16"/>
  <c r="AN23" i="16"/>
  <c r="AN33" i="16"/>
  <c r="AN44" i="16"/>
  <c r="AB39" i="16"/>
  <c r="S22" i="16"/>
  <c r="J23" i="16"/>
  <c r="J33" i="16"/>
  <c r="J44" i="16"/>
  <c r="E21" i="16"/>
  <c r="E22" i="16"/>
  <c r="AY39" i="16"/>
  <c r="AQ50" i="16"/>
  <c r="AG22" i="16"/>
  <c r="P50" i="16"/>
  <c r="G12" i="5"/>
  <c r="G9" i="5"/>
  <c r="D16" i="5"/>
  <c r="AG45" i="16" l="1"/>
  <c r="AG51" i="16" s="1"/>
  <c r="AG24" i="16"/>
  <c r="AG34" i="16"/>
  <c r="AG40" i="16" s="1"/>
  <c r="J39" i="16"/>
  <c r="Q33" i="16"/>
  <c r="Q44" i="16"/>
  <c r="Q23" i="16"/>
  <c r="AS35" i="16"/>
  <c r="AS39" i="16"/>
  <c r="AK45" i="16"/>
  <c r="AK51" i="16" s="1"/>
  <c r="AK24" i="16"/>
  <c r="AK34" i="16"/>
  <c r="AK40" i="16" s="1"/>
  <c r="T50" i="16"/>
  <c r="H44" i="16"/>
  <c r="H33" i="16"/>
  <c r="H23" i="16"/>
  <c r="V44" i="16"/>
  <c r="V23" i="16"/>
  <c r="V33" i="16"/>
  <c r="G27" i="16"/>
  <c r="F30" i="16"/>
  <c r="AG46" i="16"/>
  <c r="AG50" i="16"/>
  <c r="N39" i="16"/>
  <c r="N35" i="16"/>
  <c r="AV35" i="16"/>
  <c r="AV39" i="16"/>
  <c r="AB24" i="16"/>
  <c r="AB45" i="16"/>
  <c r="AB34" i="16"/>
  <c r="W24" i="16"/>
  <c r="W45" i="16"/>
  <c r="W51" i="16" s="1"/>
  <c r="W34" i="16"/>
  <c r="W40" i="16" s="1"/>
  <c r="AY45" i="16"/>
  <c r="AY34" i="16"/>
  <c r="AY24" i="16"/>
  <c r="AC45" i="16"/>
  <c r="AC51" i="16" s="1"/>
  <c r="AC24" i="16"/>
  <c r="AC34" i="16"/>
  <c r="AC40" i="16" s="1"/>
  <c r="U50" i="16"/>
  <c r="AD46" i="16"/>
  <c r="AD50" i="16"/>
  <c r="R44" i="16"/>
  <c r="R23" i="16"/>
  <c r="R33" i="16"/>
  <c r="AQ24" i="16"/>
  <c r="AQ34" i="16"/>
  <c r="AQ45" i="16"/>
  <c r="Z34" i="16"/>
  <c r="Z40" i="16" s="1"/>
  <c r="Z24" i="16"/>
  <c r="Z45" i="16"/>
  <c r="Z51" i="16" s="1"/>
  <c r="AA24" i="16"/>
  <c r="AA34" i="16"/>
  <c r="AA45" i="16"/>
  <c r="AC50" i="16"/>
  <c r="AC46" i="16"/>
  <c r="AR46" i="16"/>
  <c r="AR50" i="16"/>
  <c r="AH44" i="16"/>
  <c r="AH23" i="16"/>
  <c r="AH33" i="16"/>
  <c r="O33" i="16"/>
  <c r="O44" i="16"/>
  <c r="O23" i="16"/>
  <c r="AW33" i="16"/>
  <c r="AW44" i="16"/>
  <c r="AW23" i="16"/>
  <c r="E34" i="16"/>
  <c r="E40" i="16" s="1"/>
  <c r="E45" i="16"/>
  <c r="E51" i="16" s="1"/>
  <c r="E24" i="16"/>
  <c r="AN50" i="16"/>
  <c r="Q45" i="16"/>
  <c r="Q51" i="16" s="1"/>
  <c r="Q24" i="16"/>
  <c r="Q34" i="16"/>
  <c r="Q40" i="16" s="1"/>
  <c r="L34" i="16"/>
  <c r="L40" i="16" s="1"/>
  <c r="L24" i="16"/>
  <c r="L45" i="16"/>
  <c r="L51" i="16" s="1"/>
  <c r="T45" i="16"/>
  <c r="T51" i="16" s="1"/>
  <c r="T34" i="16"/>
  <c r="T40" i="16" s="1"/>
  <c r="T24" i="16"/>
  <c r="T39" i="16"/>
  <c r="G23" i="16"/>
  <c r="G33" i="16"/>
  <c r="G44" i="16"/>
  <c r="AL34" i="16"/>
  <c r="AL40" i="16" s="1"/>
  <c r="AL45" i="16"/>
  <c r="AL51" i="16" s="1"/>
  <c r="AL24" i="16"/>
  <c r="AG39" i="16"/>
  <c r="I35" i="16"/>
  <c r="AN45" i="16"/>
  <c r="AN51" i="16" s="1"/>
  <c r="AN24" i="16"/>
  <c r="AN34" i="16"/>
  <c r="AN40" i="16" s="1"/>
  <c r="AK35" i="16"/>
  <c r="AK39" i="16"/>
  <c r="W33" i="16"/>
  <c r="W23" i="16"/>
  <c r="W44" i="16"/>
  <c r="AO46" i="16"/>
  <c r="AO50" i="16"/>
  <c r="AR24" i="16"/>
  <c r="AR45" i="16"/>
  <c r="AR51" i="16" s="1"/>
  <c r="AR34" i="16"/>
  <c r="AR40" i="16" s="1"/>
  <c r="AI50" i="16"/>
  <c r="AI46" i="16"/>
  <c r="Y45" i="16"/>
  <c r="Y51" i="16" s="1"/>
  <c r="Y24" i="16"/>
  <c r="Y34" i="16"/>
  <c r="Y40" i="16" s="1"/>
  <c r="AJ46" i="16"/>
  <c r="AJ50" i="16"/>
  <c r="Z44" i="16"/>
  <c r="Z33" i="16"/>
  <c r="Z23" i="16"/>
  <c r="AF24" i="16"/>
  <c r="AF45" i="16"/>
  <c r="AF34" i="16"/>
  <c r="AC35" i="16"/>
  <c r="AC39" i="16"/>
  <c r="S50" i="16"/>
  <c r="AR39" i="16"/>
  <c r="AE24" i="16"/>
  <c r="AE45" i="16"/>
  <c r="AE51" i="16" s="1"/>
  <c r="AE34" i="16"/>
  <c r="AE40" i="16" s="1"/>
  <c r="E44" i="16"/>
  <c r="E23" i="16"/>
  <c r="E33" i="16"/>
  <c r="S24" i="16"/>
  <c r="S34" i="16"/>
  <c r="S40" i="16" s="1"/>
  <c r="S45" i="16"/>
  <c r="S51" i="16" s="1"/>
  <c r="AN39" i="16"/>
  <c r="AN35" i="16"/>
  <c r="AS50" i="16"/>
  <c r="AS46" i="16"/>
  <c r="L44" i="16"/>
  <c r="L33" i="16"/>
  <c r="L23" i="16"/>
  <c r="AJ45" i="16"/>
  <c r="AJ51" i="16" s="1"/>
  <c r="AJ34" i="16"/>
  <c r="AJ40" i="16" s="1"/>
  <c r="AJ24" i="16"/>
  <c r="G45" i="16"/>
  <c r="G51" i="16" s="1"/>
  <c r="G24" i="16"/>
  <c r="G34" i="16"/>
  <c r="G40" i="16" s="1"/>
  <c r="AL44" i="16"/>
  <c r="AL23" i="16"/>
  <c r="AL33" i="16"/>
  <c r="AX50" i="16"/>
  <c r="J24" i="16"/>
  <c r="J34" i="16"/>
  <c r="J40" i="16" s="1"/>
  <c r="J45" i="16"/>
  <c r="J51" i="16" s="1"/>
  <c r="U45" i="16"/>
  <c r="U51" i="16" s="1"/>
  <c r="U24" i="16"/>
  <c r="U34" i="16"/>
  <c r="U40" i="16" s="1"/>
  <c r="AV50" i="16"/>
  <c r="AK50" i="16"/>
  <c r="AM24" i="16"/>
  <c r="AM45" i="16"/>
  <c r="AM51" i="16" s="1"/>
  <c r="AM34" i="16"/>
  <c r="AM40" i="16" s="1"/>
  <c r="Y50" i="16"/>
  <c r="AO39" i="16"/>
  <c r="N24" i="16"/>
  <c r="N34" i="16"/>
  <c r="N40" i="16" s="1"/>
  <c r="N45" i="16"/>
  <c r="N51" i="16" s="1"/>
  <c r="AD35" i="16"/>
  <c r="AD39" i="16"/>
  <c r="AV34" i="16"/>
  <c r="AV40" i="16" s="1"/>
  <c r="AV45" i="16"/>
  <c r="AV51" i="16" s="1"/>
  <c r="AV24" i="16"/>
  <c r="AO45" i="16"/>
  <c r="AO51" i="16" s="1"/>
  <c r="AO24" i="16"/>
  <c r="AO34" i="16"/>
  <c r="AO40" i="16" s="1"/>
  <c r="AJ39" i="16"/>
  <c r="AP34" i="16"/>
  <c r="AP40" i="16" s="1"/>
  <c r="AP24" i="16"/>
  <c r="AP45" i="16"/>
  <c r="AP51" i="16" s="1"/>
  <c r="D45" i="16"/>
  <c r="D24" i="16"/>
  <c r="D34" i="16"/>
  <c r="X50" i="16"/>
  <c r="AE33" i="16"/>
  <c r="AE44" i="16"/>
  <c r="AE23" i="16"/>
  <c r="J46" i="16"/>
  <c r="J50" i="16"/>
  <c r="X45" i="16"/>
  <c r="X51" i="16" s="1"/>
  <c r="X34" i="16"/>
  <c r="X40" i="16" s="1"/>
  <c r="X24" i="16"/>
  <c r="AU22" i="16"/>
  <c r="AU21" i="16"/>
  <c r="H34" i="16"/>
  <c r="H40" i="16" s="1"/>
  <c r="H24" i="16"/>
  <c r="H45" i="16"/>
  <c r="H51" i="16" s="1"/>
  <c r="V34" i="16"/>
  <c r="V40" i="16" s="1"/>
  <c r="V45" i="16"/>
  <c r="V51" i="16" s="1"/>
  <c r="V24" i="16"/>
  <c r="AX39" i="16"/>
  <c r="AX35" i="16"/>
  <c r="N50" i="16"/>
  <c r="P24" i="16"/>
  <c r="P45" i="16"/>
  <c r="P34" i="16"/>
  <c r="AM33" i="16"/>
  <c r="AM23" i="16"/>
  <c r="AM44" i="16"/>
  <c r="Y35" i="16"/>
  <c r="Y39" i="16"/>
  <c r="AX24" i="16"/>
  <c r="AX45" i="16"/>
  <c r="AX51" i="16" s="1"/>
  <c r="AX34" i="16"/>
  <c r="AX40" i="16" s="1"/>
  <c r="U35" i="16"/>
  <c r="U39" i="16"/>
  <c r="R34" i="16"/>
  <c r="R40" i="16" s="1"/>
  <c r="R45" i="16"/>
  <c r="R51" i="16" s="1"/>
  <c r="R24" i="16"/>
  <c r="AI39" i="16"/>
  <c r="AI35" i="16"/>
  <c r="AP44" i="16"/>
  <c r="AP23" i="16"/>
  <c r="AP33" i="16"/>
  <c r="M46" i="16"/>
  <c r="S39" i="16"/>
  <c r="X39" i="16"/>
  <c r="X35" i="16"/>
  <c r="AH34" i="16"/>
  <c r="AH40" i="16" s="1"/>
  <c r="AH45" i="16"/>
  <c r="AH51" i="16" s="1"/>
  <c r="AH24" i="16"/>
  <c r="O24" i="16"/>
  <c r="O45" i="16"/>
  <c r="O51" i="16" s="1"/>
  <c r="O34" i="16"/>
  <c r="O40" i="16" s="1"/>
  <c r="AW24" i="16"/>
  <c r="AW34" i="16"/>
  <c r="AW40" i="16" s="1"/>
  <c r="AW45" i="16"/>
  <c r="AW51" i="16" s="1"/>
  <c r="P36" i="6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 s="1"/>
  <c r="G46" i="5"/>
  <c r="H46" i="5" s="1"/>
  <c r="G47" i="5"/>
  <c r="H47" i="5" s="1"/>
  <c r="G48" i="5"/>
  <c r="H48" i="5" s="1"/>
  <c r="G49" i="5"/>
  <c r="H49" i="5" s="1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 s="1"/>
  <c r="G62" i="5"/>
  <c r="H62" i="5" s="1"/>
  <c r="G63" i="5"/>
  <c r="H63" i="5" s="1"/>
  <c r="G64" i="5"/>
  <c r="H64" i="5" s="1"/>
  <c r="G65" i="5"/>
  <c r="H65" i="5" s="1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 s="1"/>
  <c r="G76" i="5"/>
  <c r="H76" i="5" s="1"/>
  <c r="G77" i="5"/>
  <c r="H77" i="5" s="1"/>
  <c r="G78" i="5"/>
  <c r="H78" i="5" s="1"/>
  <c r="G79" i="5"/>
  <c r="H79" i="5" s="1"/>
  <c r="G80" i="5"/>
  <c r="H80" i="5" s="1"/>
  <c r="G81" i="5"/>
  <c r="H81" i="5" s="1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 s="1"/>
  <c r="G94" i="5"/>
  <c r="H94" i="5" s="1"/>
  <c r="G95" i="5"/>
  <c r="H95" i="5" s="1"/>
  <c r="G96" i="5"/>
  <c r="H96" i="5" s="1"/>
  <c r="G97" i="5"/>
  <c r="H97" i="5" s="1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AM50" i="16" l="1"/>
  <c r="AM46" i="16"/>
  <c r="P51" i="16"/>
  <c r="P46" i="16"/>
  <c r="AU23" i="16"/>
  <c r="AZ23" i="16" s="1"/>
  <c r="AU33" i="16"/>
  <c r="AU44" i="16"/>
  <c r="AE50" i="16"/>
  <c r="AE46" i="16"/>
  <c r="D40" i="16"/>
  <c r="D35" i="16"/>
  <c r="AF51" i="16"/>
  <c r="AF46" i="16"/>
  <c r="Z50" i="16"/>
  <c r="Z46" i="16"/>
  <c r="G35" i="16"/>
  <c r="G39" i="16"/>
  <c r="AW35" i="16"/>
  <c r="AW39" i="16"/>
  <c r="AH39" i="16"/>
  <c r="AH35" i="16"/>
  <c r="AA40" i="16"/>
  <c r="AA35" i="16"/>
  <c r="R39" i="16"/>
  <c r="R35" i="16"/>
  <c r="AY51" i="16"/>
  <c r="AY46" i="16"/>
  <c r="AB40" i="16"/>
  <c r="AB35" i="16"/>
  <c r="H46" i="16"/>
  <c r="H50" i="16"/>
  <c r="AP39" i="16"/>
  <c r="AP35" i="16"/>
  <c r="AU45" i="16"/>
  <c r="AU51" i="16" s="1"/>
  <c r="AU34" i="16"/>
  <c r="AU40" i="16" s="1"/>
  <c r="AU24" i="16"/>
  <c r="AZ24" i="16" s="1"/>
  <c r="AE39" i="16"/>
  <c r="AE35" i="16"/>
  <c r="AO35" i="16"/>
  <c r="AL46" i="16"/>
  <c r="AL50" i="16"/>
  <c r="L35" i="16"/>
  <c r="L39" i="16"/>
  <c r="E46" i="16"/>
  <c r="E50" i="16"/>
  <c r="AR35" i="16"/>
  <c r="W50" i="16"/>
  <c r="W46" i="16"/>
  <c r="AQ51" i="16"/>
  <c r="AQ46" i="16"/>
  <c r="U46" i="16"/>
  <c r="AB51" i="16"/>
  <c r="AB46" i="16"/>
  <c r="V46" i="16"/>
  <c r="V50" i="16"/>
  <c r="Q46" i="16"/>
  <c r="Q50" i="16"/>
  <c r="S35" i="16"/>
  <c r="AM39" i="16"/>
  <c r="AM35" i="16"/>
  <c r="D51" i="16"/>
  <c r="D46" i="16"/>
  <c r="AV46" i="16"/>
  <c r="AX46" i="16"/>
  <c r="L46" i="16"/>
  <c r="L50" i="16"/>
  <c r="AZ21" i="16"/>
  <c r="T35" i="16"/>
  <c r="AN46" i="16"/>
  <c r="O50" i="16"/>
  <c r="O46" i="16"/>
  <c r="AH50" i="16"/>
  <c r="AH46" i="16"/>
  <c r="AQ40" i="16"/>
  <c r="AQ35" i="16"/>
  <c r="R50" i="16"/>
  <c r="R46" i="16"/>
  <c r="H27" i="16"/>
  <c r="G30" i="16"/>
  <c r="T46" i="16"/>
  <c r="Q35" i="16"/>
  <c r="Q39" i="16"/>
  <c r="AP50" i="16"/>
  <c r="AP46" i="16"/>
  <c r="P40" i="16"/>
  <c r="P35" i="16"/>
  <c r="N46" i="16"/>
  <c r="X46" i="16"/>
  <c r="AZ22" i="16"/>
  <c r="AJ35" i="16"/>
  <c r="Y46" i="16"/>
  <c r="AK46" i="16"/>
  <c r="AL39" i="16"/>
  <c r="AL35" i="16"/>
  <c r="E35" i="16"/>
  <c r="E39" i="16"/>
  <c r="S46" i="16"/>
  <c r="AF40" i="16"/>
  <c r="AF35" i="16"/>
  <c r="Z39" i="16"/>
  <c r="Z35" i="16"/>
  <c r="W39" i="16"/>
  <c r="W35" i="16"/>
  <c r="AG35" i="16"/>
  <c r="G46" i="16"/>
  <c r="G50" i="16"/>
  <c r="AW50" i="16"/>
  <c r="AW46" i="16"/>
  <c r="O39" i="16"/>
  <c r="O35" i="16"/>
  <c r="AA51" i="16"/>
  <c r="AA46" i="16"/>
  <c r="AY40" i="16"/>
  <c r="AY35" i="16"/>
  <c r="V39" i="16"/>
  <c r="V35" i="16"/>
  <c r="H35" i="16"/>
  <c r="H39" i="16"/>
  <c r="J35" i="16"/>
  <c r="G107" i="5"/>
  <c r="H36" i="5"/>
  <c r="H6" i="5"/>
  <c r="G16" i="5"/>
  <c r="I27" i="16" l="1"/>
  <c r="H30" i="16"/>
  <c r="AU46" i="16"/>
  <c r="AU50" i="16"/>
  <c r="AU35" i="16"/>
  <c r="AU39" i="16"/>
  <c r="I30" i="16" l="1"/>
  <c r="J27" i="16"/>
  <c r="J30" i="16" l="1"/>
  <c r="K27" i="16"/>
  <c r="L27" i="16" l="1"/>
  <c r="K30" i="16"/>
  <c r="M27" i="16" l="1"/>
  <c r="L30" i="16"/>
  <c r="M30" i="16" l="1"/>
  <c r="N27" i="16"/>
  <c r="N30" i="16" l="1"/>
  <c r="O27" i="16"/>
  <c r="P27" i="16" l="1"/>
  <c r="O30" i="16"/>
  <c r="P30" i="16" l="1"/>
  <c r="Q27" i="16"/>
  <c r="R27" i="16" l="1"/>
  <c r="Q30" i="16"/>
  <c r="R30" i="16" l="1"/>
  <c r="S27" i="16"/>
  <c r="S30" i="16" l="1"/>
  <c r="T27" i="16"/>
  <c r="T30" i="16" l="1"/>
  <c r="U27" i="16"/>
  <c r="V27" i="16" l="1"/>
  <c r="U30" i="16"/>
  <c r="W27" i="16" l="1"/>
  <c r="V30" i="16"/>
  <c r="X27" i="16" l="1"/>
  <c r="W30" i="16"/>
  <c r="X30" i="16" l="1"/>
  <c r="Y27" i="16"/>
  <c r="Z27" i="16" l="1"/>
  <c r="Y30" i="16"/>
  <c r="AA27" i="16" l="1"/>
  <c r="Z30" i="16"/>
  <c r="AB27" i="16" l="1"/>
  <c r="AA30" i="16"/>
  <c r="AB30" i="16" l="1"/>
  <c r="AC27" i="16"/>
  <c r="AD27" i="16" l="1"/>
  <c r="AC30" i="16"/>
  <c r="AE27" i="16" l="1"/>
  <c r="AD30" i="16"/>
  <c r="AF27" i="16" l="1"/>
  <c r="AE30" i="16"/>
  <c r="AF30" i="16" l="1"/>
  <c r="AG27" i="16"/>
  <c r="AH27" i="16" l="1"/>
  <c r="AG30" i="16"/>
  <c r="AH30" i="16" l="1"/>
  <c r="AI27" i="16"/>
  <c r="AI30" i="16" l="1"/>
  <c r="AJ27" i="16"/>
  <c r="AJ30" i="16" l="1"/>
  <c r="AK27" i="16"/>
  <c r="AL27" i="16" l="1"/>
  <c r="AK30" i="16"/>
  <c r="AM27" i="16" l="1"/>
  <c r="AL30" i="16"/>
  <c r="AN27" i="16" l="1"/>
  <c r="AM30" i="16"/>
  <c r="AN30" i="16" l="1"/>
  <c r="AO27" i="16"/>
  <c r="AP27" i="16" l="1"/>
  <c r="AO30" i="16"/>
  <c r="AQ27" i="16" l="1"/>
  <c r="AP30" i="16"/>
  <c r="AQ30" i="16" l="1"/>
  <c r="AR27" i="16"/>
  <c r="AR30" i="16" l="1"/>
  <c r="AS27" i="16"/>
  <c r="AT27" i="16" l="1"/>
  <c r="AS30" i="16"/>
  <c r="AT30" i="16" l="1"/>
  <c r="AU27" i="16"/>
  <c r="AV27" i="16" l="1"/>
  <c r="AU30" i="16"/>
  <c r="AW27" i="16" l="1"/>
  <c r="AV30" i="16"/>
  <c r="AX27" i="16" l="1"/>
  <c r="AW30" i="16"/>
  <c r="AX30" i="16" l="1"/>
  <c r="AY27" i="16"/>
  <c r="AY30" i="16" s="1"/>
  <c r="AZ30" i="16" l="1"/>
</calcChain>
</file>

<file path=xl/sharedStrings.xml><?xml version="1.0" encoding="utf-8"?>
<sst xmlns="http://schemas.openxmlformats.org/spreadsheetml/2006/main" count="2202" uniqueCount="413">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</sst>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1"/>
  <sheetViews>
    <sheetView showGridLines="0" workbookViewId="0">
      <selection activeCell="C34" sqref="C34"/>
    </sheetView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2016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336</v>
      </c>
      <c r="D8">
        <v>2</v>
      </c>
      <c r="E8" t="s">
        <v>337</v>
      </c>
    </row>
    <row r="10" spans="2:6" x14ac:dyDescent="0.2">
      <c r="C10" t="s">
        <v>12</v>
      </c>
      <c r="E10" t="s">
        <v>22</v>
      </c>
    </row>
    <row r="11" spans="2:6" x14ac:dyDescent="0.2">
      <c r="E11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D12" sqref="D12"/>
    </sheetView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/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3748</v>
      </c>
      <c r="E12" s="15"/>
      <c r="F12" s="15" t="s">
        <v>6</v>
      </c>
      <c r="G12" s="15">
        <f t="shared" si="0"/>
        <v>3748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18" workbookViewId="0">
      <selection activeCell="C46" sqref="C46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 x14ac:dyDescent="0.2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 x14ac:dyDescent="0.2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 x14ac:dyDescent="0.2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2">
      <c r="B10" s="36" t="s">
        <v>108</v>
      </c>
      <c r="C10" s="88">
        <v>10000</v>
      </c>
      <c r="D10" s="89">
        <v>10000</v>
      </c>
      <c r="E10" s="88">
        <v>10000</v>
      </c>
      <c r="F10" s="88">
        <v>15000</v>
      </c>
      <c r="G10" s="88">
        <v>15000</v>
      </c>
      <c r="H10" s="88">
        <v>12500</v>
      </c>
      <c r="I10" s="88">
        <v>10000</v>
      </c>
      <c r="J10" s="88">
        <v>10000</v>
      </c>
      <c r="K10" s="88">
        <v>10000</v>
      </c>
      <c r="L10" s="88">
        <v>10000</v>
      </c>
      <c r="M10" s="88">
        <v>10000</v>
      </c>
      <c r="N10" s="88">
        <v>10000</v>
      </c>
    </row>
    <row r="11" spans="2:14" x14ac:dyDescent="0.2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9"/>
      <c r="P34" s="63">
        <f>O34+M34</f>
        <v>0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2016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9"/>
      <c r="P37" s="63">
        <f>O37+M37+K37+I37+G37</f>
        <v>0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9"/>
      <c r="P38" s="63">
        <f>O38+M38+K38+I38</f>
        <v>0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9"/>
      <c r="P39" s="63">
        <f>O39+M39+K39</f>
        <v>0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9"/>
      <c r="P40" s="63">
        <f>O40+M40</f>
        <v>0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 x14ac:dyDescent="0.2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12" workbookViewId="0">
      <selection activeCell="B34" sqref="B34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/>
      <c r="D6" s="93"/>
      <c r="E6" s="93"/>
      <c r="F6" s="97">
        <f>SUM($C$6:$E$6)</f>
        <v>0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/>
      <c r="D7" s="93"/>
      <c r="E7" s="93"/>
      <c r="F7" s="97">
        <f>SUM($C$7:$E$7)</f>
        <v>0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/>
      <c r="D8" s="93"/>
      <c r="E8" s="93"/>
      <c r="F8" s="97">
        <f>SUM($C$8:$E$8)</f>
        <v>0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>
        <v>33.33</v>
      </c>
      <c r="D10" s="93">
        <v>33.33</v>
      </c>
      <c r="E10" s="93">
        <v>33.340000000000003</v>
      </c>
      <c r="F10" s="97">
        <f>SUM($C$10:$E$10)</f>
        <v>100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/>
      <c r="E11" s="94"/>
      <c r="F11" s="96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50</v>
      </c>
      <c r="D19" s="33">
        <f>100-$C$19</f>
        <v>50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/>
      <c r="D27" s="93">
        <v>50</v>
      </c>
      <c r="E27" s="95">
        <v>50</v>
      </c>
      <c r="L27" s="50"/>
      <c r="M27" s="50"/>
      <c r="N27" s="50"/>
    </row>
    <row r="28" spans="2:14" x14ac:dyDescent="0.2">
      <c r="B28" s="45" t="s">
        <v>59</v>
      </c>
      <c r="C28" s="93"/>
      <c r="D28" s="93">
        <v>50</v>
      </c>
      <c r="E28" s="95">
        <v>50</v>
      </c>
      <c r="L28" s="50"/>
      <c r="M28" s="50"/>
      <c r="N28" s="50"/>
    </row>
    <row r="29" spans="2:14" x14ac:dyDescent="0.2">
      <c r="B29" s="45" t="s">
        <v>150</v>
      </c>
      <c r="C29" s="98">
        <f>SUM($C$27:$C$28)</f>
        <v>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40</v>
      </c>
      <c r="D36" s="93">
        <v>30</v>
      </c>
      <c r="E36" s="93">
        <v>20</v>
      </c>
      <c r="F36" s="93">
        <v>40</v>
      </c>
      <c r="G36" s="93">
        <v>30</v>
      </c>
      <c r="H36" s="93">
        <v>20</v>
      </c>
      <c r="I36" s="93">
        <v>40</v>
      </c>
      <c r="J36" s="93">
        <v>30</v>
      </c>
      <c r="K36" s="93">
        <v>20</v>
      </c>
      <c r="L36" s="93">
        <v>40</v>
      </c>
      <c r="M36" s="93">
        <v>30</v>
      </c>
      <c r="N36" s="93">
        <v>20</v>
      </c>
    </row>
    <row r="37" spans="2:14" x14ac:dyDescent="0.2">
      <c r="B37" s="45" t="s">
        <v>59</v>
      </c>
      <c r="C37" s="94">
        <v>20</v>
      </c>
      <c r="D37" s="94">
        <v>30</v>
      </c>
      <c r="E37" s="94">
        <v>40</v>
      </c>
      <c r="F37" s="94">
        <v>20</v>
      </c>
      <c r="G37" s="94">
        <v>30</v>
      </c>
      <c r="H37" s="94">
        <v>40</v>
      </c>
      <c r="I37" s="94">
        <v>20</v>
      </c>
      <c r="J37" s="94">
        <v>30</v>
      </c>
      <c r="K37" s="94">
        <v>40</v>
      </c>
      <c r="L37" s="94">
        <v>20</v>
      </c>
      <c r="M37" s="94">
        <v>30</v>
      </c>
      <c r="N37" s="94">
        <v>40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M25" sqref="M25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1.770055377891206</v>
      </c>
      <c r="E6" s="89">
        <v>1.5433245191570957</v>
      </c>
      <c r="F6" s="89">
        <v>1.0212872789771437</v>
      </c>
      <c r="G6" s="89">
        <v>0.75489013080297718</v>
      </c>
      <c r="H6" s="89">
        <v>1.1272488500011171</v>
      </c>
      <c r="I6" s="89">
        <v>1.0360475004412129</v>
      </c>
      <c r="J6" s="89">
        <v>1.1408620456370144</v>
      </c>
      <c r="K6" s="89">
        <v>0.74946714023337324</v>
      </c>
      <c r="L6" s="89">
        <v>0.7902806831972311</v>
      </c>
      <c r="M6" s="89">
        <v>1.1082098263058935</v>
      </c>
      <c r="N6" s="89">
        <v>1.6130604663817183</v>
      </c>
      <c r="O6" s="89">
        <v>1.2830795141149114</v>
      </c>
    </row>
    <row r="7" spans="2:15" x14ac:dyDescent="0.2">
      <c r="C7" s="36" t="s">
        <v>127</v>
      </c>
      <c r="D7" s="89">
        <v>1.5080209523628085</v>
      </c>
      <c r="E7" s="89">
        <v>1.288664809096284</v>
      </c>
      <c r="F7" s="89">
        <v>0.53348500177598135</v>
      </c>
      <c r="G7" s="89">
        <v>1.2641538361575912</v>
      </c>
      <c r="H7" s="89">
        <v>1.207423272931317</v>
      </c>
      <c r="I7" s="89">
        <v>1.4574834616494954</v>
      </c>
      <c r="J7" s="89">
        <v>1.4834890322280492</v>
      </c>
      <c r="K7" s="89">
        <v>1.6121881103156253</v>
      </c>
      <c r="L7" s="89">
        <v>1.2365097558702702</v>
      </c>
      <c r="M7" s="89">
        <v>0.51984950816452746</v>
      </c>
      <c r="N7" s="89">
        <v>0.60274915722123079</v>
      </c>
      <c r="O7" s="89">
        <v>1.3435231215272607</v>
      </c>
    </row>
    <row r="8" spans="2:15" x14ac:dyDescent="0.2">
      <c r="C8" s="36" t="s">
        <v>128</v>
      </c>
      <c r="D8" s="89">
        <v>1.6360250406816288</v>
      </c>
      <c r="E8" s="89">
        <v>1.017914692172829</v>
      </c>
      <c r="F8" s="89">
        <v>0.91626124190813252</v>
      </c>
      <c r="G8" s="89">
        <v>0.84205475346944292</v>
      </c>
      <c r="H8" s="89">
        <v>1.3200609111816224</v>
      </c>
      <c r="I8" s="89">
        <v>0.69524013780802696</v>
      </c>
      <c r="J8" s="89">
        <v>1.2614736307795074</v>
      </c>
      <c r="K8" s="89">
        <v>1.0514115230018346</v>
      </c>
      <c r="L8" s="89">
        <v>1.220766853945968</v>
      </c>
      <c r="M8" s="89">
        <v>1.6697430680668282</v>
      </c>
      <c r="N8" s="89">
        <v>0.84189461203792537</v>
      </c>
      <c r="O8" s="89">
        <v>0.90337732064821608</v>
      </c>
    </row>
    <row r="9" spans="2:15" x14ac:dyDescent="0.2">
      <c r="C9" s="36" t="s">
        <v>129</v>
      </c>
      <c r="D9" s="89">
        <v>1.6740907421533948</v>
      </c>
      <c r="E9" s="89">
        <v>1.6808496541041922</v>
      </c>
      <c r="F9" s="89">
        <v>0.58058455016339161</v>
      </c>
      <c r="G9" s="89">
        <v>1.1792837182737839</v>
      </c>
      <c r="H9" s="89">
        <v>0.97287787885870847</v>
      </c>
      <c r="I9" s="89">
        <v>1.7974721047158291</v>
      </c>
      <c r="J9" s="89">
        <v>1.6517547501637444</v>
      </c>
      <c r="K9" s="89">
        <v>1.5138511579783234</v>
      </c>
      <c r="L9" s="89">
        <v>1.138845241237715</v>
      </c>
      <c r="M9" s="89">
        <v>1.7964221427456459</v>
      </c>
      <c r="N9" s="89">
        <v>0.5560584327333431</v>
      </c>
      <c r="O9" s="89">
        <v>1.3060644918636013</v>
      </c>
    </row>
    <row r="10" spans="2:15" x14ac:dyDescent="0.2">
      <c r="C10" s="36" t="s">
        <v>130</v>
      </c>
      <c r="D10" s="89">
        <v>0.67084967113749894</v>
      </c>
      <c r="E10" s="89">
        <v>0.66762531038627226</v>
      </c>
      <c r="F10" s="89">
        <v>0.87695043620649615</v>
      </c>
      <c r="G10" s="89">
        <v>0.96634493499860774</v>
      </c>
      <c r="H10" s="89">
        <v>0.70432729443035036</v>
      </c>
      <c r="I10" s="89">
        <v>0.60896279669472497</v>
      </c>
      <c r="J10" s="89">
        <v>1.6437094972182871</v>
      </c>
      <c r="K10" s="89">
        <v>1.748056249143636</v>
      </c>
      <c r="L10" s="89">
        <v>1.5419826267472976</v>
      </c>
      <c r="M10" s="89">
        <v>0.73545689711119711</v>
      </c>
      <c r="N10" s="89">
        <v>1.7776387587833147</v>
      </c>
      <c r="O10" s="89">
        <v>1.4195807978723511</v>
      </c>
    </row>
    <row r="11" spans="2:15" x14ac:dyDescent="0.2">
      <c r="C11" s="36" t="s">
        <v>131</v>
      </c>
      <c r="D11" s="89">
        <v>1.6117706120943449</v>
      </c>
      <c r="E11" s="89">
        <v>1.2544319957426038</v>
      </c>
      <c r="F11" s="89">
        <v>1.2466657032442923</v>
      </c>
      <c r="G11" s="89">
        <v>0.98265443149903531</v>
      </c>
      <c r="H11" s="89">
        <v>1.076786957259054</v>
      </c>
      <c r="I11" s="89">
        <v>0.80420416881386936</v>
      </c>
      <c r="J11" s="89">
        <v>1.6605617055579798</v>
      </c>
      <c r="K11" s="89">
        <v>1.1270159520392702</v>
      </c>
      <c r="L11" s="89">
        <v>0.85224473059200723</v>
      </c>
      <c r="M11" s="89">
        <v>1.2018202686287038</v>
      </c>
      <c r="N11" s="89">
        <v>1.5850538708633075</v>
      </c>
      <c r="O11" s="89">
        <v>1.7984897102284154</v>
      </c>
    </row>
    <row r="12" spans="2:15" x14ac:dyDescent="0.2">
      <c r="C12" s="37" t="s">
        <v>132</v>
      </c>
      <c r="D12" s="89">
        <v>0.96532685701699195</v>
      </c>
      <c r="E12" s="89">
        <v>0.67057415374520035</v>
      </c>
      <c r="F12" s="89">
        <v>0.92140000592169136</v>
      </c>
      <c r="G12" s="89">
        <v>1.3490393007710855</v>
      </c>
      <c r="H12" s="89">
        <v>1.2151208900283494</v>
      </c>
      <c r="I12" s="89">
        <v>1.7187706832125829</v>
      </c>
      <c r="J12" s="89">
        <v>1.2183407881058368</v>
      </c>
      <c r="K12" s="89">
        <v>1.1877219766100557</v>
      </c>
      <c r="L12" s="89">
        <v>1.6724438710355192</v>
      </c>
      <c r="M12" s="89">
        <v>1.1522148372511438</v>
      </c>
      <c r="N12" s="89">
        <v>1.4896706183447446</v>
      </c>
      <c r="O12" s="89">
        <v>1.1858863297792448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1.0711961332068913</v>
      </c>
      <c r="E15" s="89">
        <v>0.64798685407811329</v>
      </c>
      <c r="F15" s="89">
        <v>1.7546602877575805</v>
      </c>
      <c r="G15" s="89">
        <v>0.9446642648410748</v>
      </c>
      <c r="H15" s="89">
        <v>1.5900359380175839</v>
      </c>
      <c r="I15" s="89">
        <v>0.76383900078485956</v>
      </c>
      <c r="J15" s="89">
        <v>1.4654664782619835</v>
      </c>
      <c r="K15" s="89">
        <v>0.63510372996883124</v>
      </c>
      <c r="L15" s="89">
        <v>0.5708144827374263</v>
      </c>
      <c r="M15" s="89">
        <v>1.251000280084686</v>
      </c>
      <c r="N15" s="89">
        <v>1.1216726345062293</v>
      </c>
      <c r="O15" s="89">
        <v>1.2403122172102554</v>
      </c>
    </row>
    <row r="16" spans="2:15" x14ac:dyDescent="0.2">
      <c r="C16" s="36" t="s">
        <v>127</v>
      </c>
      <c r="D16" s="89">
        <v>1.1432558532990083</v>
      </c>
      <c r="E16" s="89">
        <v>1.5380955098782529</v>
      </c>
      <c r="F16" s="89">
        <v>1.248043751519782</v>
      </c>
      <c r="G16" s="89">
        <v>1.5995520207270746</v>
      </c>
      <c r="H16" s="89">
        <v>1.4428836677596797</v>
      </c>
      <c r="I16" s="89">
        <v>1.5221732113706696</v>
      </c>
      <c r="J16" s="89">
        <v>0.67281067999786281</v>
      </c>
      <c r="K16" s="89">
        <v>1.6959862440292151</v>
      </c>
      <c r="L16" s="89">
        <v>1.6895473781491872</v>
      </c>
      <c r="M16" s="89">
        <v>1.7905699923884868</v>
      </c>
      <c r="N16" s="89">
        <v>0.55473973542982991</v>
      </c>
      <c r="O16" s="89">
        <v>0.53463651108567367</v>
      </c>
    </row>
    <row r="17" spans="2:15" x14ac:dyDescent="0.2">
      <c r="C17" s="36" t="s">
        <v>128</v>
      </c>
      <c r="D17" s="89">
        <v>0.53943933125955879</v>
      </c>
      <c r="E17" s="89">
        <v>1.1360865559458508</v>
      </c>
      <c r="F17" s="89">
        <v>1.5287399178865662</v>
      </c>
      <c r="G17" s="89">
        <v>1.1479182684679556</v>
      </c>
      <c r="H17" s="89">
        <v>1.3785456411969816</v>
      </c>
      <c r="I17" s="89">
        <v>0.53344239262601145</v>
      </c>
      <c r="J17" s="89">
        <v>1.1300801747120737</v>
      </c>
      <c r="K17" s="89">
        <v>1.3347930994702095</v>
      </c>
      <c r="L17" s="89">
        <v>1.0725068151818893</v>
      </c>
      <c r="M17" s="89">
        <v>1.2396695596187939</v>
      </c>
      <c r="N17" s="89">
        <v>0.71021201715755522</v>
      </c>
      <c r="O17" s="89">
        <v>1.356321853516117</v>
      </c>
    </row>
    <row r="18" spans="2:15" x14ac:dyDescent="0.2">
      <c r="C18" s="36" t="s">
        <v>129</v>
      </c>
      <c r="D18" s="89">
        <v>0.69178362511366132</v>
      </c>
      <c r="E18" s="89">
        <v>1.3514353630674893</v>
      </c>
      <c r="F18" s="89">
        <v>1.5500202731412871</v>
      </c>
      <c r="G18" s="89">
        <v>1.7474853667903951</v>
      </c>
      <c r="H18" s="89">
        <v>0.93749812921449971</v>
      </c>
      <c r="I18" s="89">
        <v>0.95943999299871119</v>
      </c>
      <c r="J18" s="89">
        <v>1.2509899241663027</v>
      </c>
      <c r="K18" s="89">
        <v>1.0075826944810307</v>
      </c>
      <c r="L18" s="89">
        <v>1.1423130755696809</v>
      </c>
      <c r="M18" s="89">
        <v>0.85902836833174634</v>
      </c>
      <c r="N18" s="89">
        <v>1.0256548006975743</v>
      </c>
      <c r="O18" s="89">
        <v>1.2532448422788522</v>
      </c>
    </row>
    <row r="19" spans="2:15" x14ac:dyDescent="0.2">
      <c r="C19" s="36" t="s">
        <v>130</v>
      </c>
      <c r="D19" s="89">
        <v>1.2240694174226308</v>
      </c>
      <c r="E19" s="89">
        <v>1.0397853101555132</v>
      </c>
      <c r="F19" s="89">
        <v>1.2826018215960047</v>
      </c>
      <c r="G19" s="89">
        <v>1.4579173948751054</v>
      </c>
      <c r="H19" s="89">
        <v>1.5355359283281727</v>
      </c>
      <c r="I19" s="89">
        <v>0.60004968365911859</v>
      </c>
      <c r="J19" s="89">
        <v>1.7961172461376762</v>
      </c>
      <c r="K19" s="89">
        <v>0.84395058194603578</v>
      </c>
      <c r="L19" s="89">
        <v>1.7030063766883095</v>
      </c>
      <c r="M19" s="89">
        <v>1.3716200243510375</v>
      </c>
      <c r="N19" s="89">
        <v>1.6636218623031462</v>
      </c>
      <c r="O19" s="89">
        <v>1.469961258657438</v>
      </c>
    </row>
    <row r="20" spans="2:15" x14ac:dyDescent="0.2">
      <c r="C20" s="36" t="s">
        <v>131</v>
      </c>
      <c r="D20" s="89">
        <v>1.2601260874837434</v>
      </c>
      <c r="E20" s="89">
        <v>0.69042199592864495</v>
      </c>
      <c r="F20" s="89">
        <v>0.55056149736656523</v>
      </c>
      <c r="G20" s="89">
        <v>0.97613724775716415</v>
      </c>
      <c r="H20" s="89">
        <v>0.54145099758601833</v>
      </c>
      <c r="I20" s="89">
        <v>1.2767019458842339</v>
      </c>
      <c r="J20" s="89">
        <v>0.91935266033428775</v>
      </c>
      <c r="K20" s="89">
        <v>0.98508260584612573</v>
      </c>
      <c r="L20" s="89">
        <v>0.67163917494173753</v>
      </c>
      <c r="M20" s="89">
        <v>1.1416180260482918</v>
      </c>
      <c r="N20" s="89">
        <v>0.78693139698881132</v>
      </c>
      <c r="O20" s="89">
        <v>1.5017749309505173</v>
      </c>
    </row>
    <row r="21" spans="2:15" x14ac:dyDescent="0.2">
      <c r="C21" s="37" t="s">
        <v>132</v>
      </c>
      <c r="D21" s="89">
        <v>0.76158097130359148</v>
      </c>
      <c r="E21" s="89">
        <v>0.78827297162768206</v>
      </c>
      <c r="F21" s="89">
        <v>0.56277565177892752</v>
      </c>
      <c r="G21" s="89">
        <v>1.5722333331775145</v>
      </c>
      <c r="H21" s="89">
        <v>0.8904974530543468</v>
      </c>
      <c r="I21" s="89">
        <v>0.79120448066777604</v>
      </c>
      <c r="J21" s="89">
        <v>1.2349156395128236</v>
      </c>
      <c r="K21" s="89">
        <v>0.99948468311946292</v>
      </c>
      <c r="L21" s="89">
        <v>0.80853670018546642</v>
      </c>
      <c r="M21" s="89">
        <v>0.55554631567753365</v>
      </c>
      <c r="N21" s="89">
        <v>1.4254025986969905</v>
      </c>
      <c r="O21" s="89">
        <v>0.80015173369479065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0.61032581788001372</v>
      </c>
      <c r="E24" s="89">
        <v>0.68572723339423003</v>
      </c>
      <c r="F24" s="89">
        <v>1.37761736245875</v>
      </c>
      <c r="G24" s="89">
        <v>1.3942928419124172</v>
      </c>
      <c r="H24" s="89">
        <v>1.733596685373624</v>
      </c>
      <c r="I24" s="89">
        <v>1.6141759551376804</v>
      </c>
      <c r="J24" s="89">
        <v>0.71556055878553715</v>
      </c>
      <c r="K24" s="89">
        <v>0.80903430933365006</v>
      </c>
      <c r="L24" s="89">
        <v>1.5728026624125619</v>
      </c>
      <c r="M24" s="89">
        <v>0.56534894532628344</v>
      </c>
      <c r="N24" s="89">
        <v>1.1463238067606893</v>
      </c>
      <c r="O24" s="89">
        <v>1.4815593817940629</v>
      </c>
    </row>
    <row r="25" spans="2:15" x14ac:dyDescent="0.2">
      <c r="C25" s="36" t="s">
        <v>127</v>
      </c>
      <c r="D25" s="89">
        <v>1.1048195868334867</v>
      </c>
      <c r="E25" s="89">
        <v>1.065380678875411</v>
      </c>
      <c r="F25" s="89">
        <v>1.3064396066367576</v>
      </c>
      <c r="G25" s="89">
        <v>1.5266390088616431</v>
      </c>
      <c r="H25" s="89">
        <v>1.5947995837419537</v>
      </c>
      <c r="I25" s="89">
        <v>1.6080926665966577</v>
      </c>
      <c r="J25" s="89">
        <v>1.6186776977217299</v>
      </c>
      <c r="K25" s="89">
        <v>1.076044933877641</v>
      </c>
      <c r="L25" s="89">
        <v>1.2778514439156288</v>
      </c>
      <c r="M25" s="89">
        <v>1.0777728856039814</v>
      </c>
      <c r="N25" s="89">
        <v>0.60773666785428537</v>
      </c>
      <c r="O25" s="89">
        <v>0.80799331865870316</v>
      </c>
    </row>
    <row r="26" spans="2:15" x14ac:dyDescent="0.2">
      <c r="C26" s="36" t="s">
        <v>128</v>
      </c>
      <c r="D26" s="89">
        <v>0.65822705549823213</v>
      </c>
      <c r="E26" s="89">
        <v>0.77910366711829182</v>
      </c>
      <c r="F26" s="89">
        <v>1.399821500377822</v>
      </c>
      <c r="G26" s="89">
        <v>1.3997359586902332</v>
      </c>
      <c r="H26" s="89">
        <v>1.4792870248062235</v>
      </c>
      <c r="I26" s="89">
        <v>1.7822604953105663</v>
      </c>
      <c r="J26" s="89">
        <v>1.4812305198082696</v>
      </c>
      <c r="K26" s="89">
        <v>0.57736094722243236</v>
      </c>
      <c r="L26" s="89">
        <v>1.0354077237089583</v>
      </c>
      <c r="M26" s="89">
        <v>1.634481535478115</v>
      </c>
      <c r="N26" s="89">
        <v>0.9069338805491578</v>
      </c>
      <c r="O26" s="89">
        <v>1.2259898961284612</v>
      </c>
    </row>
    <row r="27" spans="2:15" x14ac:dyDescent="0.2">
      <c r="C27" s="36" t="s">
        <v>129</v>
      </c>
      <c r="D27" s="89">
        <v>0.93513320653782439</v>
      </c>
      <c r="E27" s="89">
        <v>0.76548131002956765</v>
      </c>
      <c r="F27" s="89">
        <v>0.97186126401549489</v>
      </c>
      <c r="G27" s="89">
        <v>1.6751878997256673</v>
      </c>
      <c r="H27" s="89">
        <v>1.5750524481436481</v>
      </c>
      <c r="I27" s="89">
        <v>1.4192932948673505</v>
      </c>
      <c r="J27" s="89">
        <v>0.63560063041091031</v>
      </c>
      <c r="K27" s="89">
        <v>1.6180864419068426</v>
      </c>
      <c r="L27" s="89">
        <v>1.6530374057602437</v>
      </c>
      <c r="M27" s="89">
        <v>1.3895291444481328</v>
      </c>
      <c r="N27" s="89">
        <v>1.304981686009608</v>
      </c>
      <c r="O27" s="89">
        <v>0.76907391218610688</v>
      </c>
    </row>
    <row r="28" spans="2:15" x14ac:dyDescent="0.2">
      <c r="C28" s="36" t="s">
        <v>130</v>
      </c>
      <c r="D28" s="89">
        <v>1.2766960828040994</v>
      </c>
      <c r="E28" s="89">
        <v>1.7651493559047313</v>
      </c>
      <c r="F28" s="89">
        <v>0.71563852674608197</v>
      </c>
      <c r="G28" s="89">
        <v>0.99779685406051177</v>
      </c>
      <c r="H28" s="89">
        <v>1.0306728397628016</v>
      </c>
      <c r="I28" s="89">
        <v>0.9011714998314414</v>
      </c>
      <c r="J28" s="89">
        <v>1.6421588448494335</v>
      </c>
      <c r="K28" s="89">
        <v>0.98198370985557748</v>
      </c>
      <c r="L28" s="89">
        <v>1.4227725933071644</v>
      </c>
      <c r="M28" s="89">
        <v>1.4771677108878494</v>
      </c>
      <c r="N28" s="89">
        <v>0.95441743318603722</v>
      </c>
      <c r="O28" s="89">
        <v>1.5751149865026624</v>
      </c>
    </row>
    <row r="29" spans="2:15" x14ac:dyDescent="0.2">
      <c r="C29" s="36" t="s">
        <v>131</v>
      </c>
      <c r="D29" s="89">
        <v>1.6997328980999842</v>
      </c>
      <c r="E29" s="89">
        <v>0.8908161931101154</v>
      </c>
      <c r="F29" s="89">
        <v>0.64382309703944529</v>
      </c>
      <c r="G29" s="89">
        <v>1.2057481225628259</v>
      </c>
      <c r="H29" s="89">
        <v>1.0458930924761751</v>
      </c>
      <c r="I29" s="89">
        <v>1.5174472612404208</v>
      </c>
      <c r="J29" s="89">
        <v>1.3159871822404721</v>
      </c>
      <c r="K29" s="89">
        <v>0.89451028080273076</v>
      </c>
      <c r="L29" s="89">
        <v>0.61655375618402664</v>
      </c>
      <c r="M29" s="89">
        <v>0.7182767470991317</v>
      </c>
      <c r="N29" s="89">
        <v>1.147832966983827</v>
      </c>
      <c r="O29" s="89">
        <v>1.6188288247384353</v>
      </c>
    </row>
    <row r="30" spans="2:15" x14ac:dyDescent="0.2">
      <c r="C30" s="37" t="s">
        <v>132</v>
      </c>
      <c r="D30" s="89">
        <v>1.5904834608790486</v>
      </c>
      <c r="E30" s="89">
        <v>1.3642210161834667</v>
      </c>
      <c r="F30" s="89">
        <v>1.2890933084374132</v>
      </c>
      <c r="G30" s="89">
        <v>0.68373417269435266</v>
      </c>
      <c r="H30" s="89">
        <v>1.7211445401067886</v>
      </c>
      <c r="I30" s="89">
        <v>0.76635751865296686</v>
      </c>
      <c r="J30" s="89">
        <v>0.93828790845906529</v>
      </c>
      <c r="K30" s="89">
        <v>0.83522351304570119</v>
      </c>
      <c r="L30" s="89">
        <v>0.97159772939964673</v>
      </c>
      <c r="M30" s="89">
        <v>0.92125364378686303</v>
      </c>
      <c r="N30" s="89">
        <v>1.0045177519166499</v>
      </c>
      <c r="O30" s="89">
        <v>0.50379896594893969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1.6880147491239723</v>
      </c>
      <c r="E33" s="89">
        <v>1.7126923484098446</v>
      </c>
      <c r="F33" s="89">
        <v>1.3017058409639046</v>
      </c>
      <c r="G33" s="89">
        <v>0.71740608504109038</v>
      </c>
      <c r="H33" s="89">
        <v>1.6137478002636141</v>
      </c>
      <c r="I33" s="89">
        <v>1.021198299785427</v>
      </c>
      <c r="J33" s="89">
        <v>1.4517843275289384</v>
      </c>
      <c r="K33" s="89">
        <v>1.2851618646293996</v>
      </c>
      <c r="L33" s="89">
        <v>0.68434957585268474</v>
      </c>
      <c r="M33" s="89">
        <v>1.6289223845629244</v>
      </c>
      <c r="N33" s="89">
        <v>0.7222614028954133</v>
      </c>
      <c r="O33" s="89">
        <v>1.1906739341345227</v>
      </c>
    </row>
    <row r="34" spans="3:15" x14ac:dyDescent="0.2">
      <c r="C34" s="36" t="s">
        <v>127</v>
      </c>
      <c r="D34" s="89">
        <v>1.5593677157540715</v>
      </c>
      <c r="E34" s="89">
        <v>0.77322171087858727</v>
      </c>
      <c r="F34" s="89">
        <v>1.5057695055104561</v>
      </c>
      <c r="G34" s="89">
        <v>1.5744137975469319</v>
      </c>
      <c r="H34" s="89">
        <v>0.96617949426675453</v>
      </c>
      <c r="I34" s="89">
        <v>0.66364324462429036</v>
      </c>
      <c r="J34" s="89">
        <v>1.6487671909888435</v>
      </c>
      <c r="K34" s="89">
        <v>0.93776639097550707</v>
      </c>
      <c r="L34" s="89">
        <v>1.6688688882765106</v>
      </c>
      <c r="M34" s="89">
        <v>0.773877251584699</v>
      </c>
      <c r="N34" s="89">
        <v>0.71890451705014347</v>
      </c>
      <c r="O34" s="89">
        <v>0.76319356451607112</v>
      </c>
    </row>
    <row r="35" spans="3:15" x14ac:dyDescent="0.2">
      <c r="C35" s="36" t="s">
        <v>128</v>
      </c>
      <c r="D35" s="89">
        <v>1.1419023570423503</v>
      </c>
      <c r="E35" s="89">
        <v>0.54255902289854008</v>
      </c>
      <c r="F35" s="89">
        <v>1.64774483273655</v>
      </c>
      <c r="G35" s="89">
        <v>0.55543004882199976</v>
      </c>
      <c r="H35" s="89">
        <v>0.60065351366880793</v>
      </c>
      <c r="I35" s="89">
        <v>0.88491840918185705</v>
      </c>
      <c r="J35" s="89">
        <v>1.5225491081019413</v>
      </c>
      <c r="K35" s="89">
        <v>0.61686213793011935</v>
      </c>
      <c r="L35" s="89">
        <v>0.78246115649264203</v>
      </c>
      <c r="M35" s="89">
        <v>1.2884084875587398</v>
      </c>
      <c r="N35" s="89">
        <v>1.6246341768293022</v>
      </c>
      <c r="O35" s="89">
        <v>1.5048676769765084</v>
      </c>
    </row>
    <row r="36" spans="3:15" x14ac:dyDescent="0.2">
      <c r="C36" s="36" t="s">
        <v>129</v>
      </c>
      <c r="D36" s="89">
        <v>1.3126728136602188</v>
      </c>
      <c r="E36" s="89">
        <v>0.67356574931955993</v>
      </c>
      <c r="F36" s="89">
        <v>1.5644076094318931</v>
      </c>
      <c r="G36" s="89">
        <v>1.170012427540567</v>
      </c>
      <c r="H36" s="89">
        <v>1.231762007284787</v>
      </c>
      <c r="I36" s="89">
        <v>1.5244878293185824</v>
      </c>
      <c r="J36" s="89">
        <v>1.221162349662934</v>
      </c>
      <c r="K36" s="89">
        <v>1.4685304363680345</v>
      </c>
      <c r="L36" s="89">
        <v>1.6772095802344658</v>
      </c>
      <c r="M36" s="89">
        <v>0.50676169751888456</v>
      </c>
      <c r="N36" s="89">
        <v>0.75857907937123981</v>
      </c>
      <c r="O36" s="89">
        <v>1.6524420170927885</v>
      </c>
    </row>
    <row r="37" spans="3:15" x14ac:dyDescent="0.2">
      <c r="C37" s="36" t="s">
        <v>130</v>
      </c>
      <c r="D37" s="89">
        <v>0.82329652911072315</v>
      </c>
      <c r="E37" s="89">
        <v>0.80578087974932278</v>
      </c>
      <c r="F37" s="89">
        <v>1.2346960693438764</v>
      </c>
      <c r="G37" s="89">
        <v>1.062161894722585</v>
      </c>
      <c r="H37" s="89">
        <v>1.3772497464309708</v>
      </c>
      <c r="I37" s="89">
        <v>0.61301373586015484</v>
      </c>
      <c r="J37" s="89">
        <v>0.51494110947635019</v>
      </c>
      <c r="K37" s="89">
        <v>1.3373457947616245</v>
      </c>
      <c r="L37" s="89">
        <v>1.4315058550755553</v>
      </c>
      <c r="M37" s="89">
        <v>1.3779566770794549</v>
      </c>
      <c r="N37" s="89">
        <v>0.71333364398585863</v>
      </c>
      <c r="O37" s="89">
        <v>1.5389530056312501</v>
      </c>
    </row>
    <row r="38" spans="3:15" x14ac:dyDescent="0.2">
      <c r="C38" s="36" t="s">
        <v>131</v>
      </c>
      <c r="D38" s="89">
        <v>1.2862332895565927</v>
      </c>
      <c r="E38" s="89">
        <v>1.1084352494263228</v>
      </c>
      <c r="F38" s="89">
        <v>1.1210167993914522</v>
      </c>
      <c r="G38" s="89">
        <v>0.78431269291654626</v>
      </c>
      <c r="H38" s="89">
        <v>1.6949936706303719</v>
      </c>
      <c r="I38" s="89">
        <v>0.59553723314183349</v>
      </c>
      <c r="J38" s="89">
        <v>0.61891589996474961</v>
      </c>
      <c r="K38" s="89">
        <v>1.4848303547401662</v>
      </c>
      <c r="L38" s="89">
        <v>0.87326829872488587</v>
      </c>
      <c r="M38" s="89">
        <v>1.1293007399994741</v>
      </c>
      <c r="N38" s="89">
        <v>1.0975948180542687</v>
      </c>
      <c r="O38" s="89">
        <v>0.72139521628261483</v>
      </c>
    </row>
    <row r="39" spans="3:15" x14ac:dyDescent="0.2">
      <c r="C39" s="37" t="s">
        <v>132</v>
      </c>
      <c r="D39" s="89">
        <v>1.4316343275377266</v>
      </c>
      <c r="E39" s="89">
        <v>1.7447679634245199</v>
      </c>
      <c r="F39" s="89">
        <v>1.1115323542540647</v>
      </c>
      <c r="G39" s="89">
        <v>1.3493255385480576</v>
      </c>
      <c r="H39" s="89">
        <v>0.63286003487347009</v>
      </c>
      <c r="I39" s="89">
        <v>1.7380792816030055</v>
      </c>
      <c r="J39" s="89">
        <v>1.1691612646155072</v>
      </c>
      <c r="K39" s="89">
        <v>1.0724892055039268</v>
      </c>
      <c r="L39" s="89">
        <v>1.5197790120636216</v>
      </c>
      <c r="M39" s="89">
        <v>1.0030176532341861</v>
      </c>
      <c r="N39" s="89">
        <v>1.7427065391726648</v>
      </c>
      <c r="O39" s="89">
        <v>1.6462649049373419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264246</v>
      </c>
      <c r="L7" s="189"/>
      <c r="M7" s="189" t="s">
        <v>355</v>
      </c>
      <c r="S7" s="194">
        <f>SUM(ORA!$D$127:$O$127)</f>
        <v>496819591.83620012</v>
      </c>
    </row>
    <row r="8" spans="1:20" x14ac:dyDescent="0.2">
      <c r="A8" s="189"/>
      <c r="B8" s="189" t="s">
        <v>356</v>
      </c>
      <c r="G8" s="192"/>
      <c r="H8" s="195">
        <f>SUM(POJ!$D$116:$O$116)</f>
        <v>73938.75</v>
      </c>
      <c r="L8" s="189"/>
      <c r="M8" s="189" t="s">
        <v>356</v>
      </c>
      <c r="S8" s="196">
        <f>SUM(POJ!$D$127:$O$127)</f>
        <v>148084503.36768007</v>
      </c>
    </row>
    <row r="9" spans="1:20" x14ac:dyDescent="0.2">
      <c r="A9" s="189"/>
      <c r="B9" s="189" t="s">
        <v>357</v>
      </c>
      <c r="G9" s="192"/>
      <c r="H9" s="195">
        <f>SUM(ROJ!$D$116:$O$116)</f>
        <v>21629.475000000002</v>
      </c>
      <c r="L9" s="189"/>
      <c r="M9" s="189" t="s">
        <v>357</v>
      </c>
      <c r="S9" s="196">
        <f>SUM(ROJ!$D$127:$O$127)</f>
        <v>45225518.994163744</v>
      </c>
    </row>
    <row r="10" spans="1:20" x14ac:dyDescent="0.2">
      <c r="A10" s="189"/>
      <c r="B10" s="189" t="s">
        <v>358</v>
      </c>
      <c r="G10" s="192"/>
      <c r="H10" s="197">
        <f>SUM(FCOJ!$D$116:$O$116)</f>
        <v>50079.53163203688</v>
      </c>
      <c r="L10" s="189"/>
      <c r="M10" s="189" t="s">
        <v>358</v>
      </c>
      <c r="S10" s="198">
        <f>SUM(FCOJ!$D$127:$O$127)</f>
        <v>91955715.169899896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782085329.36794388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530000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0</v>
      </c>
      <c r="L14" s="189"/>
      <c r="M14" s="189" t="s">
        <v>364</v>
      </c>
      <c r="S14" s="194">
        <f>SUM(grove!$C$58:$AX$63)</f>
        <v>758314491.38096201</v>
      </c>
    </row>
    <row r="15" spans="1:20" x14ac:dyDescent="0.2">
      <c r="A15" s="189"/>
      <c r="B15" s="189" t="s">
        <v>365</v>
      </c>
      <c r="G15" s="192"/>
      <c r="H15" s="197">
        <f>raw_materials!$P$36</f>
        <v>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367</v>
      </c>
      <c r="G16" s="192"/>
      <c r="H16" s="201">
        <v>76438.5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">
      <c r="A17" s="189"/>
      <c r="B17" s="189" t="s">
        <v>369</v>
      </c>
      <c r="G17" s="192"/>
      <c r="H17" s="202">
        <v>76438.5</v>
      </c>
      <c r="L17" s="189"/>
      <c r="M17" s="189" t="s">
        <v>370</v>
      </c>
      <c r="S17" s="196">
        <v>146642596.31999993</v>
      </c>
    </row>
    <row r="18" spans="1:21" x14ac:dyDescent="0.2">
      <c r="A18" s="189"/>
      <c r="B18" s="189" t="s">
        <v>371</v>
      </c>
      <c r="G18" s="192"/>
      <c r="H18" s="203">
        <v>22296.075000000001</v>
      </c>
      <c r="L18" s="189"/>
      <c r="M18" s="189" t="s">
        <v>372</v>
      </c>
      <c r="S18" s="198">
        <v>0</v>
      </c>
    </row>
    <row r="19" spans="1:21" x14ac:dyDescent="0.2">
      <c r="A19" s="189"/>
      <c r="B19" s="189" t="s">
        <v>373</v>
      </c>
      <c r="G19" s="192"/>
      <c r="H19" s="202">
        <v>20439</v>
      </c>
      <c r="L19" s="189"/>
      <c r="M19" s="189" t="s">
        <v>374</v>
      </c>
      <c r="S19" s="204" t="s">
        <v>375</v>
      </c>
      <c r="T19" s="205">
        <f>SUM($S$14:$S$18)</f>
        <v>904957087.70096195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74847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152877000</v>
      </c>
    </row>
    <row r="23" spans="1:21" x14ac:dyDescent="0.2">
      <c r="A23" s="189"/>
      <c r="B23" s="189" t="s">
        <v>381</v>
      </c>
      <c r="G23" s="192"/>
      <c r="H23" s="193">
        <f>SUM(raw_materials!$O$31:$O$35)</f>
        <v>0</v>
      </c>
      <c r="L23" s="189"/>
      <c r="M23" s="189" t="s">
        <v>382</v>
      </c>
      <c r="S23" s="196">
        <v>76438500</v>
      </c>
    </row>
    <row r="24" spans="1:21" x14ac:dyDescent="0.2">
      <c r="A24" s="189"/>
      <c r="B24" s="189" t="s">
        <v>383</v>
      </c>
      <c r="G24" s="192"/>
      <c r="H24" s="197">
        <f>SUM(raw_materials!$O$37:$O$41)</f>
        <v>0</v>
      </c>
      <c r="L24" s="189"/>
      <c r="M24" s="189" t="s">
        <v>384</v>
      </c>
      <c r="S24" s="198">
        <v>14492448.75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243807948.75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0</v>
      </c>
      <c r="L28" s="189"/>
      <c r="M28" s="189" t="s">
        <v>390</v>
      </c>
      <c r="S28" s="194">
        <v>0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0</v>
      </c>
      <c r="L29" s="189"/>
      <c r="M29" s="189" t="s">
        <v>392</v>
      </c>
      <c r="S29" s="196">
        <v>86451943.5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0</v>
      </c>
      <c r="L30" s="189"/>
      <c r="M30" s="189" t="s">
        <v>394</v>
      </c>
      <c r="S30" s="196">
        <v>45332955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353723512.46993893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485508410.96993893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0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401</v>
      </c>
      <c r="S35" s="194">
        <v>17370000</v>
      </c>
    </row>
    <row r="36" spans="1:21" x14ac:dyDescent="0.2">
      <c r="L36" s="189"/>
      <c r="M36" s="189" t="s">
        <v>402</v>
      </c>
      <c r="S36" s="196">
        <f>H33*12000000-H38*70/100*12000000</f>
        <v>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0</v>
      </c>
    </row>
    <row r="38" spans="1:21" x14ac:dyDescent="0.2">
      <c r="B38" s="189" t="s">
        <v>398</v>
      </c>
      <c r="H38" s="193">
        <f>COUNTIF(facilities!$H$6:$H$15,"=sold")</f>
        <v>0</v>
      </c>
      <c r="L38" s="189"/>
      <c r="M38" s="189" t="s">
        <v>405</v>
      </c>
      <c r="S38" s="196">
        <v>80650000</v>
      </c>
    </row>
    <row r="39" spans="1:21" x14ac:dyDescent="0.2">
      <c r="B39" s="189" t="s">
        <v>399</v>
      </c>
      <c r="H39" s="195">
        <f>COUNTIF(facilities!$H$36:$H$106,"=sold")</f>
        <v>0</v>
      </c>
      <c r="L39" s="189"/>
      <c r="M39" s="189" t="s">
        <v>406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407</v>
      </c>
      <c r="S40" s="196">
        <f>H28*6000+H30*80/100*6000</f>
        <v>0</v>
      </c>
    </row>
    <row r="41" spans="1:21" x14ac:dyDescent="0.2">
      <c r="L41" s="189"/>
      <c r="M41" s="189" t="s">
        <v>408</v>
      </c>
      <c r="S41" s="196">
        <v>0</v>
      </c>
    </row>
    <row r="42" spans="1:21" x14ac:dyDescent="0.2">
      <c r="L42" s="189"/>
      <c r="M42" s="189" t="s">
        <v>409</v>
      </c>
      <c r="S42" s="198">
        <f>H35*100000-H40*60/100*100000</f>
        <v>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98020000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-950208118.05295706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1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312</v>
      </c>
    </row>
    <row r="3" spans="2:14" x14ac:dyDescent="0.2">
      <c r="B3" s="109" t="s">
        <v>313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0.67741335649818157</v>
      </c>
      <c r="D5" s="106">
        <v>0.67306361198030706</v>
      </c>
      <c r="E5" s="106">
        <v>0.63429629856453007</v>
      </c>
      <c r="F5" s="106">
        <v>0.69808639721708632</v>
      </c>
      <c r="G5" s="106">
        <v>0.70724112769495295</v>
      </c>
      <c r="H5" s="106">
        <v>0.5980741799547814</v>
      </c>
      <c r="I5" s="106">
        <v>0.64506078081390494</v>
      </c>
      <c r="J5" s="106">
        <v>0.61950430111258814</v>
      </c>
      <c r="K5" s="106">
        <v>0.56488458101668704</v>
      </c>
      <c r="L5" s="106">
        <v>0.71102622222764644</v>
      </c>
      <c r="M5" s="106">
        <v>0.7237409010704714</v>
      </c>
      <c r="N5" s="106">
        <v>0.60245694919618742</v>
      </c>
    </row>
    <row r="6" spans="2:14" x14ac:dyDescent="0.2">
      <c r="B6" s="177" t="s">
        <v>105</v>
      </c>
      <c r="C6" s="106">
        <v>0.691208702247601</v>
      </c>
      <c r="D6" s="106">
        <v>0.70639888532671125</v>
      </c>
      <c r="E6" s="106">
        <v>0.76501668382618615</v>
      </c>
      <c r="F6" s="106">
        <v>0.72298609822691973</v>
      </c>
      <c r="G6" s="106">
        <v>1.1000000000000001</v>
      </c>
      <c r="H6" s="106">
        <v>0.64659236005882259</v>
      </c>
      <c r="I6" s="106">
        <v>0.68560090947596286</v>
      </c>
      <c r="J6" s="106">
        <v>0.75559927261542148</v>
      </c>
      <c r="K6" s="106">
        <v>0.68375421684460724</v>
      </c>
      <c r="L6" s="106">
        <v>0.64755122745263294</v>
      </c>
      <c r="M6" s="106">
        <v>0.63517291777709128</v>
      </c>
      <c r="N6" s="106">
        <v>0.63837736899357989</v>
      </c>
    </row>
    <row r="7" spans="2:14" x14ac:dyDescent="0.2">
      <c r="B7" s="177" t="s">
        <v>106</v>
      </c>
      <c r="C7" s="106">
        <v>0.74760657902859307</v>
      </c>
      <c r="D7" s="106">
        <v>0.74080361230218661</v>
      </c>
      <c r="E7" s="106">
        <v>0.8298758235733199</v>
      </c>
      <c r="F7" s="106">
        <v>0.77506638069977385</v>
      </c>
      <c r="G7" s="106">
        <v>0.76779382237498128</v>
      </c>
      <c r="H7" s="106">
        <v>0.74768532912835473</v>
      </c>
      <c r="I7" s="106">
        <v>0.82467407343282673</v>
      </c>
      <c r="J7" s="106">
        <v>0.71140085518471019</v>
      </c>
      <c r="K7" s="106">
        <v>0.759502607055347</v>
      </c>
      <c r="L7" s="106">
        <v>0.72680293984924138</v>
      </c>
      <c r="M7" s="106">
        <v>0.71092183472043169</v>
      </c>
      <c r="N7" s="106">
        <v>0.73518345285574338</v>
      </c>
    </row>
    <row r="8" spans="2:14" x14ac:dyDescent="0.2">
      <c r="B8" s="177" t="s">
        <v>107</v>
      </c>
      <c r="C8" s="106">
        <v>0.74188668678311898</v>
      </c>
      <c r="D8" s="106">
        <v>0.74118622729628425</v>
      </c>
      <c r="E8" s="106">
        <v>0.7788210606208763</v>
      </c>
      <c r="F8" s="106">
        <v>0.69670912194501333</v>
      </c>
      <c r="G8" s="106">
        <v>0.73675634680278757</v>
      </c>
      <c r="H8" s="106">
        <v>0.68704235712703154</v>
      </c>
      <c r="I8" s="106">
        <v>0.72054500128757304</v>
      </c>
      <c r="J8" s="106">
        <v>0.73222811197822635</v>
      </c>
      <c r="K8" s="106">
        <v>0.70228298792888555</v>
      </c>
      <c r="L8" s="106">
        <v>0.71493581395385453</v>
      </c>
      <c r="M8" s="106">
        <v>0.68316600733067545</v>
      </c>
      <c r="N8" s="106">
        <v>0.67111377312283682</v>
      </c>
    </row>
    <row r="9" spans="2:14" x14ac:dyDescent="0.2">
      <c r="B9" s="177" t="s">
        <v>108</v>
      </c>
      <c r="C9" s="106">
        <v>2.0939883327484132</v>
      </c>
      <c r="D9" s="106">
        <v>2.0252206122875216</v>
      </c>
      <c r="E9" s="106">
        <v>2.1070303654670717</v>
      </c>
      <c r="F9" s="106">
        <v>2.053831330537796</v>
      </c>
      <c r="G9" s="106">
        <v>2.0804877614974977</v>
      </c>
      <c r="H9" s="106">
        <v>2.0680904901027679</v>
      </c>
      <c r="I9" s="106">
        <v>2.0963162398338318</v>
      </c>
      <c r="J9" s="106">
        <v>2.0572871840000153</v>
      </c>
      <c r="K9" s="106">
        <v>2.08117977142334</v>
      </c>
      <c r="L9" s="106">
        <v>2.0578357493877411</v>
      </c>
      <c r="M9" s="106">
        <v>2.0766165947914126</v>
      </c>
      <c r="N9" s="106">
        <v>2.0927777206897735</v>
      </c>
    </row>
    <row r="10" spans="2:14" x14ac:dyDescent="0.2">
      <c r="B10" s="177" t="s">
        <v>109</v>
      </c>
      <c r="C10" s="106">
        <v>0.66053335666656499</v>
      </c>
      <c r="D10" s="106">
        <v>0.6172994077205658</v>
      </c>
      <c r="E10" s="106">
        <v>0.67065237760543828</v>
      </c>
      <c r="F10" s="106">
        <v>0.65839009881019595</v>
      </c>
      <c r="G10" s="106">
        <v>0.69553704261779792</v>
      </c>
      <c r="H10" s="106">
        <v>0.65176588892936704</v>
      </c>
      <c r="I10" s="106">
        <v>0.67382031679153442</v>
      </c>
      <c r="J10" s="106">
        <v>0.65418413281440735</v>
      </c>
      <c r="K10" s="106">
        <v>0.61726138591766355</v>
      </c>
      <c r="L10" s="106">
        <v>0.68427352309226996</v>
      </c>
      <c r="M10" s="106">
        <v>0.60825542211532591</v>
      </c>
      <c r="N10" s="106">
        <v>0.68000479340553288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314</v>
      </c>
      <c r="C12" s="107"/>
      <c r="D12" s="107"/>
      <c r="E12" s="107"/>
      <c r="F12" s="107"/>
      <c r="G12" s="107"/>
    </row>
    <row r="13" spans="2:14" x14ac:dyDescent="0.2">
      <c r="B13" s="177" t="s">
        <v>315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316</v>
      </c>
      <c r="C14" s="107">
        <v>0.3384819198766813</v>
      </c>
      <c r="D14" s="107">
        <v>0.3397383219801326</v>
      </c>
      <c r="E14" s="107">
        <v>0.34099118879763651</v>
      </c>
      <c r="F14" s="107">
        <v>0.34223699499089444</v>
      </c>
      <c r="G14" s="107">
        <v>0.34347223508891411</v>
      </c>
      <c r="H14" s="106">
        <v>0.34469343335176478</v>
      </c>
      <c r="I14" s="106">
        <v>0.34589715355067391</v>
      </c>
      <c r="J14" s="106">
        <v>0.34708000863694755</v>
      </c>
      <c r="K14" s="106">
        <v>0.34823867027250605</v>
      </c>
      <c r="L14" s="106">
        <v>0.34936987819521925</v>
      </c>
      <c r="M14" s="106">
        <v>0.35047044939268884</v>
      </c>
      <c r="N14" s="106">
        <v>0.35153728705866327</v>
      </c>
    </row>
    <row r="15" spans="2:14" x14ac:dyDescent="0.2">
      <c r="B15" s="176" t="s">
        <v>317</v>
      </c>
      <c r="C15" s="106">
        <v>1.1983436919155597</v>
      </c>
      <c r="D15" s="106">
        <v>1.2015209064278671</v>
      </c>
      <c r="E15" s="106">
        <v>1.2046891808390829</v>
      </c>
      <c r="F15" s="106">
        <v>1.2078396002039251</v>
      </c>
      <c r="G15" s="106">
        <v>1.2109632998179514</v>
      </c>
      <c r="H15" s="106">
        <v>1.2140514901612145</v>
      </c>
      <c r="I15" s="106">
        <v>1.2170954816303681</v>
      </c>
      <c r="J15" s="106">
        <v>1.2200867089896201</v>
      </c>
      <c r="K15" s="106">
        <v>1.2230167554717437</v>
      </c>
      <c r="L15" s="106">
        <v>1.2258773764613211</v>
      </c>
      <c r="M15" s="106">
        <v>1.2286605226935845</v>
      </c>
      <c r="N15" s="106">
        <v>1.2313583629035769</v>
      </c>
    </row>
    <row r="16" spans="2:14" x14ac:dyDescent="0.2">
      <c r="B16" s="107"/>
    </row>
    <row r="17" spans="2:14" x14ac:dyDescent="0.2">
      <c r="B17" s="109" t="s">
        <v>318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0.67741335649818157</v>
      </c>
      <c r="D19" s="106">
        <f t="shared" ref="D19:N20" si="0">D5</f>
        <v>0.67306361198030706</v>
      </c>
      <c r="E19" s="106">
        <f t="shared" si="0"/>
        <v>0.63429629856453007</v>
      </c>
      <c r="F19" s="106">
        <f t="shared" si="0"/>
        <v>0.69808639721708632</v>
      </c>
      <c r="G19" s="106">
        <f t="shared" si="0"/>
        <v>0.70724112769495295</v>
      </c>
      <c r="H19" s="106">
        <f t="shared" si="0"/>
        <v>0.5980741799547814</v>
      </c>
      <c r="I19" s="106">
        <f t="shared" si="0"/>
        <v>0.64506078081390494</v>
      </c>
      <c r="J19" s="106">
        <f t="shared" si="0"/>
        <v>0.61950430111258814</v>
      </c>
      <c r="K19" s="106">
        <f t="shared" si="0"/>
        <v>0.56488458101668704</v>
      </c>
      <c r="L19" s="106">
        <f t="shared" si="0"/>
        <v>0.71102622222764644</v>
      </c>
      <c r="M19" s="106">
        <f t="shared" si="0"/>
        <v>0.7237409010704714</v>
      </c>
      <c r="N19" s="106">
        <f t="shared" si="0"/>
        <v>0.60245694919618742</v>
      </c>
    </row>
    <row r="20" spans="2:14" x14ac:dyDescent="0.2">
      <c r="B20" s="179" t="s">
        <v>105</v>
      </c>
      <c r="C20" s="106">
        <f>C6</f>
        <v>0.691208702247601</v>
      </c>
      <c r="D20" s="106">
        <f t="shared" si="0"/>
        <v>0.70639888532671125</v>
      </c>
      <c r="E20" s="106">
        <f t="shared" si="0"/>
        <v>0.76501668382618615</v>
      </c>
      <c r="F20" s="106">
        <f t="shared" si="0"/>
        <v>0.72298609822691973</v>
      </c>
      <c r="G20" s="106">
        <f t="shared" si="0"/>
        <v>1.1000000000000001</v>
      </c>
      <c r="H20" s="106">
        <f t="shared" si="0"/>
        <v>0.64659236005882259</v>
      </c>
      <c r="I20" s="106">
        <f t="shared" si="0"/>
        <v>0.68560090947596286</v>
      </c>
      <c r="J20" s="106">
        <f t="shared" si="0"/>
        <v>0.75559927261542148</v>
      </c>
      <c r="K20" s="106">
        <f t="shared" si="0"/>
        <v>0.68375421684460724</v>
      </c>
      <c r="L20" s="106">
        <f t="shared" si="0"/>
        <v>0.64755122745263294</v>
      </c>
      <c r="M20" s="106">
        <f t="shared" si="0"/>
        <v>0.63517291777709128</v>
      </c>
      <c r="N20" s="106">
        <f t="shared" si="0"/>
        <v>0.63837736899357989</v>
      </c>
    </row>
    <row r="21" spans="2:14" x14ac:dyDescent="0.2">
      <c r="B21" s="179" t="s">
        <v>106</v>
      </c>
      <c r="C21" s="106">
        <f t="shared" ref="C21:N22" si="1">C7</f>
        <v>0.74760657902859307</v>
      </c>
      <c r="D21" s="106">
        <f t="shared" si="1"/>
        <v>0.74080361230218661</v>
      </c>
      <c r="E21" s="106">
        <f t="shared" si="1"/>
        <v>0.8298758235733199</v>
      </c>
      <c r="F21" s="106">
        <f t="shared" si="1"/>
        <v>0.77506638069977385</v>
      </c>
      <c r="G21" s="106">
        <f t="shared" si="1"/>
        <v>0.76779382237498128</v>
      </c>
      <c r="H21" s="106">
        <f t="shared" si="1"/>
        <v>0.74768532912835473</v>
      </c>
      <c r="I21" s="106">
        <f t="shared" si="1"/>
        <v>0.82467407343282673</v>
      </c>
      <c r="J21" s="106">
        <f t="shared" si="1"/>
        <v>0.71140085518471019</v>
      </c>
      <c r="K21" s="106">
        <f t="shared" si="1"/>
        <v>0.759502607055347</v>
      </c>
      <c r="L21" s="106">
        <f t="shared" si="1"/>
        <v>0.72680293984924138</v>
      </c>
      <c r="M21" s="106">
        <f t="shared" si="1"/>
        <v>0.71092183472043169</v>
      </c>
      <c r="N21" s="106">
        <f t="shared" si="1"/>
        <v>0.73518345285574338</v>
      </c>
    </row>
    <row r="22" spans="2:14" x14ac:dyDescent="0.2">
      <c r="B22" s="179" t="s">
        <v>107</v>
      </c>
      <c r="C22" s="106">
        <f t="shared" si="1"/>
        <v>0.74188668678311898</v>
      </c>
      <c r="D22" s="106">
        <f t="shared" si="1"/>
        <v>0.74118622729628425</v>
      </c>
      <c r="E22" s="106">
        <f t="shared" si="1"/>
        <v>0.7788210606208763</v>
      </c>
      <c r="F22" s="106">
        <f t="shared" si="1"/>
        <v>0.69670912194501333</v>
      </c>
      <c r="G22" s="106">
        <f t="shared" si="1"/>
        <v>0.73675634680278757</v>
      </c>
      <c r="H22" s="106">
        <f t="shared" si="1"/>
        <v>0.68704235712703154</v>
      </c>
      <c r="I22" s="106">
        <f t="shared" si="1"/>
        <v>0.72054500128757304</v>
      </c>
      <c r="J22" s="106">
        <f t="shared" si="1"/>
        <v>0.73222811197822635</v>
      </c>
      <c r="K22" s="106">
        <f t="shared" si="1"/>
        <v>0.70228298792888555</v>
      </c>
      <c r="L22" s="106">
        <f t="shared" si="1"/>
        <v>0.71493581395385453</v>
      </c>
      <c r="M22" s="106">
        <f t="shared" si="1"/>
        <v>0.68316600733067545</v>
      </c>
      <c r="N22" s="106">
        <f t="shared" si="1"/>
        <v>0.67111377312283682</v>
      </c>
    </row>
    <row r="23" spans="2:14" x14ac:dyDescent="0.2">
      <c r="B23" s="179" t="s">
        <v>108</v>
      </c>
      <c r="C23" s="106">
        <f>C9*C14</f>
        <v>0.70877719106805392</v>
      </c>
      <c r="D23" s="106">
        <f t="shared" ref="D23:N24" si="2">D9*D14</f>
        <v>0.68804505245813929</v>
      </c>
      <c r="E23" s="106">
        <f t="shared" si="2"/>
        <v>0.7184787891533353</v>
      </c>
      <c r="F23" s="106">
        <f t="shared" si="2"/>
        <v>0.70289706278140573</v>
      </c>
      <c r="G23" s="106">
        <f t="shared" si="2"/>
        <v>0.71458978151667718</v>
      </c>
      <c r="H23" s="106">
        <f t="shared" si="2"/>
        <v>0.71285721151565695</v>
      </c>
      <c r="I23" s="106">
        <f t="shared" si="2"/>
        <v>0.72510982030057425</v>
      </c>
      <c r="J23" s="106">
        <f t="shared" si="2"/>
        <v>0.71404325359140686</v>
      </c>
      <c r="K23" s="106">
        <f t="shared" si="2"/>
        <v>0.72474727619850199</v>
      </c>
      <c r="L23" s="106">
        <f t="shared" si="2"/>
        <v>0.71894582510936278</v>
      </c>
      <c r="M23" s="106">
        <f t="shared" si="2"/>
        <v>0.72779275119286158</v>
      </c>
      <c r="N23" s="106">
        <f t="shared" si="2"/>
        <v>0.73568940234809599</v>
      </c>
    </row>
    <row r="24" spans="2:14" x14ac:dyDescent="0.2">
      <c r="B24" s="179" t="s">
        <v>109</v>
      </c>
      <c r="C24" s="106">
        <f>C10*C15</f>
        <v>0.79154598126118869</v>
      </c>
      <c r="D24" s="106">
        <f t="shared" si="2"/>
        <v>0.74169814390179978</v>
      </c>
      <c r="E24" s="106">
        <f t="shared" si="2"/>
        <v>0.80792766340527877</v>
      </c>
      <c r="F24" s="106">
        <f t="shared" si="2"/>
        <v>0.79522963372512978</v>
      </c>
      <c r="G24" s="106">
        <f t="shared" si="2"/>
        <v>0.8422698322740676</v>
      </c>
      <c r="H24" s="106">
        <f t="shared" si="2"/>
        <v>0.79127734869094668</v>
      </c>
      <c r="I24" s="106">
        <f t="shared" si="2"/>
        <v>0.82010366299771975</v>
      </c>
      <c r="J24" s="106">
        <f t="shared" si="2"/>
        <v>0.79816136567875884</v>
      </c>
      <c r="K24" s="106">
        <f t="shared" si="2"/>
        <v>0.75492101748301277</v>
      </c>
      <c r="L24" s="106">
        <f t="shared" si="2"/>
        <v>0.83883543127029714</v>
      </c>
      <c r="M24" s="106">
        <f t="shared" si="2"/>
        <v>0.74733942486742322</v>
      </c>
      <c r="N24" s="106">
        <f t="shared" si="2"/>
        <v>0.83732958917442202</v>
      </c>
    </row>
    <row r="25" spans="2:14" x14ac:dyDescent="0.2">
      <c r="B25" s="178"/>
    </row>
    <row r="26" spans="2:14" x14ac:dyDescent="0.2">
      <c r="B26" s="110" t="s">
        <v>319</v>
      </c>
    </row>
    <row r="27" spans="2:14" x14ac:dyDescent="0.2">
      <c r="B27" s="105" t="s">
        <v>320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321</v>
      </c>
    </row>
    <row r="36" spans="2:50" x14ac:dyDescent="0.2">
      <c r="B36" s="176" t="s">
        <v>273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322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18412.167875441355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18948.968387818528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10776.21985637031</v>
      </c>
      <c r="O39" s="106">
        <v>10799.093890388011</v>
      </c>
      <c r="P39" s="106">
        <v>10821.928499769892</v>
      </c>
      <c r="Q39" s="106">
        <v>10844.720007468877</v>
      </c>
      <c r="R39" s="106">
        <v>15524.949631923135</v>
      </c>
      <c r="S39" s="106">
        <v>1555.7370056884831</v>
      </c>
      <c r="T39" s="106">
        <v>1558.9713203584963</v>
      </c>
      <c r="U39" s="106">
        <v>1562.1973858410449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1593.890621677428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11264.739066438493</v>
      </c>
      <c r="AK39" s="106">
        <v>11285.910170105573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3576.7894160882365</v>
      </c>
      <c r="M40" s="106">
        <v>3584.4366933411679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3711.8092913045384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3810.2053023342241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2132.277469039715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2178.031807963876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323</v>
      </c>
    </row>
    <row r="46" spans="2:50" x14ac:dyDescent="0.2">
      <c r="B46" s="105" t="s">
        <v>273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324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0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10000</v>
      </c>
      <c r="D52" s="106">
        <v>10000</v>
      </c>
      <c r="E52" s="106">
        <v>10000</v>
      </c>
      <c r="F52" s="106">
        <v>10000</v>
      </c>
      <c r="G52" s="106">
        <v>10000</v>
      </c>
      <c r="H52" s="106">
        <v>10000</v>
      </c>
      <c r="I52" s="106">
        <v>10000</v>
      </c>
      <c r="J52" s="106">
        <v>10000</v>
      </c>
      <c r="K52" s="106">
        <v>10000</v>
      </c>
      <c r="L52" s="106">
        <v>10000</v>
      </c>
      <c r="M52" s="106">
        <v>10000</v>
      </c>
      <c r="N52" s="106">
        <v>10000</v>
      </c>
      <c r="O52" s="106">
        <v>15000</v>
      </c>
      <c r="P52" s="106">
        <v>15000</v>
      </c>
      <c r="Q52" s="106">
        <v>15000</v>
      </c>
      <c r="R52" s="106">
        <v>15000</v>
      </c>
      <c r="S52" s="106">
        <v>15000</v>
      </c>
      <c r="T52" s="106">
        <v>15000</v>
      </c>
      <c r="U52" s="106">
        <v>15000</v>
      </c>
      <c r="V52" s="106">
        <v>15000</v>
      </c>
      <c r="W52" s="106">
        <v>12500</v>
      </c>
      <c r="X52" s="106">
        <v>12500</v>
      </c>
      <c r="Y52" s="106">
        <v>12500</v>
      </c>
      <c r="Z52" s="106">
        <v>12500</v>
      </c>
      <c r="AA52" s="106">
        <v>10000</v>
      </c>
      <c r="AB52" s="106">
        <v>10000</v>
      </c>
      <c r="AC52" s="106">
        <v>10000</v>
      </c>
      <c r="AD52" s="106">
        <v>10000</v>
      </c>
      <c r="AE52" s="106">
        <v>10000</v>
      </c>
      <c r="AF52" s="106">
        <v>10000</v>
      </c>
      <c r="AG52" s="106">
        <v>10000</v>
      </c>
      <c r="AH52" s="106">
        <v>10000</v>
      </c>
      <c r="AI52" s="106">
        <v>10000</v>
      </c>
      <c r="AJ52" s="106">
        <v>10000</v>
      </c>
      <c r="AK52" s="106">
        <v>10000</v>
      </c>
      <c r="AL52" s="106">
        <v>10000</v>
      </c>
      <c r="AM52" s="106">
        <v>10000</v>
      </c>
      <c r="AN52" s="106">
        <v>10000</v>
      </c>
      <c r="AO52" s="106">
        <v>10000</v>
      </c>
      <c r="AP52" s="106">
        <v>10000</v>
      </c>
      <c r="AQ52" s="106">
        <v>10000</v>
      </c>
      <c r="AR52" s="106">
        <v>10000</v>
      </c>
      <c r="AS52" s="106">
        <v>10000</v>
      </c>
      <c r="AT52" s="106">
        <v>10000</v>
      </c>
      <c r="AU52" s="106">
        <v>10000</v>
      </c>
      <c r="AV52" s="106">
        <v>10000</v>
      </c>
      <c r="AW52" s="106">
        <v>10000</v>
      </c>
      <c r="AX52" s="106">
        <v>10000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325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273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324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0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14175543.821361078</v>
      </c>
      <c r="D62" s="106">
        <v>14175543.821361078</v>
      </c>
      <c r="E62" s="106">
        <v>14175543.821361078</v>
      </c>
      <c r="F62" s="106">
        <v>14175543.821361078</v>
      </c>
      <c r="G62" s="106">
        <v>13760901.049162785</v>
      </c>
      <c r="H62" s="106">
        <v>13760901.049162785</v>
      </c>
      <c r="I62" s="106">
        <v>13760901.049162785</v>
      </c>
      <c r="J62" s="106">
        <v>13760901.049162785</v>
      </c>
      <c r="K62" s="106">
        <v>14369575.783066707</v>
      </c>
      <c r="L62" s="106">
        <v>14369575.783066707</v>
      </c>
      <c r="M62" s="106">
        <v>14369575.783066707</v>
      </c>
      <c r="N62" s="106">
        <v>14369575.783066707</v>
      </c>
      <c r="O62" s="106">
        <v>21086911.883442171</v>
      </c>
      <c r="P62" s="106">
        <v>21086911.883442171</v>
      </c>
      <c r="Q62" s="106">
        <v>21086911.883442171</v>
      </c>
      <c r="R62" s="106">
        <v>21086911.883442171</v>
      </c>
      <c r="S62" s="106">
        <v>21437693.445500314</v>
      </c>
      <c r="T62" s="106">
        <v>21437693.445500314</v>
      </c>
      <c r="U62" s="106">
        <v>21437693.445500314</v>
      </c>
      <c r="V62" s="106">
        <v>21437693.445500314</v>
      </c>
      <c r="W62" s="106">
        <v>17821430.287891425</v>
      </c>
      <c r="X62" s="106">
        <v>17821430.287891425</v>
      </c>
      <c r="Y62" s="106">
        <v>17821430.287891425</v>
      </c>
      <c r="Z62" s="106">
        <v>17821430.287891425</v>
      </c>
      <c r="AA62" s="106">
        <v>14502196.406011485</v>
      </c>
      <c r="AB62" s="106">
        <v>14502196.406011485</v>
      </c>
      <c r="AC62" s="106">
        <v>14502196.406011485</v>
      </c>
      <c r="AD62" s="106">
        <v>14502196.406011485</v>
      </c>
      <c r="AE62" s="106">
        <v>14280865.071828136</v>
      </c>
      <c r="AF62" s="106">
        <v>14280865.071828136</v>
      </c>
      <c r="AG62" s="106">
        <v>14280865.071828136</v>
      </c>
      <c r="AH62" s="106">
        <v>14280865.071828136</v>
      </c>
      <c r="AI62" s="106">
        <v>14494945.52397004</v>
      </c>
      <c r="AJ62" s="106">
        <v>14494945.52397004</v>
      </c>
      <c r="AK62" s="106">
        <v>14494945.52397004</v>
      </c>
      <c r="AL62" s="106">
        <v>14494945.52397004</v>
      </c>
      <c r="AM62" s="106">
        <v>14378916.502187256</v>
      </c>
      <c r="AN62" s="106">
        <v>14378916.502187256</v>
      </c>
      <c r="AO62" s="106">
        <v>14378916.502187256</v>
      </c>
      <c r="AP62" s="106">
        <v>14378916.502187256</v>
      </c>
      <c r="AQ62" s="106">
        <v>14555855.023857232</v>
      </c>
      <c r="AR62" s="106">
        <v>14555855.023857232</v>
      </c>
      <c r="AS62" s="106">
        <v>14555855.023857232</v>
      </c>
      <c r="AT62" s="106">
        <v>14555855.023857232</v>
      </c>
      <c r="AU62" s="106">
        <v>14713788.04696192</v>
      </c>
      <c r="AV62" s="106">
        <v>14713788.04696192</v>
      </c>
      <c r="AW62" s="106">
        <v>14713788.04696192</v>
      </c>
      <c r="AX62" s="106">
        <v>14713788.04696192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326</v>
      </c>
    </row>
    <row r="66" spans="1:14" x14ac:dyDescent="0.2">
      <c r="B66" s="105" t="s">
        <v>327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328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329</v>
      </c>
      <c r="C68" s="106">
        <v>0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</row>
    <row r="70" spans="1:14" x14ac:dyDescent="0.2">
      <c r="B70" s="110" t="s">
        <v>330</v>
      </c>
    </row>
    <row r="71" spans="1:14" x14ac:dyDescent="0.2">
      <c r="A71" s="111" t="s">
        <v>121</v>
      </c>
      <c r="B71" s="111" t="s">
        <v>331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0</v>
      </c>
      <c r="D72" s="106">
        <v>0</v>
      </c>
    </row>
    <row r="73" spans="1:14" x14ac:dyDescent="0.2">
      <c r="B73" s="111" t="s">
        <v>93</v>
      </c>
      <c r="C73" s="106">
        <v>0</v>
      </c>
      <c r="D73" s="106">
        <v>0</v>
      </c>
    </row>
    <row r="74" spans="1:14" x14ac:dyDescent="0.2">
      <c r="B74" s="111" t="s">
        <v>94</v>
      </c>
      <c r="C74" s="106">
        <v>0</v>
      </c>
      <c r="D74" s="106">
        <v>0</v>
      </c>
    </row>
    <row r="75" spans="1:14" x14ac:dyDescent="0.2">
      <c r="B75" s="111" t="s">
        <v>95</v>
      </c>
      <c r="C75" s="106">
        <v>0</v>
      </c>
      <c r="D75" s="106">
        <v>0</v>
      </c>
    </row>
    <row r="76" spans="1:14" x14ac:dyDescent="0.2">
      <c r="B76" s="111" t="s">
        <v>96</v>
      </c>
      <c r="C76" s="106">
        <v>0</v>
      </c>
      <c r="D76" s="106">
        <v>0</v>
      </c>
    </row>
    <row r="77" spans="1:14" x14ac:dyDescent="0.2">
      <c r="B77" s="111" t="s">
        <v>97</v>
      </c>
      <c r="C77" s="106">
        <v>0</v>
      </c>
      <c r="D77" s="106">
        <v>0</v>
      </c>
    </row>
    <row r="78" spans="1:14" x14ac:dyDescent="0.2">
      <c r="B78" s="111" t="s">
        <v>98</v>
      </c>
      <c r="C78" s="106">
        <v>0</v>
      </c>
      <c r="D78" s="106">
        <v>0</v>
      </c>
    </row>
    <row r="79" spans="1:14" x14ac:dyDescent="0.2">
      <c r="B79" s="111" t="s">
        <v>99</v>
      </c>
      <c r="C79" s="106">
        <v>0</v>
      </c>
      <c r="D79" s="106">
        <v>0</v>
      </c>
    </row>
    <row r="80" spans="1:14" x14ac:dyDescent="0.2">
      <c r="B80" s="111" t="s">
        <v>100</v>
      </c>
      <c r="C80" s="106">
        <v>0</v>
      </c>
      <c r="D80" s="106">
        <v>0</v>
      </c>
    </row>
    <row r="81" spans="2:50" x14ac:dyDescent="0.2">
      <c r="B81" s="111" t="s">
        <v>101</v>
      </c>
      <c r="C81" s="106">
        <v>0</v>
      </c>
      <c r="D81" s="106">
        <v>0</v>
      </c>
    </row>
    <row r="82" spans="2:50" x14ac:dyDescent="0.2">
      <c r="B82" s="111" t="s">
        <v>102</v>
      </c>
      <c r="C82" s="106">
        <v>0</v>
      </c>
      <c r="D82" s="106">
        <v>0</v>
      </c>
    </row>
    <row r="83" spans="2:50" x14ac:dyDescent="0.2">
      <c r="B83" s="111" t="s">
        <v>103</v>
      </c>
      <c r="C83" s="106">
        <v>0</v>
      </c>
      <c r="D83" s="106">
        <v>0</v>
      </c>
    </row>
    <row r="85" spans="2:50" x14ac:dyDescent="0.2">
      <c r="B85" s="109" t="s">
        <v>332</v>
      </c>
    </row>
    <row r="86" spans="2:50" x14ac:dyDescent="0.2">
      <c r="B86" s="105" t="s">
        <v>273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333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0</v>
      </c>
      <c r="D88" s="106">
        <f>D48+$C$67/4</f>
        <v>0</v>
      </c>
      <c r="E88" s="106">
        <f>E48+$C$67/4</f>
        <v>0</v>
      </c>
      <c r="F88" s="106">
        <f>F48+$C$67/4</f>
        <v>0</v>
      </c>
      <c r="G88" s="106">
        <f>G48+$D$67/4</f>
        <v>0</v>
      </c>
      <c r="H88" s="106">
        <f>H48+$D$67/4</f>
        <v>0</v>
      </c>
      <c r="I88" s="106">
        <f>I48+$D$67/4</f>
        <v>0</v>
      </c>
      <c r="J88" s="106">
        <f>J48+$D$67/4</f>
        <v>0</v>
      </c>
      <c r="K88" s="106">
        <f>K48+$E$67/4</f>
        <v>0</v>
      </c>
      <c r="L88" s="106">
        <f>L48+$E$67/4</f>
        <v>0</v>
      </c>
      <c r="M88" s="106">
        <f>M48+$E$67/4</f>
        <v>0</v>
      </c>
      <c r="N88" s="106">
        <f>N48+$E$67/4</f>
        <v>0</v>
      </c>
      <c r="O88" s="106">
        <f>O48+$F$67/4</f>
        <v>0</v>
      </c>
      <c r="P88" s="106">
        <f>P48+$F$67/4</f>
        <v>0</v>
      </c>
      <c r="Q88" s="106">
        <f>Q48+$F$67/4</f>
        <v>0</v>
      </c>
      <c r="R88" s="106">
        <f>R48+$F$67/4</f>
        <v>0</v>
      </c>
      <c r="S88" s="106">
        <f>S48+$G$67/4</f>
        <v>0</v>
      </c>
      <c r="T88" s="106">
        <f>T48+$G$67/4</f>
        <v>0</v>
      </c>
      <c r="U88" s="106">
        <f>U48+$G$67/4</f>
        <v>0</v>
      </c>
      <c r="V88" s="106">
        <f>V48+$G$67/4</f>
        <v>0</v>
      </c>
      <c r="W88" s="106">
        <f>W48+$H$67/4</f>
        <v>0</v>
      </c>
      <c r="X88" s="106">
        <f>X48+$H$67/4</f>
        <v>0</v>
      </c>
      <c r="Y88" s="106">
        <f>Y48+$H$67/4</f>
        <v>0</v>
      </c>
      <c r="Z88" s="106">
        <f>Z48+$H$67/4</f>
        <v>0</v>
      </c>
      <c r="AA88" s="106">
        <f>AA48+$I$67/4</f>
        <v>0</v>
      </c>
      <c r="AB88" s="106">
        <f>AB48+$I$67/4</f>
        <v>0</v>
      </c>
      <c r="AC88" s="106">
        <f>AC48+$I$67/4</f>
        <v>0</v>
      </c>
      <c r="AD88" s="106">
        <f>AD48+$I$67/4</f>
        <v>0</v>
      </c>
      <c r="AE88" s="106">
        <f>AE48+$J$67/4</f>
        <v>0</v>
      </c>
      <c r="AF88" s="106">
        <f>AF48+$J$67/4</f>
        <v>0</v>
      </c>
      <c r="AG88" s="106">
        <f>AG48+$J$67/4</f>
        <v>0</v>
      </c>
      <c r="AH88" s="106">
        <f>AH48+$J$67/4</f>
        <v>0</v>
      </c>
      <c r="AI88" s="106">
        <f>AI48+$K$67/4</f>
        <v>0</v>
      </c>
      <c r="AJ88" s="106">
        <f>AJ48+$K$67/4</f>
        <v>0</v>
      </c>
      <c r="AK88" s="106">
        <f>AK48+$K$67/4</f>
        <v>0</v>
      </c>
      <c r="AL88" s="106">
        <f>AL48+$K$67/4</f>
        <v>0</v>
      </c>
      <c r="AM88" s="106">
        <f>AM48+$L$67/4</f>
        <v>0</v>
      </c>
      <c r="AN88" s="106">
        <f>AN48+$L$67/4</f>
        <v>0</v>
      </c>
      <c r="AO88" s="106">
        <f>AO48+$L$67/4</f>
        <v>0</v>
      </c>
      <c r="AP88" s="106">
        <f>AP48+$L$67/4</f>
        <v>0</v>
      </c>
      <c r="AQ88" s="106">
        <f>AQ48+$M$67/4</f>
        <v>0</v>
      </c>
      <c r="AR88" s="106">
        <f>AR48+$M$67/4</f>
        <v>0</v>
      </c>
      <c r="AS88" s="106">
        <f>AS48+$M$67/4</f>
        <v>0</v>
      </c>
      <c r="AT88" s="106">
        <f>AT48+$M$67/4</f>
        <v>0</v>
      </c>
      <c r="AU88" s="106">
        <f>AU48+$N$67/4</f>
        <v>0</v>
      </c>
      <c r="AV88" s="106">
        <f>AV48+$N$67/4</f>
        <v>0</v>
      </c>
      <c r="AW88" s="106">
        <f>AW48+$N$67/4</f>
        <v>0</v>
      </c>
      <c r="AX88" s="106">
        <f>AX48+$N$67/4</f>
        <v>0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0</v>
      </c>
      <c r="D90" s="106">
        <f t="shared" si="4"/>
        <v>0</v>
      </c>
      <c r="E90" s="106">
        <f t="shared" si="4"/>
        <v>0</v>
      </c>
      <c r="F90" s="106">
        <f t="shared" si="4"/>
        <v>0</v>
      </c>
      <c r="G90" s="106">
        <f t="shared" si="4"/>
        <v>0</v>
      </c>
      <c r="H90" s="106">
        <f t="shared" si="4"/>
        <v>0</v>
      </c>
      <c r="I90" s="106">
        <f t="shared" si="4"/>
        <v>0</v>
      </c>
      <c r="J90" s="106">
        <f t="shared" si="4"/>
        <v>0</v>
      </c>
      <c r="K90" s="106">
        <f t="shared" si="4"/>
        <v>0</v>
      </c>
      <c r="L90" s="106">
        <f t="shared" si="4"/>
        <v>0</v>
      </c>
      <c r="M90" s="106">
        <f t="shared" si="4"/>
        <v>0</v>
      </c>
      <c r="N90" s="106">
        <f t="shared" si="4"/>
        <v>0</v>
      </c>
      <c r="O90" s="106">
        <f t="shared" si="4"/>
        <v>0</v>
      </c>
      <c r="P90" s="106">
        <f t="shared" si="4"/>
        <v>0</v>
      </c>
      <c r="Q90" s="106">
        <f t="shared" si="4"/>
        <v>0</v>
      </c>
      <c r="R90" s="106">
        <f t="shared" si="4"/>
        <v>0</v>
      </c>
      <c r="S90" s="106">
        <f t="shared" si="3"/>
        <v>0</v>
      </c>
      <c r="T90" s="106">
        <f t="shared" si="3"/>
        <v>0</v>
      </c>
      <c r="U90" s="106">
        <f t="shared" si="3"/>
        <v>0</v>
      </c>
      <c r="V90" s="106">
        <f t="shared" si="3"/>
        <v>0</v>
      </c>
      <c r="W90" s="106">
        <f t="shared" si="3"/>
        <v>0</v>
      </c>
      <c r="X90" s="106">
        <f t="shared" si="3"/>
        <v>0</v>
      </c>
      <c r="Y90" s="106">
        <f t="shared" si="3"/>
        <v>0</v>
      </c>
      <c r="Z90" s="106">
        <f t="shared" si="3"/>
        <v>0</v>
      </c>
      <c r="AA90" s="106">
        <f t="shared" si="3"/>
        <v>0</v>
      </c>
      <c r="AB90" s="106">
        <f t="shared" si="3"/>
        <v>0</v>
      </c>
      <c r="AC90" s="106">
        <f t="shared" si="3"/>
        <v>0</v>
      </c>
      <c r="AD90" s="106">
        <f t="shared" si="3"/>
        <v>0</v>
      </c>
      <c r="AE90" s="106">
        <f t="shared" si="3"/>
        <v>0</v>
      </c>
      <c r="AF90" s="106">
        <f t="shared" si="3"/>
        <v>0</v>
      </c>
      <c r="AG90" s="106">
        <f t="shared" si="3"/>
        <v>0</v>
      </c>
      <c r="AH90" s="106">
        <f t="shared" si="3"/>
        <v>0</v>
      </c>
      <c r="AI90" s="106">
        <f t="shared" si="3"/>
        <v>0</v>
      </c>
      <c r="AJ90" s="106">
        <f t="shared" si="3"/>
        <v>0</v>
      </c>
      <c r="AK90" s="106">
        <f t="shared" si="3"/>
        <v>0</v>
      </c>
      <c r="AL90" s="106">
        <f t="shared" si="3"/>
        <v>0</v>
      </c>
      <c r="AM90" s="106">
        <f t="shared" si="3"/>
        <v>0</v>
      </c>
      <c r="AN90" s="106">
        <f t="shared" si="3"/>
        <v>0</v>
      </c>
      <c r="AO90" s="106">
        <f t="shared" si="3"/>
        <v>0</v>
      </c>
      <c r="AP90" s="106">
        <f t="shared" si="3"/>
        <v>0</v>
      </c>
      <c r="AQ90" s="106">
        <f t="shared" si="3"/>
        <v>0</v>
      </c>
      <c r="AR90" s="106">
        <f t="shared" si="3"/>
        <v>0</v>
      </c>
      <c r="AS90" s="106">
        <f t="shared" si="3"/>
        <v>0</v>
      </c>
      <c r="AT90" s="106">
        <f t="shared" si="3"/>
        <v>0</v>
      </c>
      <c r="AU90" s="106">
        <f t="shared" si="3"/>
        <v>0</v>
      </c>
      <c r="AV90" s="106">
        <f t="shared" si="3"/>
        <v>0</v>
      </c>
      <c r="AW90" s="106">
        <f t="shared" si="3"/>
        <v>0</v>
      </c>
      <c r="AX90" s="106">
        <f t="shared" si="3"/>
        <v>0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10000</v>
      </c>
      <c r="D92" s="106">
        <f t="shared" si="4"/>
        <v>10000</v>
      </c>
      <c r="E92" s="106">
        <f t="shared" si="4"/>
        <v>10000</v>
      </c>
      <c r="F92" s="106">
        <f t="shared" si="4"/>
        <v>10000</v>
      </c>
      <c r="G92" s="106">
        <f t="shared" si="4"/>
        <v>10000</v>
      </c>
      <c r="H92" s="106">
        <f t="shared" si="4"/>
        <v>10000</v>
      </c>
      <c r="I92" s="106">
        <f t="shared" si="4"/>
        <v>10000</v>
      </c>
      <c r="J92" s="106">
        <f t="shared" si="4"/>
        <v>10000</v>
      </c>
      <c r="K92" s="106">
        <f t="shared" si="4"/>
        <v>10000</v>
      </c>
      <c r="L92" s="106">
        <f t="shared" si="4"/>
        <v>10000</v>
      </c>
      <c r="M92" s="106">
        <f t="shared" si="4"/>
        <v>10000</v>
      </c>
      <c r="N92" s="106">
        <f t="shared" si="4"/>
        <v>10000</v>
      </c>
      <c r="O92" s="106">
        <f t="shared" si="4"/>
        <v>15000</v>
      </c>
      <c r="P92" s="106">
        <f t="shared" si="4"/>
        <v>15000</v>
      </c>
      <c r="Q92" s="106">
        <f t="shared" si="4"/>
        <v>15000</v>
      </c>
      <c r="R92" s="106">
        <f t="shared" si="4"/>
        <v>15000</v>
      </c>
      <c r="S92" s="106">
        <f t="shared" si="3"/>
        <v>15000</v>
      </c>
      <c r="T92" s="106">
        <f t="shared" si="3"/>
        <v>15000</v>
      </c>
      <c r="U92" s="106">
        <f t="shared" si="3"/>
        <v>15000</v>
      </c>
      <c r="V92" s="106">
        <f t="shared" si="3"/>
        <v>15000</v>
      </c>
      <c r="W92" s="106">
        <f t="shared" si="3"/>
        <v>12500</v>
      </c>
      <c r="X92" s="106">
        <f t="shared" si="3"/>
        <v>12500</v>
      </c>
      <c r="Y92" s="106">
        <f t="shared" si="3"/>
        <v>12500</v>
      </c>
      <c r="Z92" s="106">
        <f t="shared" si="3"/>
        <v>12500</v>
      </c>
      <c r="AA92" s="106">
        <f t="shared" si="3"/>
        <v>10000</v>
      </c>
      <c r="AB92" s="106">
        <f t="shared" si="3"/>
        <v>10000</v>
      </c>
      <c r="AC92" s="106">
        <f t="shared" si="3"/>
        <v>10000</v>
      </c>
      <c r="AD92" s="106">
        <f t="shared" si="3"/>
        <v>10000</v>
      </c>
      <c r="AE92" s="106">
        <f t="shared" si="3"/>
        <v>10000</v>
      </c>
      <c r="AF92" s="106">
        <f t="shared" si="3"/>
        <v>10000</v>
      </c>
      <c r="AG92" s="106">
        <f t="shared" si="3"/>
        <v>10000</v>
      </c>
      <c r="AH92" s="106">
        <f t="shared" si="3"/>
        <v>10000</v>
      </c>
      <c r="AI92" s="106">
        <f t="shared" si="3"/>
        <v>10000</v>
      </c>
      <c r="AJ92" s="106">
        <f t="shared" si="3"/>
        <v>10000</v>
      </c>
      <c r="AK92" s="106">
        <f t="shared" si="3"/>
        <v>10000</v>
      </c>
      <c r="AL92" s="106">
        <f t="shared" si="3"/>
        <v>10000</v>
      </c>
      <c r="AM92" s="106">
        <f t="shared" si="3"/>
        <v>10000</v>
      </c>
      <c r="AN92" s="106">
        <f t="shared" si="3"/>
        <v>10000</v>
      </c>
      <c r="AO92" s="106">
        <f t="shared" si="3"/>
        <v>10000</v>
      </c>
      <c r="AP92" s="106">
        <f t="shared" si="3"/>
        <v>10000</v>
      </c>
      <c r="AQ92" s="106">
        <f t="shared" si="3"/>
        <v>10000</v>
      </c>
      <c r="AR92" s="106">
        <f t="shared" si="3"/>
        <v>10000</v>
      </c>
      <c r="AS92" s="106">
        <f t="shared" si="3"/>
        <v>10000</v>
      </c>
      <c r="AT92" s="106">
        <f t="shared" si="3"/>
        <v>10000</v>
      </c>
      <c r="AU92" s="106">
        <f t="shared" si="3"/>
        <v>10000</v>
      </c>
      <c r="AV92" s="106">
        <f t="shared" si="3"/>
        <v>10000</v>
      </c>
      <c r="AW92" s="106">
        <f t="shared" si="3"/>
        <v>10000</v>
      </c>
      <c r="AX92" s="106">
        <f t="shared" si="3"/>
        <v>10000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334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335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12</v>
      </c>
      <c r="C98" s="106">
        <v>0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</row>
    <row r="99" spans="1:50" x14ac:dyDescent="0.2">
      <c r="B99" s="111" t="s">
        <v>22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59</v>
      </c>
      <c r="C100" s="106">
        <v>0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</row>
    <row r="101" spans="1:50" x14ac:dyDescent="0.2">
      <c r="B101" s="106" t="s">
        <v>277</v>
      </c>
      <c r="C101" s="111">
        <f>SUM(C$98:C$100)</f>
        <v>0</v>
      </c>
      <c r="D101" s="111">
        <f t="shared" ref="D101:AX101" si="5">SUM(D$98:D$100)</f>
        <v>0</v>
      </c>
      <c r="E101" s="111">
        <f t="shared" si="5"/>
        <v>0</v>
      </c>
      <c r="F101" s="111">
        <f t="shared" si="5"/>
        <v>0</v>
      </c>
      <c r="G101" s="111">
        <f t="shared" si="5"/>
        <v>0</v>
      </c>
      <c r="H101" s="111">
        <f t="shared" si="5"/>
        <v>0</v>
      </c>
      <c r="I101" s="111">
        <f t="shared" si="5"/>
        <v>0</v>
      </c>
      <c r="J101" s="111">
        <f t="shared" si="5"/>
        <v>0</v>
      </c>
      <c r="K101" s="111">
        <f t="shared" si="5"/>
        <v>0</v>
      </c>
      <c r="L101" s="111">
        <f t="shared" si="5"/>
        <v>0</v>
      </c>
      <c r="M101" s="111">
        <f t="shared" si="5"/>
        <v>0</v>
      </c>
      <c r="N101" s="111">
        <f t="shared" si="5"/>
        <v>0</v>
      </c>
      <c r="O101" s="111">
        <f t="shared" si="5"/>
        <v>0</v>
      </c>
      <c r="P101" s="111">
        <f t="shared" si="5"/>
        <v>0</v>
      </c>
      <c r="Q101" s="111">
        <f t="shared" si="5"/>
        <v>0</v>
      </c>
      <c r="R101" s="111">
        <f t="shared" si="5"/>
        <v>0</v>
      </c>
      <c r="S101" s="111">
        <f t="shared" si="5"/>
        <v>0</v>
      </c>
      <c r="T101" s="111">
        <f t="shared" si="5"/>
        <v>0</v>
      </c>
      <c r="U101" s="111">
        <f t="shared" si="5"/>
        <v>0</v>
      </c>
      <c r="V101" s="111">
        <f t="shared" si="5"/>
        <v>0</v>
      </c>
      <c r="W101" s="111">
        <f t="shared" si="5"/>
        <v>0</v>
      </c>
      <c r="X101" s="111">
        <f t="shared" si="5"/>
        <v>0</v>
      </c>
      <c r="Y101" s="111">
        <f t="shared" si="5"/>
        <v>0</v>
      </c>
      <c r="Z101" s="111">
        <f t="shared" si="5"/>
        <v>0</v>
      </c>
      <c r="AA101" s="111">
        <f t="shared" si="5"/>
        <v>0</v>
      </c>
      <c r="AB101" s="111">
        <f t="shared" si="5"/>
        <v>0</v>
      </c>
      <c r="AC101" s="111">
        <f t="shared" si="5"/>
        <v>0</v>
      </c>
      <c r="AD101" s="111">
        <f t="shared" si="5"/>
        <v>0</v>
      </c>
      <c r="AE101" s="111">
        <f t="shared" si="5"/>
        <v>0</v>
      </c>
      <c r="AF101" s="111">
        <f t="shared" si="5"/>
        <v>0</v>
      </c>
      <c r="AG101" s="111">
        <f t="shared" si="5"/>
        <v>0</v>
      </c>
      <c r="AH101" s="111">
        <f t="shared" si="5"/>
        <v>0</v>
      </c>
      <c r="AI101" s="111">
        <f t="shared" si="5"/>
        <v>0</v>
      </c>
      <c r="AJ101" s="111">
        <f t="shared" si="5"/>
        <v>0</v>
      </c>
      <c r="AK101" s="111">
        <f t="shared" si="5"/>
        <v>0</v>
      </c>
      <c r="AL101" s="111">
        <f t="shared" si="5"/>
        <v>0</v>
      </c>
      <c r="AM101" s="111">
        <f t="shared" si="5"/>
        <v>0</v>
      </c>
      <c r="AN101" s="111">
        <f t="shared" si="5"/>
        <v>0</v>
      </c>
      <c r="AO101" s="111">
        <f t="shared" si="5"/>
        <v>0</v>
      </c>
      <c r="AP101" s="111">
        <f t="shared" si="5"/>
        <v>0</v>
      </c>
      <c r="AQ101" s="111">
        <f t="shared" si="5"/>
        <v>0</v>
      </c>
      <c r="AR101" s="111">
        <f t="shared" si="5"/>
        <v>0</v>
      </c>
      <c r="AS101" s="111">
        <f t="shared" si="5"/>
        <v>0</v>
      </c>
      <c r="AT101" s="111">
        <f t="shared" si="5"/>
        <v>0</v>
      </c>
      <c r="AU101" s="111">
        <f t="shared" si="5"/>
        <v>0</v>
      </c>
      <c r="AV101" s="111">
        <f t="shared" si="5"/>
        <v>0</v>
      </c>
      <c r="AW101" s="111">
        <f t="shared" si="5"/>
        <v>0</v>
      </c>
      <c r="AX101" s="111">
        <f t="shared" si="5"/>
        <v>0</v>
      </c>
    </row>
    <row r="102" spans="1:50" x14ac:dyDescent="0.2">
      <c r="A102" s="111" t="s">
        <v>105</v>
      </c>
      <c r="B102" s="111" t="s">
        <v>12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</row>
    <row r="103" spans="1:50" x14ac:dyDescent="0.2">
      <c r="B103" s="111" t="s">
        <v>22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</row>
    <row r="104" spans="1:50" x14ac:dyDescent="0.2">
      <c r="B104" s="111" t="s">
        <v>59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06" t="s">
        <v>277</v>
      </c>
      <c r="C105" s="111">
        <f>SUM(C$102:C$104)</f>
        <v>0</v>
      </c>
      <c r="D105" s="111">
        <f t="shared" ref="D105:AX105" si="6">SUM(D$102:D$104)</f>
        <v>0</v>
      </c>
      <c r="E105" s="111">
        <f t="shared" si="6"/>
        <v>0</v>
      </c>
      <c r="F105" s="111">
        <f t="shared" si="6"/>
        <v>0</v>
      </c>
      <c r="G105" s="111">
        <f t="shared" si="6"/>
        <v>0</v>
      </c>
      <c r="H105" s="111">
        <f t="shared" si="6"/>
        <v>0</v>
      </c>
      <c r="I105" s="111">
        <f t="shared" si="6"/>
        <v>0</v>
      </c>
      <c r="J105" s="111">
        <f t="shared" si="6"/>
        <v>0</v>
      </c>
      <c r="K105" s="111">
        <f t="shared" si="6"/>
        <v>0</v>
      </c>
      <c r="L105" s="111">
        <f t="shared" si="6"/>
        <v>0</v>
      </c>
      <c r="M105" s="111">
        <f t="shared" si="6"/>
        <v>0</v>
      </c>
      <c r="N105" s="111">
        <f t="shared" si="6"/>
        <v>0</v>
      </c>
      <c r="O105" s="111">
        <f t="shared" si="6"/>
        <v>0</v>
      </c>
      <c r="P105" s="111">
        <f t="shared" si="6"/>
        <v>0</v>
      </c>
      <c r="Q105" s="111">
        <f t="shared" si="6"/>
        <v>0</v>
      </c>
      <c r="R105" s="111">
        <f t="shared" si="6"/>
        <v>0</v>
      </c>
      <c r="S105" s="111">
        <f t="shared" si="6"/>
        <v>0</v>
      </c>
      <c r="T105" s="111">
        <f t="shared" si="6"/>
        <v>0</v>
      </c>
      <c r="U105" s="111">
        <f t="shared" si="6"/>
        <v>0</v>
      </c>
      <c r="V105" s="111">
        <f t="shared" si="6"/>
        <v>0</v>
      </c>
      <c r="W105" s="111">
        <f t="shared" si="6"/>
        <v>0</v>
      </c>
      <c r="X105" s="111">
        <f t="shared" si="6"/>
        <v>0</v>
      </c>
      <c r="Y105" s="111">
        <f t="shared" si="6"/>
        <v>0</v>
      </c>
      <c r="Z105" s="111">
        <f t="shared" si="6"/>
        <v>0</v>
      </c>
      <c r="AA105" s="111">
        <f t="shared" si="6"/>
        <v>0</v>
      </c>
      <c r="AB105" s="111">
        <f t="shared" si="6"/>
        <v>0</v>
      </c>
      <c r="AC105" s="111">
        <f t="shared" si="6"/>
        <v>0</v>
      </c>
      <c r="AD105" s="111">
        <f t="shared" si="6"/>
        <v>0</v>
      </c>
      <c r="AE105" s="111">
        <f t="shared" si="6"/>
        <v>0</v>
      </c>
      <c r="AF105" s="111">
        <f t="shared" si="6"/>
        <v>0</v>
      </c>
      <c r="AG105" s="111">
        <f t="shared" si="6"/>
        <v>0</v>
      </c>
      <c r="AH105" s="111">
        <f t="shared" si="6"/>
        <v>0</v>
      </c>
      <c r="AI105" s="111">
        <f t="shared" si="6"/>
        <v>0</v>
      </c>
      <c r="AJ105" s="111">
        <f t="shared" si="6"/>
        <v>0</v>
      </c>
      <c r="AK105" s="111">
        <f t="shared" si="6"/>
        <v>0</v>
      </c>
      <c r="AL105" s="111">
        <f t="shared" si="6"/>
        <v>0</v>
      </c>
      <c r="AM105" s="111">
        <f t="shared" si="6"/>
        <v>0</v>
      </c>
      <c r="AN105" s="111">
        <f t="shared" si="6"/>
        <v>0</v>
      </c>
      <c r="AO105" s="111">
        <f t="shared" si="6"/>
        <v>0</v>
      </c>
      <c r="AP105" s="111">
        <f t="shared" si="6"/>
        <v>0</v>
      </c>
      <c r="AQ105" s="111">
        <f t="shared" si="6"/>
        <v>0</v>
      </c>
      <c r="AR105" s="111">
        <f t="shared" si="6"/>
        <v>0</v>
      </c>
      <c r="AS105" s="111">
        <f t="shared" si="6"/>
        <v>0</v>
      </c>
      <c r="AT105" s="111">
        <f t="shared" si="6"/>
        <v>0</v>
      </c>
      <c r="AU105" s="111">
        <f t="shared" si="6"/>
        <v>0</v>
      </c>
      <c r="AV105" s="111">
        <f t="shared" si="6"/>
        <v>0</v>
      </c>
      <c r="AW105" s="111">
        <f t="shared" si="6"/>
        <v>0</v>
      </c>
      <c r="AX105" s="111">
        <f t="shared" si="6"/>
        <v>0</v>
      </c>
    </row>
    <row r="106" spans="1:50" x14ac:dyDescent="0.2">
      <c r="A106" s="111" t="s">
        <v>106</v>
      </c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277</v>
      </c>
      <c r="C109" s="111">
        <f>SUM(C$106:C$108)</f>
        <v>0</v>
      </c>
      <c r="D109" s="111">
        <f t="shared" ref="D109:AX109" si="7">SUM(D$106:D$108)</f>
        <v>0</v>
      </c>
      <c r="E109" s="111">
        <f t="shared" si="7"/>
        <v>0</v>
      </c>
      <c r="F109" s="111">
        <f t="shared" si="7"/>
        <v>0</v>
      </c>
      <c r="G109" s="111">
        <f t="shared" si="7"/>
        <v>0</v>
      </c>
      <c r="H109" s="111">
        <f t="shared" si="7"/>
        <v>0</v>
      </c>
      <c r="I109" s="111">
        <f t="shared" si="7"/>
        <v>0</v>
      </c>
      <c r="J109" s="111">
        <f t="shared" si="7"/>
        <v>0</v>
      </c>
      <c r="K109" s="111">
        <f t="shared" si="7"/>
        <v>0</v>
      </c>
      <c r="L109" s="111">
        <f t="shared" si="7"/>
        <v>0</v>
      </c>
      <c r="M109" s="111">
        <f t="shared" si="7"/>
        <v>0</v>
      </c>
      <c r="N109" s="111">
        <f t="shared" si="7"/>
        <v>0</v>
      </c>
      <c r="O109" s="111">
        <f t="shared" si="7"/>
        <v>0</v>
      </c>
      <c r="P109" s="111">
        <f t="shared" si="7"/>
        <v>0</v>
      </c>
      <c r="Q109" s="111">
        <f t="shared" si="7"/>
        <v>0</v>
      </c>
      <c r="R109" s="111">
        <f t="shared" si="7"/>
        <v>0</v>
      </c>
      <c r="S109" s="111">
        <f t="shared" si="7"/>
        <v>0</v>
      </c>
      <c r="T109" s="111">
        <f t="shared" si="7"/>
        <v>0</v>
      </c>
      <c r="U109" s="111">
        <f t="shared" si="7"/>
        <v>0</v>
      </c>
      <c r="V109" s="111">
        <f t="shared" si="7"/>
        <v>0</v>
      </c>
      <c r="W109" s="111">
        <f t="shared" si="7"/>
        <v>0</v>
      </c>
      <c r="X109" s="111">
        <f t="shared" si="7"/>
        <v>0</v>
      </c>
      <c r="Y109" s="111">
        <f t="shared" si="7"/>
        <v>0</v>
      </c>
      <c r="Z109" s="111">
        <f t="shared" si="7"/>
        <v>0</v>
      </c>
      <c r="AA109" s="111">
        <f t="shared" si="7"/>
        <v>0</v>
      </c>
      <c r="AB109" s="111">
        <f t="shared" si="7"/>
        <v>0</v>
      </c>
      <c r="AC109" s="111">
        <f t="shared" si="7"/>
        <v>0</v>
      </c>
      <c r="AD109" s="111">
        <f t="shared" si="7"/>
        <v>0</v>
      </c>
      <c r="AE109" s="111">
        <f t="shared" si="7"/>
        <v>0</v>
      </c>
      <c r="AF109" s="111">
        <f t="shared" si="7"/>
        <v>0</v>
      </c>
      <c r="AG109" s="111">
        <f t="shared" si="7"/>
        <v>0</v>
      </c>
      <c r="AH109" s="111">
        <f t="shared" si="7"/>
        <v>0</v>
      </c>
      <c r="AI109" s="111">
        <f t="shared" si="7"/>
        <v>0</v>
      </c>
      <c r="AJ109" s="111">
        <f t="shared" si="7"/>
        <v>0</v>
      </c>
      <c r="AK109" s="111">
        <f t="shared" si="7"/>
        <v>0</v>
      </c>
      <c r="AL109" s="111">
        <f t="shared" si="7"/>
        <v>0</v>
      </c>
      <c r="AM109" s="111">
        <f t="shared" si="7"/>
        <v>0</v>
      </c>
      <c r="AN109" s="111">
        <f t="shared" si="7"/>
        <v>0</v>
      </c>
      <c r="AO109" s="111">
        <f t="shared" si="7"/>
        <v>0</v>
      </c>
      <c r="AP109" s="111">
        <f t="shared" si="7"/>
        <v>0</v>
      </c>
      <c r="AQ109" s="111">
        <f t="shared" si="7"/>
        <v>0</v>
      </c>
      <c r="AR109" s="111">
        <f t="shared" si="7"/>
        <v>0</v>
      </c>
      <c r="AS109" s="111">
        <f t="shared" si="7"/>
        <v>0</v>
      </c>
      <c r="AT109" s="111">
        <f t="shared" si="7"/>
        <v>0</v>
      </c>
      <c r="AU109" s="111">
        <f t="shared" si="7"/>
        <v>0</v>
      </c>
      <c r="AV109" s="111">
        <f t="shared" si="7"/>
        <v>0</v>
      </c>
      <c r="AW109" s="111">
        <f t="shared" si="7"/>
        <v>0</v>
      </c>
      <c r="AX109" s="111">
        <f t="shared" si="7"/>
        <v>0</v>
      </c>
    </row>
    <row r="110" spans="1:50" x14ac:dyDescent="0.2">
      <c r="A110" s="111" t="s">
        <v>107</v>
      </c>
      <c r="B110" s="111" t="s">
        <v>12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22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59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07" t="s">
        <v>277</v>
      </c>
      <c r="C113" s="111">
        <f>SUM(C$110:C$112)</f>
        <v>0</v>
      </c>
      <c r="D113" s="111">
        <f t="shared" ref="D113:AX113" si="8">SUM(D$110:D$112)</f>
        <v>0</v>
      </c>
      <c r="E113" s="111">
        <f t="shared" si="8"/>
        <v>0</v>
      </c>
      <c r="F113" s="111">
        <f t="shared" si="8"/>
        <v>0</v>
      </c>
      <c r="G113" s="111">
        <f t="shared" si="8"/>
        <v>0</v>
      </c>
      <c r="H113" s="111">
        <f t="shared" si="8"/>
        <v>0</v>
      </c>
      <c r="I113" s="111">
        <f t="shared" si="8"/>
        <v>0</v>
      </c>
      <c r="J113" s="111">
        <f t="shared" si="8"/>
        <v>0</v>
      </c>
      <c r="K113" s="111">
        <f t="shared" si="8"/>
        <v>0</v>
      </c>
      <c r="L113" s="111">
        <f t="shared" si="8"/>
        <v>0</v>
      </c>
      <c r="M113" s="111">
        <f t="shared" si="8"/>
        <v>0</v>
      </c>
      <c r="N113" s="111">
        <f t="shared" si="8"/>
        <v>0</v>
      </c>
      <c r="O113" s="111">
        <f t="shared" si="8"/>
        <v>0</v>
      </c>
      <c r="P113" s="111">
        <f t="shared" si="8"/>
        <v>0</v>
      </c>
      <c r="Q113" s="111">
        <f t="shared" si="8"/>
        <v>0</v>
      </c>
      <c r="R113" s="111">
        <f t="shared" si="8"/>
        <v>0</v>
      </c>
      <c r="S113" s="111">
        <f t="shared" si="8"/>
        <v>0</v>
      </c>
      <c r="T113" s="111">
        <f t="shared" si="8"/>
        <v>0</v>
      </c>
      <c r="U113" s="111">
        <f t="shared" si="8"/>
        <v>0</v>
      </c>
      <c r="V113" s="111">
        <f t="shared" si="8"/>
        <v>0</v>
      </c>
      <c r="W113" s="111">
        <f t="shared" si="8"/>
        <v>0</v>
      </c>
      <c r="X113" s="111">
        <f t="shared" si="8"/>
        <v>0</v>
      </c>
      <c r="Y113" s="111">
        <f t="shared" si="8"/>
        <v>0</v>
      </c>
      <c r="Z113" s="111">
        <f t="shared" si="8"/>
        <v>0</v>
      </c>
      <c r="AA113" s="111">
        <f t="shared" si="8"/>
        <v>0</v>
      </c>
      <c r="AB113" s="111">
        <f t="shared" si="8"/>
        <v>0</v>
      </c>
      <c r="AC113" s="111">
        <f t="shared" si="8"/>
        <v>0</v>
      </c>
      <c r="AD113" s="111">
        <f t="shared" si="8"/>
        <v>0</v>
      </c>
      <c r="AE113" s="111">
        <f t="shared" si="8"/>
        <v>0</v>
      </c>
      <c r="AF113" s="111">
        <f t="shared" si="8"/>
        <v>0</v>
      </c>
      <c r="AG113" s="111">
        <f t="shared" si="8"/>
        <v>0</v>
      </c>
      <c r="AH113" s="111">
        <f t="shared" si="8"/>
        <v>0</v>
      </c>
      <c r="AI113" s="111">
        <f t="shared" si="8"/>
        <v>0</v>
      </c>
      <c r="AJ113" s="111">
        <f t="shared" si="8"/>
        <v>0</v>
      </c>
      <c r="AK113" s="111">
        <f t="shared" si="8"/>
        <v>0</v>
      </c>
      <c r="AL113" s="111">
        <f t="shared" si="8"/>
        <v>0</v>
      </c>
      <c r="AM113" s="111">
        <f t="shared" si="8"/>
        <v>0</v>
      </c>
      <c r="AN113" s="111">
        <f t="shared" si="8"/>
        <v>0</v>
      </c>
      <c r="AO113" s="111">
        <f t="shared" si="8"/>
        <v>0</v>
      </c>
      <c r="AP113" s="111">
        <f t="shared" si="8"/>
        <v>0</v>
      </c>
      <c r="AQ113" s="111">
        <f t="shared" si="8"/>
        <v>0</v>
      </c>
      <c r="AR113" s="111">
        <f t="shared" si="8"/>
        <v>0</v>
      </c>
      <c r="AS113" s="111">
        <f t="shared" si="8"/>
        <v>0</v>
      </c>
      <c r="AT113" s="111">
        <f t="shared" si="8"/>
        <v>0</v>
      </c>
      <c r="AU113" s="111">
        <f t="shared" si="8"/>
        <v>0</v>
      </c>
      <c r="AV113" s="111">
        <f t="shared" si="8"/>
        <v>0</v>
      </c>
      <c r="AW113" s="111">
        <f t="shared" si="8"/>
        <v>0</v>
      </c>
      <c r="AX113" s="111">
        <f t="shared" si="8"/>
        <v>0</v>
      </c>
    </row>
    <row r="114" spans="1:50" x14ac:dyDescent="0.2">
      <c r="A114" s="111" t="s">
        <v>108</v>
      </c>
      <c r="B114" s="111" t="s">
        <v>12</v>
      </c>
      <c r="C114" s="106">
        <v>851314.86</v>
      </c>
      <c r="D114" s="106">
        <v>851314.86</v>
      </c>
      <c r="E114" s="106">
        <v>851314.86</v>
      </c>
      <c r="F114" s="106">
        <v>851314.86</v>
      </c>
      <c r="G114" s="106">
        <v>851314.86</v>
      </c>
      <c r="H114" s="106">
        <v>851314.86</v>
      </c>
      <c r="I114" s="106">
        <v>851314.86</v>
      </c>
      <c r="J114" s="106">
        <v>851314.86</v>
      </c>
      <c r="K114" s="106">
        <v>851314.86</v>
      </c>
      <c r="L114" s="106">
        <v>851314.86</v>
      </c>
      <c r="M114" s="106">
        <v>851314.86</v>
      </c>
      <c r="N114" s="106">
        <v>851314.86</v>
      </c>
      <c r="O114" s="106">
        <v>1276972.29</v>
      </c>
      <c r="P114" s="106">
        <v>1276972.29</v>
      </c>
      <c r="Q114" s="106">
        <v>1276972.29</v>
      </c>
      <c r="R114" s="106">
        <v>1276972.29</v>
      </c>
      <c r="S114" s="106">
        <v>1276972.29</v>
      </c>
      <c r="T114" s="106">
        <v>1276972.29</v>
      </c>
      <c r="U114" s="106">
        <v>1276972.29</v>
      </c>
      <c r="V114" s="106">
        <v>1276972.29</v>
      </c>
      <c r="W114" s="106">
        <v>1064143.575</v>
      </c>
      <c r="X114" s="106">
        <v>1064143.575</v>
      </c>
      <c r="Y114" s="106">
        <v>1064143.575</v>
      </c>
      <c r="Z114" s="106">
        <v>1064143.575</v>
      </c>
      <c r="AA114" s="106">
        <v>851314.86</v>
      </c>
      <c r="AB114" s="106">
        <v>851314.86</v>
      </c>
      <c r="AC114" s="106">
        <v>851314.86</v>
      </c>
      <c r="AD114" s="106">
        <v>851314.86</v>
      </c>
      <c r="AE114" s="106">
        <v>851314.86</v>
      </c>
      <c r="AF114" s="106">
        <v>851314.86</v>
      </c>
      <c r="AG114" s="106">
        <v>851314.86</v>
      </c>
      <c r="AH114" s="106">
        <v>851314.86</v>
      </c>
      <c r="AI114" s="106">
        <v>851314.86</v>
      </c>
      <c r="AJ114" s="106">
        <v>851314.86</v>
      </c>
      <c r="AK114" s="106">
        <v>851314.86</v>
      </c>
      <c r="AL114" s="106">
        <v>851314.86</v>
      </c>
      <c r="AM114" s="106">
        <v>851314.86</v>
      </c>
      <c r="AN114" s="106">
        <v>851314.86</v>
      </c>
      <c r="AO114" s="106">
        <v>851314.86</v>
      </c>
      <c r="AP114" s="106">
        <v>851314.86</v>
      </c>
      <c r="AQ114" s="106">
        <v>851314.86</v>
      </c>
      <c r="AR114" s="106">
        <v>851314.86</v>
      </c>
      <c r="AS114" s="106">
        <v>851314.86</v>
      </c>
      <c r="AT114" s="106">
        <v>851314.86</v>
      </c>
      <c r="AU114" s="106">
        <v>851314.86</v>
      </c>
      <c r="AV114" s="106">
        <v>851314.86</v>
      </c>
      <c r="AW114" s="106">
        <v>851314.86</v>
      </c>
      <c r="AX114" s="106">
        <v>851314.86</v>
      </c>
    </row>
    <row r="115" spans="1:50" x14ac:dyDescent="0.2">
      <c r="B115" s="111" t="s">
        <v>22</v>
      </c>
      <c r="C115" s="106">
        <v>1077158.94</v>
      </c>
      <c r="D115" s="106">
        <v>1077158.94</v>
      </c>
      <c r="E115" s="106">
        <v>1077158.94</v>
      </c>
      <c r="F115" s="106">
        <v>1077158.94</v>
      </c>
      <c r="G115" s="106">
        <v>1077158.94</v>
      </c>
      <c r="H115" s="106">
        <v>1077158.94</v>
      </c>
      <c r="I115" s="106">
        <v>1077158.94</v>
      </c>
      <c r="J115" s="106">
        <v>1077158.94</v>
      </c>
      <c r="K115" s="106">
        <v>1077158.94</v>
      </c>
      <c r="L115" s="106">
        <v>1077158.94</v>
      </c>
      <c r="M115" s="106">
        <v>1077158.94</v>
      </c>
      <c r="N115" s="106">
        <v>1077158.94</v>
      </c>
      <c r="O115" s="106">
        <v>1615738.41</v>
      </c>
      <c r="P115" s="106">
        <v>1615738.41</v>
      </c>
      <c r="Q115" s="106">
        <v>1615738.41</v>
      </c>
      <c r="R115" s="106">
        <v>1615738.41</v>
      </c>
      <c r="S115" s="106">
        <v>1615738.41</v>
      </c>
      <c r="T115" s="106">
        <v>1615738.41</v>
      </c>
      <c r="U115" s="106">
        <v>1615738.41</v>
      </c>
      <c r="V115" s="106">
        <v>1615738.41</v>
      </c>
      <c r="W115" s="106">
        <v>1346448.675</v>
      </c>
      <c r="X115" s="106">
        <v>1346448.675</v>
      </c>
      <c r="Y115" s="106">
        <v>1346448.675</v>
      </c>
      <c r="Z115" s="106">
        <v>1346448.675</v>
      </c>
      <c r="AA115" s="106">
        <v>1077158.94</v>
      </c>
      <c r="AB115" s="106">
        <v>1077158.94</v>
      </c>
      <c r="AC115" s="106">
        <v>1077158.94</v>
      </c>
      <c r="AD115" s="106">
        <v>1077158.94</v>
      </c>
      <c r="AE115" s="106">
        <v>1077158.94</v>
      </c>
      <c r="AF115" s="106">
        <v>1077158.94</v>
      </c>
      <c r="AG115" s="106">
        <v>1077158.94</v>
      </c>
      <c r="AH115" s="106">
        <v>1077158.94</v>
      </c>
      <c r="AI115" s="106">
        <v>1077158.94</v>
      </c>
      <c r="AJ115" s="106">
        <v>1077158.94</v>
      </c>
      <c r="AK115" s="106">
        <v>1077158.94</v>
      </c>
      <c r="AL115" s="106">
        <v>1077158.94</v>
      </c>
      <c r="AM115" s="106">
        <v>1077158.94</v>
      </c>
      <c r="AN115" s="106">
        <v>1077158.94</v>
      </c>
      <c r="AO115" s="106">
        <v>1077158.94</v>
      </c>
      <c r="AP115" s="106">
        <v>1077158.94</v>
      </c>
      <c r="AQ115" s="106">
        <v>1077158.94</v>
      </c>
      <c r="AR115" s="106">
        <v>1077158.94</v>
      </c>
      <c r="AS115" s="106">
        <v>1077158.94</v>
      </c>
      <c r="AT115" s="106">
        <v>1077158.94</v>
      </c>
      <c r="AU115" s="106">
        <v>1077158.94</v>
      </c>
      <c r="AV115" s="106">
        <v>1077158.94</v>
      </c>
      <c r="AW115" s="106">
        <v>1077158.94</v>
      </c>
      <c r="AX115" s="106">
        <v>1077158.94</v>
      </c>
    </row>
    <row r="116" spans="1:50" x14ac:dyDescent="0.2">
      <c r="B116" s="111" t="s">
        <v>59</v>
      </c>
      <c r="C116" s="106">
        <v>838367.64000000013</v>
      </c>
      <c r="D116" s="106">
        <v>838367.64000000013</v>
      </c>
      <c r="E116" s="106">
        <v>838367.64000000013</v>
      </c>
      <c r="F116" s="106">
        <v>838367.64000000013</v>
      </c>
      <c r="G116" s="106">
        <v>838367.64000000013</v>
      </c>
      <c r="H116" s="106">
        <v>838367.64000000013</v>
      </c>
      <c r="I116" s="106">
        <v>838367.64000000013</v>
      </c>
      <c r="J116" s="106">
        <v>838367.64000000013</v>
      </c>
      <c r="K116" s="106">
        <v>838367.64000000013</v>
      </c>
      <c r="L116" s="106">
        <v>838367.64000000013</v>
      </c>
      <c r="M116" s="106">
        <v>838367.64000000013</v>
      </c>
      <c r="N116" s="106">
        <v>838367.64000000013</v>
      </c>
      <c r="O116" s="106">
        <v>1257551.46</v>
      </c>
      <c r="P116" s="106">
        <v>1257551.46</v>
      </c>
      <c r="Q116" s="106">
        <v>1257551.46</v>
      </c>
      <c r="R116" s="106">
        <v>1257551.46</v>
      </c>
      <c r="S116" s="106">
        <v>1257551.46</v>
      </c>
      <c r="T116" s="106">
        <v>1257551.46</v>
      </c>
      <c r="U116" s="106">
        <v>1257551.46</v>
      </c>
      <c r="V116" s="106">
        <v>1257551.46</v>
      </c>
      <c r="W116" s="106">
        <v>1047959.55</v>
      </c>
      <c r="X116" s="106">
        <v>1047959.55</v>
      </c>
      <c r="Y116" s="106">
        <v>1047959.55</v>
      </c>
      <c r="Z116" s="106">
        <v>1047959.55</v>
      </c>
      <c r="AA116" s="106">
        <v>838367.64000000013</v>
      </c>
      <c r="AB116" s="106">
        <v>838367.64000000013</v>
      </c>
      <c r="AC116" s="106">
        <v>838367.64000000013</v>
      </c>
      <c r="AD116" s="106">
        <v>838367.64000000013</v>
      </c>
      <c r="AE116" s="106">
        <v>838367.64000000013</v>
      </c>
      <c r="AF116" s="106">
        <v>838367.64000000013</v>
      </c>
      <c r="AG116" s="106">
        <v>838367.64000000013</v>
      </c>
      <c r="AH116" s="106">
        <v>838367.64000000013</v>
      </c>
      <c r="AI116" s="106">
        <v>838367.64000000013</v>
      </c>
      <c r="AJ116" s="106">
        <v>838367.64000000013</v>
      </c>
      <c r="AK116" s="106">
        <v>838367.64000000013</v>
      </c>
      <c r="AL116" s="106">
        <v>838367.64000000013</v>
      </c>
      <c r="AM116" s="106">
        <v>838367.64000000013</v>
      </c>
      <c r="AN116" s="106">
        <v>838367.64000000013</v>
      </c>
      <c r="AO116" s="106">
        <v>838367.64000000013</v>
      </c>
      <c r="AP116" s="106">
        <v>838367.64000000013</v>
      </c>
      <c r="AQ116" s="106">
        <v>838367.64000000013</v>
      </c>
      <c r="AR116" s="106">
        <v>838367.64000000013</v>
      </c>
      <c r="AS116" s="106">
        <v>838367.64000000013</v>
      </c>
      <c r="AT116" s="106">
        <v>838367.64000000013</v>
      </c>
      <c r="AU116" s="106">
        <v>838367.64000000013</v>
      </c>
      <c r="AV116" s="106">
        <v>838367.64000000013</v>
      </c>
      <c r="AW116" s="106">
        <v>838367.64000000013</v>
      </c>
      <c r="AX116" s="106">
        <v>838367.64000000013</v>
      </c>
    </row>
    <row r="117" spans="1:50" x14ac:dyDescent="0.2">
      <c r="B117" s="106" t="s">
        <v>277</v>
      </c>
      <c r="C117" s="111">
        <f>SUM(C$114:C$116)</f>
        <v>2766841.44</v>
      </c>
      <c r="D117" s="111">
        <f t="shared" ref="D117:AX117" si="9">SUM(D$114:D$116)</f>
        <v>2766841.44</v>
      </c>
      <c r="E117" s="111">
        <f t="shared" si="9"/>
        <v>2766841.44</v>
      </c>
      <c r="F117" s="111">
        <f t="shared" si="9"/>
        <v>2766841.44</v>
      </c>
      <c r="G117" s="111">
        <f t="shared" si="9"/>
        <v>2766841.44</v>
      </c>
      <c r="H117" s="111">
        <f t="shared" si="9"/>
        <v>2766841.44</v>
      </c>
      <c r="I117" s="111">
        <f t="shared" si="9"/>
        <v>2766841.44</v>
      </c>
      <c r="J117" s="111">
        <f t="shared" si="9"/>
        <v>2766841.44</v>
      </c>
      <c r="K117" s="111">
        <f t="shared" si="9"/>
        <v>2766841.44</v>
      </c>
      <c r="L117" s="111">
        <f t="shared" si="9"/>
        <v>2766841.44</v>
      </c>
      <c r="M117" s="111">
        <f t="shared" si="9"/>
        <v>2766841.44</v>
      </c>
      <c r="N117" s="111">
        <f t="shared" si="9"/>
        <v>2766841.44</v>
      </c>
      <c r="O117" s="111">
        <f t="shared" si="9"/>
        <v>4150262.16</v>
      </c>
      <c r="P117" s="111">
        <f t="shared" si="9"/>
        <v>4150262.16</v>
      </c>
      <c r="Q117" s="111">
        <f t="shared" si="9"/>
        <v>4150262.16</v>
      </c>
      <c r="R117" s="111">
        <f t="shared" si="9"/>
        <v>4150262.16</v>
      </c>
      <c r="S117" s="111">
        <f t="shared" si="9"/>
        <v>4150262.16</v>
      </c>
      <c r="T117" s="111">
        <f t="shared" si="9"/>
        <v>4150262.16</v>
      </c>
      <c r="U117" s="111">
        <f t="shared" si="9"/>
        <v>4150262.16</v>
      </c>
      <c r="V117" s="111">
        <f t="shared" si="9"/>
        <v>4150262.16</v>
      </c>
      <c r="W117" s="111">
        <f t="shared" si="9"/>
        <v>3458551.8</v>
      </c>
      <c r="X117" s="111">
        <f t="shared" si="9"/>
        <v>3458551.8</v>
      </c>
      <c r="Y117" s="111">
        <f t="shared" si="9"/>
        <v>3458551.8</v>
      </c>
      <c r="Z117" s="111">
        <f t="shared" si="9"/>
        <v>3458551.8</v>
      </c>
      <c r="AA117" s="111">
        <f t="shared" si="9"/>
        <v>2766841.44</v>
      </c>
      <c r="AB117" s="111">
        <f t="shared" si="9"/>
        <v>2766841.44</v>
      </c>
      <c r="AC117" s="111">
        <f t="shared" si="9"/>
        <v>2766841.44</v>
      </c>
      <c r="AD117" s="111">
        <f t="shared" si="9"/>
        <v>2766841.44</v>
      </c>
      <c r="AE117" s="111">
        <f t="shared" si="9"/>
        <v>2766841.44</v>
      </c>
      <c r="AF117" s="111">
        <f t="shared" si="9"/>
        <v>2766841.44</v>
      </c>
      <c r="AG117" s="111">
        <f t="shared" si="9"/>
        <v>2766841.44</v>
      </c>
      <c r="AH117" s="111">
        <f t="shared" si="9"/>
        <v>2766841.44</v>
      </c>
      <c r="AI117" s="111">
        <f t="shared" si="9"/>
        <v>2766841.44</v>
      </c>
      <c r="AJ117" s="111">
        <f t="shared" si="9"/>
        <v>2766841.44</v>
      </c>
      <c r="AK117" s="111">
        <f t="shared" si="9"/>
        <v>2766841.44</v>
      </c>
      <c r="AL117" s="111">
        <f t="shared" si="9"/>
        <v>2766841.44</v>
      </c>
      <c r="AM117" s="111">
        <f t="shared" si="9"/>
        <v>2766841.44</v>
      </c>
      <c r="AN117" s="111">
        <f t="shared" si="9"/>
        <v>2766841.44</v>
      </c>
      <c r="AO117" s="111">
        <f t="shared" si="9"/>
        <v>2766841.44</v>
      </c>
      <c r="AP117" s="111">
        <f t="shared" si="9"/>
        <v>2766841.44</v>
      </c>
      <c r="AQ117" s="111">
        <f t="shared" si="9"/>
        <v>2766841.44</v>
      </c>
      <c r="AR117" s="111">
        <f t="shared" si="9"/>
        <v>2766841.44</v>
      </c>
      <c r="AS117" s="111">
        <f t="shared" si="9"/>
        <v>2766841.44</v>
      </c>
      <c r="AT117" s="111">
        <f t="shared" si="9"/>
        <v>2766841.44</v>
      </c>
      <c r="AU117" s="111">
        <f t="shared" si="9"/>
        <v>2766841.44</v>
      </c>
      <c r="AV117" s="111">
        <f t="shared" si="9"/>
        <v>2766841.44</v>
      </c>
      <c r="AW117" s="111">
        <f t="shared" si="9"/>
        <v>2766841.44</v>
      </c>
      <c r="AX117" s="111">
        <f t="shared" si="9"/>
        <v>2766841.44</v>
      </c>
    </row>
    <row r="118" spans="1:50" x14ac:dyDescent="0.2">
      <c r="A118" s="111" t="s">
        <v>109</v>
      </c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277</v>
      </c>
      <c r="C121" s="111">
        <f>SUM(C$118:C$120)</f>
        <v>0</v>
      </c>
      <c r="D121" s="111">
        <f t="shared" ref="D121:AX121" si="10">SUM(D$118:D$120)</f>
        <v>0</v>
      </c>
      <c r="E121" s="111">
        <f t="shared" si="10"/>
        <v>0</v>
      </c>
      <c r="F121" s="111">
        <f t="shared" si="10"/>
        <v>0</v>
      </c>
      <c r="G121" s="111">
        <f t="shared" si="10"/>
        <v>0</v>
      </c>
      <c r="H121" s="111">
        <f t="shared" si="10"/>
        <v>0</v>
      </c>
      <c r="I121" s="111">
        <f t="shared" si="10"/>
        <v>0</v>
      </c>
      <c r="J121" s="111">
        <f t="shared" si="10"/>
        <v>0</v>
      </c>
      <c r="K121" s="111">
        <f t="shared" si="10"/>
        <v>0</v>
      </c>
      <c r="L121" s="111">
        <f t="shared" si="10"/>
        <v>0</v>
      </c>
      <c r="M121" s="111">
        <f t="shared" si="10"/>
        <v>0</v>
      </c>
      <c r="N121" s="111">
        <f t="shared" si="10"/>
        <v>0</v>
      </c>
      <c r="O121" s="111">
        <f t="shared" si="10"/>
        <v>0</v>
      </c>
      <c r="P121" s="111">
        <f t="shared" si="10"/>
        <v>0</v>
      </c>
      <c r="Q121" s="111">
        <f t="shared" si="10"/>
        <v>0</v>
      </c>
      <c r="R121" s="111">
        <f t="shared" si="10"/>
        <v>0</v>
      </c>
      <c r="S121" s="111">
        <f t="shared" si="10"/>
        <v>0</v>
      </c>
      <c r="T121" s="111">
        <f t="shared" si="10"/>
        <v>0</v>
      </c>
      <c r="U121" s="111">
        <f t="shared" si="10"/>
        <v>0</v>
      </c>
      <c r="V121" s="111">
        <f t="shared" si="10"/>
        <v>0</v>
      </c>
      <c r="W121" s="111">
        <f t="shared" si="10"/>
        <v>0</v>
      </c>
      <c r="X121" s="111">
        <f t="shared" si="10"/>
        <v>0</v>
      </c>
      <c r="Y121" s="111">
        <f t="shared" si="10"/>
        <v>0</v>
      </c>
      <c r="Z121" s="111">
        <f t="shared" si="10"/>
        <v>0</v>
      </c>
      <c r="AA121" s="111">
        <f t="shared" si="10"/>
        <v>0</v>
      </c>
      <c r="AB121" s="111">
        <f t="shared" si="10"/>
        <v>0</v>
      </c>
      <c r="AC121" s="111">
        <f t="shared" si="10"/>
        <v>0</v>
      </c>
      <c r="AD121" s="111">
        <f t="shared" si="10"/>
        <v>0</v>
      </c>
      <c r="AE121" s="111">
        <f t="shared" si="10"/>
        <v>0</v>
      </c>
      <c r="AF121" s="111">
        <f t="shared" si="10"/>
        <v>0</v>
      </c>
      <c r="AG121" s="111">
        <f t="shared" si="10"/>
        <v>0</v>
      </c>
      <c r="AH121" s="111">
        <f t="shared" si="10"/>
        <v>0</v>
      </c>
      <c r="AI121" s="111">
        <f t="shared" si="10"/>
        <v>0</v>
      </c>
      <c r="AJ121" s="111">
        <f t="shared" si="10"/>
        <v>0</v>
      </c>
      <c r="AK121" s="111">
        <f t="shared" si="10"/>
        <v>0</v>
      </c>
      <c r="AL121" s="111">
        <f t="shared" si="10"/>
        <v>0</v>
      </c>
      <c r="AM121" s="111">
        <f t="shared" si="10"/>
        <v>0</v>
      </c>
      <c r="AN121" s="111">
        <f t="shared" si="10"/>
        <v>0</v>
      </c>
      <c r="AO121" s="111">
        <f t="shared" si="10"/>
        <v>0</v>
      </c>
      <c r="AP121" s="111">
        <f t="shared" si="10"/>
        <v>0</v>
      </c>
      <c r="AQ121" s="111">
        <f t="shared" si="10"/>
        <v>0</v>
      </c>
      <c r="AR121" s="111">
        <f t="shared" si="10"/>
        <v>0</v>
      </c>
      <c r="AS121" s="111">
        <f t="shared" si="10"/>
        <v>0</v>
      </c>
      <c r="AT121" s="111">
        <f t="shared" si="10"/>
        <v>0</v>
      </c>
      <c r="AU121" s="111">
        <f t="shared" si="10"/>
        <v>0</v>
      </c>
      <c r="AV121" s="111">
        <f t="shared" si="10"/>
        <v>0</v>
      </c>
      <c r="AW121" s="111">
        <f t="shared" si="10"/>
        <v>0</v>
      </c>
      <c r="AX121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12</v>
      </c>
      <c r="E2" s="116"/>
    </row>
    <row r="3" spans="1:52" x14ac:dyDescent="0.2">
      <c r="A3" s="106" t="s">
        <v>285</v>
      </c>
      <c r="B3" s="113">
        <v>3748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3333</v>
      </c>
      <c r="E7" s="150">
        <v>3333</v>
      </c>
      <c r="F7" s="150">
        <v>3333</v>
      </c>
      <c r="G7" s="150">
        <v>3333</v>
      </c>
      <c r="H7" s="150">
        <v>3333</v>
      </c>
      <c r="I7" s="150">
        <v>3333</v>
      </c>
      <c r="J7" s="150">
        <v>3333</v>
      </c>
      <c r="K7" s="150">
        <v>3333</v>
      </c>
      <c r="L7" s="150">
        <v>3333</v>
      </c>
      <c r="M7" s="150">
        <v>3333</v>
      </c>
      <c r="N7" s="150">
        <v>3333</v>
      </c>
      <c r="O7" s="150">
        <v>3333</v>
      </c>
      <c r="P7" s="150">
        <v>4999.5</v>
      </c>
      <c r="Q7" s="150">
        <v>4999.5</v>
      </c>
      <c r="R7" s="150">
        <v>4999.5</v>
      </c>
      <c r="S7" s="150">
        <v>4999.5</v>
      </c>
      <c r="T7" s="150">
        <v>4999.5</v>
      </c>
      <c r="U7" s="150">
        <v>4999.5</v>
      </c>
      <c r="V7" s="150">
        <v>4999.5</v>
      </c>
      <c r="W7" s="150">
        <v>4999.5</v>
      </c>
      <c r="X7" s="150">
        <v>4166.25</v>
      </c>
      <c r="Y7" s="150">
        <v>4166.25</v>
      </c>
      <c r="Z7" s="150">
        <v>4166.25</v>
      </c>
      <c r="AA7" s="150">
        <v>4166.25</v>
      </c>
      <c r="AB7" s="150">
        <v>3333</v>
      </c>
      <c r="AC7" s="150">
        <v>3333</v>
      </c>
      <c r="AD7" s="150">
        <v>3333</v>
      </c>
      <c r="AE7" s="150">
        <v>3333</v>
      </c>
      <c r="AF7" s="150">
        <v>3333</v>
      </c>
      <c r="AG7" s="150">
        <v>3333</v>
      </c>
      <c r="AH7" s="150">
        <v>3333</v>
      </c>
      <c r="AI7" s="150">
        <v>3333</v>
      </c>
      <c r="AJ7" s="150">
        <v>3333</v>
      </c>
      <c r="AK7" s="150">
        <v>3333</v>
      </c>
      <c r="AL7" s="150">
        <v>3333</v>
      </c>
      <c r="AM7" s="150">
        <v>3333</v>
      </c>
      <c r="AN7" s="150">
        <v>3333</v>
      </c>
      <c r="AO7" s="150">
        <v>3333</v>
      </c>
      <c r="AP7" s="150">
        <v>3333</v>
      </c>
      <c r="AQ7" s="150">
        <v>3333</v>
      </c>
      <c r="AR7" s="150">
        <v>3333</v>
      </c>
      <c r="AS7" s="150">
        <v>3333</v>
      </c>
      <c r="AT7" s="150">
        <v>3333</v>
      </c>
      <c r="AU7" s="150">
        <v>3333</v>
      </c>
      <c r="AV7" s="150">
        <v>3333</v>
      </c>
      <c r="AW7" s="150">
        <v>3333</v>
      </c>
      <c r="AX7" s="150">
        <v>3333</v>
      </c>
      <c r="AY7" s="150">
        <v>3333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2918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2918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1251.5</v>
      </c>
      <c r="Q10" s="150">
        <f t="shared" si="0"/>
        <v>1251.5</v>
      </c>
      <c r="R10" s="150">
        <f t="shared" si="0"/>
        <v>1251.5</v>
      </c>
      <c r="S10" s="150">
        <f t="shared" si="0"/>
        <v>1251.5</v>
      </c>
      <c r="T10" s="150">
        <f t="shared" si="0"/>
        <v>1251.5</v>
      </c>
      <c r="U10" s="150">
        <f t="shared" si="0"/>
        <v>1251.5</v>
      </c>
      <c r="V10" s="150">
        <f t="shared" si="0"/>
        <v>1251.5</v>
      </c>
      <c r="W10" s="150">
        <f t="shared" si="0"/>
        <v>1251.5</v>
      </c>
      <c r="X10" s="150">
        <f t="shared" si="0"/>
        <v>418.25</v>
      </c>
      <c r="Y10" s="150">
        <f t="shared" si="0"/>
        <v>418.25</v>
      </c>
      <c r="Z10" s="150">
        <f t="shared" si="0"/>
        <v>418.25</v>
      </c>
      <c r="AA10" s="150">
        <f t="shared" si="0"/>
        <v>418.25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2918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20439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3333</v>
      </c>
      <c r="E13" s="144">
        <f t="shared" si="1"/>
        <v>3333</v>
      </c>
      <c r="F13" s="144">
        <f t="shared" si="1"/>
        <v>415</v>
      </c>
      <c r="G13" s="144">
        <f t="shared" si="1"/>
        <v>3333</v>
      </c>
      <c r="H13" s="144">
        <f t="shared" si="1"/>
        <v>3333</v>
      </c>
      <c r="I13" s="144">
        <f t="shared" si="1"/>
        <v>3333</v>
      </c>
      <c r="J13" s="144">
        <f t="shared" si="1"/>
        <v>3333</v>
      </c>
      <c r="K13" s="144">
        <f t="shared" si="1"/>
        <v>415</v>
      </c>
      <c r="L13" s="144">
        <f t="shared" si="1"/>
        <v>3333</v>
      </c>
      <c r="M13" s="144">
        <f t="shared" si="1"/>
        <v>3333</v>
      </c>
      <c r="N13" s="144">
        <f t="shared" si="1"/>
        <v>3333</v>
      </c>
      <c r="O13" s="144">
        <f t="shared" si="1"/>
        <v>3333</v>
      </c>
      <c r="P13" s="144">
        <f t="shared" si="1"/>
        <v>3748</v>
      </c>
      <c r="Q13" s="144">
        <f t="shared" si="1"/>
        <v>3748</v>
      </c>
      <c r="R13" s="144">
        <f t="shared" si="1"/>
        <v>3748</v>
      </c>
      <c r="S13" s="144">
        <f t="shared" si="1"/>
        <v>3748</v>
      </c>
      <c r="T13" s="144">
        <f t="shared" si="1"/>
        <v>3748</v>
      </c>
      <c r="U13" s="144">
        <f t="shared" si="1"/>
        <v>3748</v>
      </c>
      <c r="V13" s="144">
        <f t="shared" si="1"/>
        <v>3748</v>
      </c>
      <c r="W13" s="144">
        <f t="shared" si="1"/>
        <v>3748</v>
      </c>
      <c r="X13" s="144">
        <f t="shared" si="1"/>
        <v>3748</v>
      </c>
      <c r="Y13" s="144">
        <f t="shared" si="1"/>
        <v>3748</v>
      </c>
      <c r="Z13" s="144">
        <f t="shared" si="1"/>
        <v>3748</v>
      </c>
      <c r="AA13" s="144">
        <f t="shared" si="1"/>
        <v>3748</v>
      </c>
      <c r="AB13" s="144">
        <f t="shared" si="1"/>
        <v>3333</v>
      </c>
      <c r="AC13" s="144">
        <f t="shared" si="1"/>
        <v>3333</v>
      </c>
      <c r="AD13" s="144">
        <f t="shared" si="1"/>
        <v>3333</v>
      </c>
      <c r="AE13" s="144">
        <f t="shared" si="1"/>
        <v>3333</v>
      </c>
      <c r="AF13" s="144">
        <f t="shared" si="1"/>
        <v>3333</v>
      </c>
      <c r="AG13" s="144">
        <f t="shared" si="1"/>
        <v>3333</v>
      </c>
      <c r="AH13" s="144">
        <f t="shared" si="1"/>
        <v>3333</v>
      </c>
      <c r="AI13" s="144">
        <f t="shared" si="1"/>
        <v>3333</v>
      </c>
      <c r="AJ13" s="144">
        <f t="shared" si="1"/>
        <v>3333</v>
      </c>
      <c r="AK13" s="144">
        <f t="shared" si="1"/>
        <v>3333</v>
      </c>
      <c r="AL13" s="144">
        <f t="shared" si="1"/>
        <v>3333</v>
      </c>
      <c r="AM13" s="144">
        <f t="shared" si="1"/>
        <v>3333</v>
      </c>
      <c r="AN13" s="144">
        <f t="shared" si="1"/>
        <v>3333</v>
      </c>
      <c r="AO13" s="144">
        <f t="shared" si="1"/>
        <v>3333</v>
      </c>
      <c r="AP13" s="144">
        <f t="shared" si="1"/>
        <v>3333</v>
      </c>
      <c r="AQ13" s="144">
        <f t="shared" si="1"/>
        <v>3333</v>
      </c>
      <c r="AR13" s="144">
        <f t="shared" si="1"/>
        <v>3333</v>
      </c>
      <c r="AS13" s="144">
        <f t="shared" si="1"/>
        <v>3333</v>
      </c>
      <c r="AT13" s="144">
        <f t="shared" si="1"/>
        <v>415</v>
      </c>
      <c r="AU13" s="144">
        <f t="shared" si="1"/>
        <v>3333</v>
      </c>
      <c r="AV13" s="144">
        <f t="shared" si="1"/>
        <v>3333</v>
      </c>
      <c r="AW13" s="144">
        <f t="shared" si="1"/>
        <v>3333</v>
      </c>
      <c r="AX13" s="144">
        <f t="shared" si="1"/>
        <v>3333</v>
      </c>
      <c r="AY13" s="144">
        <f t="shared" si="1"/>
        <v>3333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3333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3333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3333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 t="s">
        <v>338</v>
      </c>
      <c r="F20" s="123"/>
      <c r="G20" s="123"/>
      <c r="H20" s="123"/>
      <c r="I20" s="123"/>
      <c r="J20" s="123" t="s">
        <v>338</v>
      </c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338</v>
      </c>
      <c r="AT20" s="123"/>
      <c r="AU20" s="123"/>
      <c r="AV20" s="123"/>
      <c r="AW20" s="123"/>
      <c r="AX20" s="123"/>
      <c r="AY20" s="123" t="s">
        <v>338</v>
      </c>
      <c r="AZ20" s="113"/>
    </row>
    <row r="21" spans="1:52" s="116" customFormat="1" x14ac:dyDescent="0.2">
      <c r="A21" s="161" t="s">
        <v>133</v>
      </c>
      <c r="B21" s="162">
        <f>shipping_manufacturing!$C$19/100</f>
        <v>0.5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1666.5</v>
      </c>
      <c r="F21" s="112">
        <f t="shared" si="3"/>
        <v>0</v>
      </c>
      <c r="G21" s="112">
        <f t="shared" si="3"/>
        <v>1874</v>
      </c>
      <c r="H21" s="112">
        <f t="shared" si="3"/>
        <v>1666.5</v>
      </c>
      <c r="I21" s="112">
        <f t="shared" si="3"/>
        <v>1666.5</v>
      </c>
      <c r="J21" s="112">
        <f t="shared" si="3"/>
        <v>1666.5</v>
      </c>
      <c r="K21" s="112">
        <f t="shared" si="3"/>
        <v>0</v>
      </c>
      <c r="L21" s="112">
        <f t="shared" si="3"/>
        <v>1874</v>
      </c>
      <c r="M21" s="112">
        <f t="shared" si="3"/>
        <v>1666.5</v>
      </c>
      <c r="N21" s="112">
        <f t="shared" si="3"/>
        <v>1666.5</v>
      </c>
      <c r="O21" s="112">
        <f t="shared" si="3"/>
        <v>1666.5</v>
      </c>
      <c r="P21" s="112">
        <f t="shared" si="3"/>
        <v>1666.5</v>
      </c>
      <c r="Q21" s="112">
        <f t="shared" si="3"/>
        <v>1874</v>
      </c>
      <c r="R21" s="112">
        <f t="shared" si="3"/>
        <v>1874</v>
      </c>
      <c r="S21" s="112">
        <f t="shared" si="3"/>
        <v>1874</v>
      </c>
      <c r="T21" s="112">
        <f t="shared" si="3"/>
        <v>1874</v>
      </c>
      <c r="U21" s="112">
        <f t="shared" si="3"/>
        <v>1874</v>
      </c>
      <c r="V21" s="112">
        <f t="shared" si="3"/>
        <v>1874</v>
      </c>
      <c r="W21" s="112">
        <f t="shared" si="3"/>
        <v>1874</v>
      </c>
      <c r="X21" s="112">
        <f t="shared" si="3"/>
        <v>1874</v>
      </c>
      <c r="Y21" s="112">
        <f t="shared" si="3"/>
        <v>1874</v>
      </c>
      <c r="Z21" s="112">
        <f t="shared" si="3"/>
        <v>1874</v>
      </c>
      <c r="AA21" s="112">
        <f t="shared" si="3"/>
        <v>1874</v>
      </c>
      <c r="AB21" s="112">
        <f t="shared" si="3"/>
        <v>1874</v>
      </c>
      <c r="AC21" s="112">
        <f t="shared" si="3"/>
        <v>1666.5</v>
      </c>
      <c r="AD21" s="112">
        <f t="shared" si="3"/>
        <v>1666.5</v>
      </c>
      <c r="AE21" s="112">
        <f t="shared" si="3"/>
        <v>1666.5</v>
      </c>
      <c r="AF21" s="112">
        <f t="shared" si="3"/>
        <v>1666.5</v>
      </c>
      <c r="AG21" s="112">
        <f t="shared" si="3"/>
        <v>1666.5</v>
      </c>
      <c r="AH21" s="112">
        <f t="shared" si="3"/>
        <v>1666.5</v>
      </c>
      <c r="AI21" s="112">
        <f t="shared" si="3"/>
        <v>1666.5</v>
      </c>
      <c r="AJ21" s="112">
        <f t="shared" si="3"/>
        <v>1666.5</v>
      </c>
      <c r="AK21" s="112">
        <f t="shared" si="3"/>
        <v>1666.5</v>
      </c>
      <c r="AL21" s="112">
        <f t="shared" si="3"/>
        <v>1666.5</v>
      </c>
      <c r="AM21" s="112">
        <f t="shared" si="3"/>
        <v>1666.5</v>
      </c>
      <c r="AN21" s="112">
        <f t="shared" si="3"/>
        <v>1666.5</v>
      </c>
      <c r="AO21" s="112">
        <f t="shared" si="3"/>
        <v>1666.5</v>
      </c>
      <c r="AP21" s="112">
        <f t="shared" si="3"/>
        <v>1666.5</v>
      </c>
      <c r="AQ21" s="112">
        <f t="shared" si="3"/>
        <v>1666.5</v>
      </c>
      <c r="AR21" s="112">
        <f t="shared" si="3"/>
        <v>1666.5</v>
      </c>
      <c r="AS21" s="112">
        <f t="shared" si="3"/>
        <v>1666.5</v>
      </c>
      <c r="AT21" s="112">
        <f t="shared" si="3"/>
        <v>0</v>
      </c>
      <c r="AU21" s="112">
        <f t="shared" si="3"/>
        <v>1874</v>
      </c>
      <c r="AV21" s="112">
        <f t="shared" si="3"/>
        <v>1666.5</v>
      </c>
      <c r="AW21" s="112">
        <f t="shared" si="3"/>
        <v>1666.5</v>
      </c>
      <c r="AX21" s="112">
        <f t="shared" si="3"/>
        <v>1666.5</v>
      </c>
      <c r="AY21" s="112">
        <f t="shared" si="3"/>
        <v>1666.5</v>
      </c>
      <c r="AZ21" s="163">
        <f>SUM($D21:$AY21)</f>
        <v>76438.5</v>
      </c>
    </row>
    <row r="22" spans="1:52" s="116" customFormat="1" x14ac:dyDescent="0.2">
      <c r="A22" s="164" t="s">
        <v>123</v>
      </c>
      <c r="B22" s="165">
        <f>1-$B$21</f>
        <v>0.5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1666.5</v>
      </c>
      <c r="F22" s="120">
        <f t="shared" si="4"/>
        <v>0</v>
      </c>
      <c r="G22" s="120">
        <f t="shared" si="4"/>
        <v>1874</v>
      </c>
      <c r="H22" s="120">
        <f t="shared" si="4"/>
        <v>1666.5</v>
      </c>
      <c r="I22" s="120">
        <f t="shared" si="4"/>
        <v>1666.5</v>
      </c>
      <c r="J22" s="120">
        <f t="shared" si="4"/>
        <v>1666.5</v>
      </c>
      <c r="K22" s="120">
        <f t="shared" si="4"/>
        <v>0</v>
      </c>
      <c r="L22" s="120">
        <f t="shared" si="4"/>
        <v>1874</v>
      </c>
      <c r="M22" s="120">
        <f t="shared" si="4"/>
        <v>1666.5</v>
      </c>
      <c r="N22" s="120">
        <f t="shared" si="4"/>
        <v>1666.5</v>
      </c>
      <c r="O22" s="120">
        <f t="shared" si="4"/>
        <v>1666.5</v>
      </c>
      <c r="P22" s="120">
        <f t="shared" si="4"/>
        <v>1666.5</v>
      </c>
      <c r="Q22" s="120">
        <f t="shared" si="4"/>
        <v>1874</v>
      </c>
      <c r="R22" s="120">
        <f t="shared" si="4"/>
        <v>1874</v>
      </c>
      <c r="S22" s="120">
        <f t="shared" si="4"/>
        <v>1874</v>
      </c>
      <c r="T22" s="120">
        <f t="shared" si="4"/>
        <v>1874</v>
      </c>
      <c r="U22" s="120">
        <f t="shared" si="4"/>
        <v>1874</v>
      </c>
      <c r="V22" s="120">
        <f t="shared" si="4"/>
        <v>1874</v>
      </c>
      <c r="W22" s="120">
        <f t="shared" si="4"/>
        <v>1874</v>
      </c>
      <c r="X22" s="120">
        <f t="shared" si="4"/>
        <v>1874</v>
      </c>
      <c r="Y22" s="120">
        <f t="shared" si="4"/>
        <v>1874</v>
      </c>
      <c r="Z22" s="120">
        <f t="shared" si="4"/>
        <v>1874</v>
      </c>
      <c r="AA22" s="120">
        <f t="shared" si="4"/>
        <v>1874</v>
      </c>
      <c r="AB22" s="120">
        <f t="shared" si="4"/>
        <v>1874</v>
      </c>
      <c r="AC22" s="120">
        <f t="shared" si="4"/>
        <v>1666.5</v>
      </c>
      <c r="AD22" s="120">
        <f t="shared" si="4"/>
        <v>1666.5</v>
      </c>
      <c r="AE22" s="120">
        <f t="shared" si="4"/>
        <v>1666.5</v>
      </c>
      <c r="AF22" s="120">
        <f t="shared" si="4"/>
        <v>1666.5</v>
      </c>
      <c r="AG22" s="120">
        <f t="shared" si="4"/>
        <v>1666.5</v>
      </c>
      <c r="AH22" s="120">
        <f t="shared" si="4"/>
        <v>1666.5</v>
      </c>
      <c r="AI22" s="120">
        <f t="shared" si="4"/>
        <v>1666.5</v>
      </c>
      <c r="AJ22" s="120">
        <f t="shared" si="4"/>
        <v>1666.5</v>
      </c>
      <c r="AK22" s="120">
        <f t="shared" si="4"/>
        <v>1666.5</v>
      </c>
      <c r="AL22" s="120">
        <f t="shared" si="4"/>
        <v>1666.5</v>
      </c>
      <c r="AM22" s="120">
        <f t="shared" si="4"/>
        <v>1666.5</v>
      </c>
      <c r="AN22" s="120">
        <f t="shared" si="4"/>
        <v>1666.5</v>
      </c>
      <c r="AO22" s="120">
        <f t="shared" si="4"/>
        <v>1666.5</v>
      </c>
      <c r="AP22" s="120">
        <f t="shared" si="4"/>
        <v>1666.5</v>
      </c>
      <c r="AQ22" s="120">
        <f t="shared" si="4"/>
        <v>1666.5</v>
      </c>
      <c r="AR22" s="120">
        <f t="shared" si="4"/>
        <v>1666.5</v>
      </c>
      <c r="AS22" s="120">
        <f t="shared" si="4"/>
        <v>1666.5</v>
      </c>
      <c r="AT22" s="120">
        <f t="shared" si="4"/>
        <v>0</v>
      </c>
      <c r="AU22" s="120">
        <f t="shared" si="4"/>
        <v>1874</v>
      </c>
      <c r="AV22" s="120">
        <f t="shared" si="4"/>
        <v>1666.5</v>
      </c>
      <c r="AW22" s="120">
        <f t="shared" si="4"/>
        <v>1666.5</v>
      </c>
      <c r="AX22" s="120">
        <f t="shared" si="4"/>
        <v>1666.5</v>
      </c>
      <c r="AY22" s="120">
        <f t="shared" si="4"/>
        <v>1666.5</v>
      </c>
      <c r="AZ22" s="147">
        <f t="shared" ref="AZ22:AZ30" si="5">SUM($D22:$AY22)</f>
        <v>76438.5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3333000</v>
      </c>
      <c r="F23" s="106">
        <f t="shared" si="6"/>
        <v>0</v>
      </c>
      <c r="G23" s="106">
        <f t="shared" si="6"/>
        <v>3748000</v>
      </c>
      <c r="H23" s="106">
        <f t="shared" si="6"/>
        <v>3333000</v>
      </c>
      <c r="I23" s="106">
        <f t="shared" si="6"/>
        <v>3333000</v>
      </c>
      <c r="J23" s="106">
        <f t="shared" si="6"/>
        <v>3333000</v>
      </c>
      <c r="K23" s="106">
        <f t="shared" si="6"/>
        <v>0</v>
      </c>
      <c r="L23" s="106">
        <f t="shared" si="6"/>
        <v>3748000</v>
      </c>
      <c r="M23" s="106">
        <f t="shared" si="6"/>
        <v>3333000</v>
      </c>
      <c r="N23" s="106">
        <f t="shared" si="6"/>
        <v>3333000</v>
      </c>
      <c r="O23" s="106">
        <f t="shared" si="6"/>
        <v>3333000</v>
      </c>
      <c r="P23" s="106">
        <f t="shared" si="6"/>
        <v>3333000</v>
      </c>
      <c r="Q23" s="106">
        <f t="shared" si="6"/>
        <v>3748000</v>
      </c>
      <c r="R23" s="106">
        <f t="shared" si="6"/>
        <v>3748000</v>
      </c>
      <c r="S23" s="106">
        <f t="shared" si="6"/>
        <v>3748000</v>
      </c>
      <c r="T23" s="106">
        <f t="shared" si="6"/>
        <v>3748000</v>
      </c>
      <c r="U23" s="106">
        <f t="shared" si="6"/>
        <v>3748000</v>
      </c>
      <c r="V23" s="106">
        <f t="shared" si="6"/>
        <v>3748000</v>
      </c>
      <c r="W23" s="106">
        <f t="shared" si="6"/>
        <v>3748000</v>
      </c>
      <c r="X23" s="106">
        <f t="shared" si="6"/>
        <v>3748000</v>
      </c>
      <c r="Y23" s="106">
        <f t="shared" si="6"/>
        <v>3748000</v>
      </c>
      <c r="Z23" s="106">
        <f t="shared" si="6"/>
        <v>3748000</v>
      </c>
      <c r="AA23" s="106">
        <f t="shared" si="6"/>
        <v>3748000</v>
      </c>
      <c r="AB23" s="106">
        <f t="shared" si="6"/>
        <v>3748000</v>
      </c>
      <c r="AC23" s="106">
        <f t="shared" si="6"/>
        <v>3333000</v>
      </c>
      <c r="AD23" s="106">
        <f t="shared" si="6"/>
        <v>3333000</v>
      </c>
      <c r="AE23" s="106">
        <f t="shared" si="6"/>
        <v>3333000</v>
      </c>
      <c r="AF23" s="106">
        <f t="shared" si="6"/>
        <v>3333000</v>
      </c>
      <c r="AG23" s="106">
        <f t="shared" si="6"/>
        <v>3333000</v>
      </c>
      <c r="AH23" s="106">
        <f t="shared" si="6"/>
        <v>3333000</v>
      </c>
      <c r="AI23" s="106">
        <f t="shared" si="6"/>
        <v>3333000</v>
      </c>
      <c r="AJ23" s="106">
        <f t="shared" si="6"/>
        <v>3333000</v>
      </c>
      <c r="AK23" s="106">
        <f t="shared" si="6"/>
        <v>3333000</v>
      </c>
      <c r="AL23" s="106">
        <f t="shared" si="6"/>
        <v>3333000</v>
      </c>
      <c r="AM23" s="106">
        <f t="shared" si="6"/>
        <v>3333000</v>
      </c>
      <c r="AN23" s="106">
        <f t="shared" si="6"/>
        <v>3333000</v>
      </c>
      <c r="AO23" s="106">
        <f t="shared" si="6"/>
        <v>3333000</v>
      </c>
      <c r="AP23" s="106">
        <f t="shared" si="6"/>
        <v>3333000</v>
      </c>
      <c r="AQ23" s="106">
        <f t="shared" si="6"/>
        <v>3333000</v>
      </c>
      <c r="AR23" s="106">
        <f t="shared" si="6"/>
        <v>3333000</v>
      </c>
      <c r="AS23" s="106">
        <f t="shared" si="6"/>
        <v>3333000</v>
      </c>
      <c r="AT23" s="106">
        <f t="shared" si="6"/>
        <v>0</v>
      </c>
      <c r="AU23" s="106">
        <f t="shared" si="6"/>
        <v>3748000</v>
      </c>
      <c r="AV23" s="106">
        <f t="shared" si="6"/>
        <v>3333000</v>
      </c>
      <c r="AW23" s="106">
        <f t="shared" si="6"/>
        <v>3333000</v>
      </c>
      <c r="AX23" s="106">
        <f t="shared" si="6"/>
        <v>3333000</v>
      </c>
      <c r="AY23" s="106">
        <f t="shared" si="6"/>
        <v>3333000</v>
      </c>
      <c r="AZ23" s="145">
        <f t="shared" si="5"/>
        <v>152877000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1666500</v>
      </c>
      <c r="F24" s="112">
        <f t="shared" si="7"/>
        <v>0</v>
      </c>
      <c r="G24" s="112">
        <f t="shared" si="7"/>
        <v>1874000</v>
      </c>
      <c r="H24" s="112">
        <f t="shared" si="7"/>
        <v>1666500</v>
      </c>
      <c r="I24" s="112">
        <f t="shared" si="7"/>
        <v>1666500</v>
      </c>
      <c r="J24" s="112">
        <f t="shared" si="7"/>
        <v>1666500</v>
      </c>
      <c r="K24" s="112">
        <f t="shared" si="7"/>
        <v>0</v>
      </c>
      <c r="L24" s="112">
        <f t="shared" si="7"/>
        <v>1874000</v>
      </c>
      <c r="M24" s="112">
        <f t="shared" si="7"/>
        <v>1666500</v>
      </c>
      <c r="N24" s="112">
        <f t="shared" si="7"/>
        <v>1666500</v>
      </c>
      <c r="O24" s="112">
        <f t="shared" si="7"/>
        <v>1666500</v>
      </c>
      <c r="P24" s="112">
        <f t="shared" si="7"/>
        <v>1666500</v>
      </c>
      <c r="Q24" s="112">
        <f t="shared" si="7"/>
        <v>1874000</v>
      </c>
      <c r="R24" s="112">
        <f t="shared" si="7"/>
        <v>1874000</v>
      </c>
      <c r="S24" s="112">
        <f t="shared" si="7"/>
        <v>1874000</v>
      </c>
      <c r="T24" s="112">
        <f t="shared" si="7"/>
        <v>1874000</v>
      </c>
      <c r="U24" s="112">
        <f t="shared" si="7"/>
        <v>1874000</v>
      </c>
      <c r="V24" s="112">
        <f t="shared" si="7"/>
        <v>1874000</v>
      </c>
      <c r="W24" s="112">
        <f t="shared" si="7"/>
        <v>1874000</v>
      </c>
      <c r="X24" s="112">
        <f t="shared" si="7"/>
        <v>1874000</v>
      </c>
      <c r="Y24" s="112">
        <f t="shared" si="7"/>
        <v>1874000</v>
      </c>
      <c r="Z24" s="112">
        <f t="shared" si="7"/>
        <v>1874000</v>
      </c>
      <c r="AA24" s="112">
        <f t="shared" si="7"/>
        <v>1874000</v>
      </c>
      <c r="AB24" s="112">
        <f t="shared" si="7"/>
        <v>1874000</v>
      </c>
      <c r="AC24" s="112">
        <f t="shared" si="7"/>
        <v>1666500</v>
      </c>
      <c r="AD24" s="112">
        <f t="shared" si="7"/>
        <v>1666500</v>
      </c>
      <c r="AE24" s="112">
        <f t="shared" si="7"/>
        <v>1666500</v>
      </c>
      <c r="AF24" s="112">
        <f t="shared" si="7"/>
        <v>1666500</v>
      </c>
      <c r="AG24" s="112">
        <f t="shared" si="7"/>
        <v>1666500</v>
      </c>
      <c r="AH24" s="112">
        <f t="shared" si="7"/>
        <v>1666500</v>
      </c>
      <c r="AI24" s="112">
        <f t="shared" si="7"/>
        <v>1666500</v>
      </c>
      <c r="AJ24" s="112">
        <f t="shared" si="7"/>
        <v>1666500</v>
      </c>
      <c r="AK24" s="112">
        <f t="shared" si="7"/>
        <v>1666500</v>
      </c>
      <c r="AL24" s="112">
        <f t="shared" si="7"/>
        <v>1666500</v>
      </c>
      <c r="AM24" s="112">
        <f t="shared" si="7"/>
        <v>1666500</v>
      </c>
      <c r="AN24" s="112">
        <f t="shared" si="7"/>
        <v>1666500</v>
      </c>
      <c r="AO24" s="112">
        <f t="shared" si="7"/>
        <v>1666500</v>
      </c>
      <c r="AP24" s="112">
        <f t="shared" si="7"/>
        <v>1666500</v>
      </c>
      <c r="AQ24" s="112">
        <f t="shared" si="7"/>
        <v>1666500</v>
      </c>
      <c r="AR24" s="112">
        <f t="shared" si="7"/>
        <v>1666500</v>
      </c>
      <c r="AS24" s="112">
        <f t="shared" si="7"/>
        <v>1666500</v>
      </c>
      <c r="AT24" s="112">
        <f t="shared" si="7"/>
        <v>0</v>
      </c>
      <c r="AU24" s="112">
        <f t="shared" si="7"/>
        <v>1874000</v>
      </c>
      <c r="AV24" s="112">
        <f t="shared" si="7"/>
        <v>1666500</v>
      </c>
      <c r="AW24" s="112">
        <f t="shared" si="7"/>
        <v>1666500</v>
      </c>
      <c r="AX24" s="112">
        <f t="shared" si="7"/>
        <v>1666500</v>
      </c>
      <c r="AY24" s="112">
        <f t="shared" si="7"/>
        <v>1666500</v>
      </c>
      <c r="AZ24" s="147">
        <f t="shared" si="5"/>
        <v>76438500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0</v>
      </c>
      <c r="E33" s="130">
        <f>E$21*shipping_manufacturing!$D$27/100</f>
        <v>833.25</v>
      </c>
      <c r="F33" s="130">
        <f>F$21*shipping_manufacturing!$D$27/100</f>
        <v>0</v>
      </c>
      <c r="G33" s="130">
        <f>G$21*shipping_manufacturing!$D$27/100</f>
        <v>937</v>
      </c>
      <c r="H33" s="130">
        <f>H$21*shipping_manufacturing!$D$27/100</f>
        <v>833.25</v>
      </c>
      <c r="I33" s="130">
        <f>I$21*shipping_manufacturing!$D$27/100</f>
        <v>833.25</v>
      </c>
      <c r="J33" s="130">
        <f>J$21*shipping_manufacturing!$D$27/100</f>
        <v>833.25</v>
      </c>
      <c r="K33" s="130">
        <f>K$21*shipping_manufacturing!$D$27/100</f>
        <v>0</v>
      </c>
      <c r="L33" s="130">
        <f>L$21*shipping_manufacturing!$D$27/100</f>
        <v>937</v>
      </c>
      <c r="M33" s="130">
        <f>M$21*shipping_manufacturing!$D$27/100</f>
        <v>833.25</v>
      </c>
      <c r="N33" s="130">
        <f>N$21*shipping_manufacturing!$D$27/100</f>
        <v>833.25</v>
      </c>
      <c r="O33" s="130">
        <f>O$21*shipping_manufacturing!$D$27/100</f>
        <v>833.25</v>
      </c>
      <c r="P33" s="130">
        <f>P$21*shipping_manufacturing!$D$27/100</f>
        <v>833.25</v>
      </c>
      <c r="Q33" s="130">
        <f>Q$21*shipping_manufacturing!$D$27/100</f>
        <v>937</v>
      </c>
      <c r="R33" s="130">
        <f>R$21*shipping_manufacturing!$D$27/100</f>
        <v>937</v>
      </c>
      <c r="S33" s="130">
        <f>S$21*shipping_manufacturing!$D$27/100</f>
        <v>937</v>
      </c>
      <c r="T33" s="130">
        <f>T$21*shipping_manufacturing!$D$27/100</f>
        <v>937</v>
      </c>
      <c r="U33" s="130">
        <f>U$21*shipping_manufacturing!$D$27/100</f>
        <v>937</v>
      </c>
      <c r="V33" s="130">
        <f>V$21*shipping_manufacturing!$D$27/100</f>
        <v>937</v>
      </c>
      <c r="W33" s="130">
        <f>W$21*shipping_manufacturing!$D$27/100</f>
        <v>937</v>
      </c>
      <c r="X33" s="130">
        <f>X$21*shipping_manufacturing!$D$27/100</f>
        <v>937</v>
      </c>
      <c r="Y33" s="130">
        <f>Y$21*shipping_manufacturing!$D$27/100</f>
        <v>937</v>
      </c>
      <c r="Z33" s="130">
        <f>Z$21*shipping_manufacturing!$D$27/100</f>
        <v>937</v>
      </c>
      <c r="AA33" s="130">
        <f>AA$21*shipping_manufacturing!$D$27/100</f>
        <v>937</v>
      </c>
      <c r="AB33" s="130">
        <f>AB$21*shipping_manufacturing!$D$27/100</f>
        <v>937</v>
      </c>
      <c r="AC33" s="130">
        <f>AC$21*shipping_manufacturing!$D$27/100</f>
        <v>833.25</v>
      </c>
      <c r="AD33" s="130">
        <f>AD$21*shipping_manufacturing!$D$27/100</f>
        <v>833.25</v>
      </c>
      <c r="AE33" s="130">
        <f>AE$21*shipping_manufacturing!$D$27/100</f>
        <v>833.25</v>
      </c>
      <c r="AF33" s="130">
        <f>AF$21*shipping_manufacturing!$D$27/100</f>
        <v>833.25</v>
      </c>
      <c r="AG33" s="130">
        <f>AG$21*shipping_manufacturing!$D$27/100</f>
        <v>833.25</v>
      </c>
      <c r="AH33" s="130">
        <f>AH$21*shipping_manufacturing!$D$27/100</f>
        <v>833.25</v>
      </c>
      <c r="AI33" s="130">
        <f>AI$21*shipping_manufacturing!$D$27/100</f>
        <v>833.25</v>
      </c>
      <c r="AJ33" s="130">
        <f>AJ$21*shipping_manufacturing!$D$27/100</f>
        <v>833.25</v>
      </c>
      <c r="AK33" s="130">
        <f>AK$21*shipping_manufacturing!$D$27/100</f>
        <v>833.25</v>
      </c>
      <c r="AL33" s="130">
        <f>AL$21*shipping_manufacturing!$D$27/100</f>
        <v>833.25</v>
      </c>
      <c r="AM33" s="130">
        <f>AM$21*shipping_manufacturing!$D$27/100</f>
        <v>833.25</v>
      </c>
      <c r="AN33" s="130">
        <f>AN$21*shipping_manufacturing!$D$27/100</f>
        <v>833.25</v>
      </c>
      <c r="AO33" s="130">
        <f>AO$21*shipping_manufacturing!$D$27/100</f>
        <v>833.25</v>
      </c>
      <c r="AP33" s="130">
        <f>AP$21*shipping_manufacturing!$D$27/100</f>
        <v>833.25</v>
      </c>
      <c r="AQ33" s="130">
        <f>AQ$21*shipping_manufacturing!$D$27/100</f>
        <v>833.25</v>
      </c>
      <c r="AR33" s="130">
        <f>AR$21*shipping_manufacturing!$D$27/100</f>
        <v>833.25</v>
      </c>
      <c r="AS33" s="130">
        <f>AS$21*shipping_manufacturing!$D$27/100</f>
        <v>833.25</v>
      </c>
      <c r="AT33" s="130">
        <f>AT$21*shipping_manufacturing!$D$27/100</f>
        <v>0</v>
      </c>
      <c r="AU33" s="130">
        <f>AU$21*shipping_manufacturing!$D$27/100</f>
        <v>937</v>
      </c>
      <c r="AV33" s="130">
        <f>AV$21*shipping_manufacturing!$D$27/100</f>
        <v>833.25</v>
      </c>
      <c r="AW33" s="130">
        <f>AW$21*shipping_manufacturing!$D$27/100</f>
        <v>833.25</v>
      </c>
      <c r="AX33" s="130">
        <f>AX$21*shipping_manufacturing!$D$27/100</f>
        <v>833.25</v>
      </c>
      <c r="AY33" s="130">
        <f>AY$21*shipping_manufacturing!$D$27/100</f>
        <v>833.25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833.25</v>
      </c>
      <c r="F34" s="116">
        <f>F$22*shipping_manufacturing!$E$27/100</f>
        <v>0</v>
      </c>
      <c r="G34" s="116">
        <f>G$22*shipping_manufacturing!$E$27/100</f>
        <v>937</v>
      </c>
      <c r="H34" s="116">
        <f>H$22*shipping_manufacturing!$E$27/100</f>
        <v>833.25</v>
      </c>
      <c r="I34" s="116">
        <f>I$22*shipping_manufacturing!$E$27/100</f>
        <v>833.25</v>
      </c>
      <c r="J34" s="116">
        <f>J$22*shipping_manufacturing!$E$27/100</f>
        <v>833.25</v>
      </c>
      <c r="K34" s="116">
        <f>K$22*shipping_manufacturing!$E$27/100</f>
        <v>0</v>
      </c>
      <c r="L34" s="116">
        <f>L$22*shipping_manufacturing!$E$27/100</f>
        <v>937</v>
      </c>
      <c r="M34" s="116">
        <f>M$22*shipping_manufacturing!$E$27/100</f>
        <v>833.25</v>
      </c>
      <c r="N34" s="116">
        <f>N$22*shipping_manufacturing!$E$27/100</f>
        <v>833.25</v>
      </c>
      <c r="O34" s="116">
        <f>O$22*shipping_manufacturing!$E$27/100</f>
        <v>833.25</v>
      </c>
      <c r="P34" s="116">
        <f>P$22*shipping_manufacturing!$E$27/100</f>
        <v>833.25</v>
      </c>
      <c r="Q34" s="116">
        <f>Q$22*shipping_manufacturing!$E$27/100</f>
        <v>937</v>
      </c>
      <c r="R34" s="116">
        <f>R$22*shipping_manufacturing!$E$27/100</f>
        <v>937</v>
      </c>
      <c r="S34" s="116">
        <f>S$22*shipping_manufacturing!$E$27/100</f>
        <v>937</v>
      </c>
      <c r="T34" s="116">
        <f>T$22*shipping_manufacturing!$E$27/100</f>
        <v>937</v>
      </c>
      <c r="U34" s="116">
        <f>U$22*shipping_manufacturing!$E$27/100</f>
        <v>937</v>
      </c>
      <c r="V34" s="116">
        <f>V$22*shipping_manufacturing!$E$27/100</f>
        <v>937</v>
      </c>
      <c r="W34" s="116">
        <f>W$22*shipping_manufacturing!$E$27/100</f>
        <v>937</v>
      </c>
      <c r="X34" s="116">
        <f>X$22*shipping_manufacturing!$E$27/100</f>
        <v>937</v>
      </c>
      <c r="Y34" s="116">
        <f>Y$22*shipping_manufacturing!$E$27/100</f>
        <v>937</v>
      </c>
      <c r="Z34" s="116">
        <f>Z$22*shipping_manufacturing!$E$27/100</f>
        <v>937</v>
      </c>
      <c r="AA34" s="116">
        <f>AA$22*shipping_manufacturing!$E$27/100</f>
        <v>937</v>
      </c>
      <c r="AB34" s="116">
        <f>AB$22*shipping_manufacturing!$E$27/100</f>
        <v>937</v>
      </c>
      <c r="AC34" s="116">
        <f>AC$22*shipping_manufacturing!$E$27/100</f>
        <v>833.25</v>
      </c>
      <c r="AD34" s="116">
        <f>AD$22*shipping_manufacturing!$E$27/100</f>
        <v>833.25</v>
      </c>
      <c r="AE34" s="116">
        <f>AE$22*shipping_manufacturing!$E$27/100</f>
        <v>833.25</v>
      </c>
      <c r="AF34" s="116">
        <f>AF$22*shipping_manufacturing!$E$27/100</f>
        <v>833.25</v>
      </c>
      <c r="AG34" s="116">
        <f>AG$22*shipping_manufacturing!$E$27/100</f>
        <v>833.25</v>
      </c>
      <c r="AH34" s="116">
        <f>AH$22*shipping_manufacturing!$E$27/100</f>
        <v>833.25</v>
      </c>
      <c r="AI34" s="116">
        <f>AI$22*shipping_manufacturing!$E$27/100</f>
        <v>833.25</v>
      </c>
      <c r="AJ34" s="116">
        <f>AJ$22*shipping_manufacturing!$E$27/100</f>
        <v>833.25</v>
      </c>
      <c r="AK34" s="116">
        <f>AK$22*shipping_manufacturing!$E$27/100</f>
        <v>833.25</v>
      </c>
      <c r="AL34" s="116">
        <f>AL$22*shipping_manufacturing!$E$27/100</f>
        <v>833.25</v>
      </c>
      <c r="AM34" s="116">
        <f>AM$22*shipping_manufacturing!$E$27/100</f>
        <v>833.25</v>
      </c>
      <c r="AN34" s="116">
        <f>AN$22*shipping_manufacturing!$E$27/100</f>
        <v>833.25</v>
      </c>
      <c r="AO34" s="116">
        <f>AO$22*shipping_manufacturing!$E$27/100</f>
        <v>833.25</v>
      </c>
      <c r="AP34" s="116">
        <f>AP$22*shipping_manufacturing!$E$27/100</f>
        <v>833.25</v>
      </c>
      <c r="AQ34" s="116">
        <f>AQ$22*shipping_manufacturing!$E$27/100</f>
        <v>833.25</v>
      </c>
      <c r="AR34" s="116">
        <f>AR$22*shipping_manufacturing!$E$27/100</f>
        <v>833.25</v>
      </c>
      <c r="AS34" s="116">
        <f>AS$22*shipping_manufacturing!$E$27/100</f>
        <v>833.25</v>
      </c>
      <c r="AT34" s="116">
        <f>AT$22*shipping_manufacturing!$E$27/100</f>
        <v>0</v>
      </c>
      <c r="AU34" s="116">
        <f>AU$22*shipping_manufacturing!$E$27/100</f>
        <v>937</v>
      </c>
      <c r="AV34" s="116">
        <f>AV$22*shipping_manufacturing!$E$27/100</f>
        <v>833.25</v>
      </c>
      <c r="AW34" s="116">
        <f>AW$22*shipping_manufacturing!$E$27/100</f>
        <v>833.25</v>
      </c>
      <c r="AX34" s="116">
        <f>AX$22*shipping_manufacturing!$E$27/100</f>
        <v>833.25</v>
      </c>
      <c r="AY34" s="116">
        <f>AY$22*shipping_manufacturing!$E$27/100</f>
        <v>833.25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1666.5</v>
      </c>
      <c r="F35" s="116">
        <f t="shared" si="11"/>
        <v>0</v>
      </c>
      <c r="G35" s="116">
        <f t="shared" si="11"/>
        <v>1874</v>
      </c>
      <c r="H35" s="116">
        <f t="shared" si="11"/>
        <v>1666.5</v>
      </c>
      <c r="I35" s="116">
        <f t="shared" si="11"/>
        <v>1666.5</v>
      </c>
      <c r="J35" s="116">
        <f t="shared" si="11"/>
        <v>1666.5</v>
      </c>
      <c r="K35" s="116">
        <f t="shared" si="11"/>
        <v>0</v>
      </c>
      <c r="L35" s="116">
        <f t="shared" si="11"/>
        <v>1874</v>
      </c>
      <c r="M35" s="116">
        <f t="shared" si="11"/>
        <v>1666.5</v>
      </c>
      <c r="N35" s="116">
        <f t="shared" si="11"/>
        <v>1666.5</v>
      </c>
      <c r="O35" s="116">
        <f t="shared" si="11"/>
        <v>1666.5</v>
      </c>
      <c r="P35" s="116">
        <f t="shared" si="11"/>
        <v>1666.5</v>
      </c>
      <c r="Q35" s="116">
        <f t="shared" si="11"/>
        <v>1874</v>
      </c>
      <c r="R35" s="116">
        <f t="shared" si="11"/>
        <v>1874</v>
      </c>
      <c r="S35" s="116">
        <f t="shared" si="11"/>
        <v>1874</v>
      </c>
      <c r="T35" s="116">
        <f t="shared" si="11"/>
        <v>1874</v>
      </c>
      <c r="U35" s="116">
        <f t="shared" si="11"/>
        <v>1874</v>
      </c>
      <c r="V35" s="116">
        <f t="shared" si="11"/>
        <v>1874</v>
      </c>
      <c r="W35" s="116">
        <f t="shared" si="11"/>
        <v>1874</v>
      </c>
      <c r="X35" s="116">
        <f t="shared" si="11"/>
        <v>1874</v>
      </c>
      <c r="Y35" s="116">
        <f t="shared" si="11"/>
        <v>1874</v>
      </c>
      <c r="Z35" s="116">
        <f t="shared" si="11"/>
        <v>1874</v>
      </c>
      <c r="AA35" s="116">
        <f t="shared" si="11"/>
        <v>1874</v>
      </c>
      <c r="AB35" s="116">
        <f t="shared" si="11"/>
        <v>1874</v>
      </c>
      <c r="AC35" s="116">
        <f t="shared" si="11"/>
        <v>1666.5</v>
      </c>
      <c r="AD35" s="116">
        <f t="shared" si="11"/>
        <v>1666.5</v>
      </c>
      <c r="AE35" s="116">
        <f t="shared" si="11"/>
        <v>1666.5</v>
      </c>
      <c r="AF35" s="116">
        <f t="shared" si="11"/>
        <v>1666.5</v>
      </c>
      <c r="AG35" s="116">
        <f t="shared" si="11"/>
        <v>1666.5</v>
      </c>
      <c r="AH35" s="116">
        <f t="shared" si="11"/>
        <v>1666.5</v>
      </c>
      <c r="AI35" s="116">
        <f t="shared" si="11"/>
        <v>1666.5</v>
      </c>
      <c r="AJ35" s="116">
        <f t="shared" si="11"/>
        <v>1666.5</v>
      </c>
      <c r="AK35" s="116">
        <f t="shared" si="11"/>
        <v>1666.5</v>
      </c>
      <c r="AL35" s="116">
        <f t="shared" si="11"/>
        <v>1666.5</v>
      </c>
      <c r="AM35" s="116">
        <f t="shared" si="11"/>
        <v>1666.5</v>
      </c>
      <c r="AN35" s="116">
        <f t="shared" si="11"/>
        <v>1666.5</v>
      </c>
      <c r="AO35" s="116">
        <f t="shared" si="11"/>
        <v>1666.5</v>
      </c>
      <c r="AP35" s="116">
        <f t="shared" si="11"/>
        <v>1666.5</v>
      </c>
      <c r="AQ35" s="116">
        <f t="shared" si="11"/>
        <v>1666.5</v>
      </c>
      <c r="AR35" s="116">
        <f t="shared" si="11"/>
        <v>1666.5</v>
      </c>
      <c r="AS35" s="116">
        <f t="shared" si="11"/>
        <v>1666.5</v>
      </c>
      <c r="AT35" s="116">
        <f t="shared" si="11"/>
        <v>0</v>
      </c>
      <c r="AU35" s="116">
        <f t="shared" si="11"/>
        <v>1874</v>
      </c>
      <c r="AV35" s="116">
        <f t="shared" si="11"/>
        <v>1666.5</v>
      </c>
      <c r="AW35" s="116">
        <f t="shared" si="11"/>
        <v>1666.5</v>
      </c>
      <c r="AX35" s="116">
        <f t="shared" si="11"/>
        <v>1666.5</v>
      </c>
      <c r="AY35" s="116">
        <f t="shared" si="11"/>
        <v>1666.5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833.25</v>
      </c>
      <c r="F39" s="116">
        <f t="shared" si="12"/>
        <v>0</v>
      </c>
      <c r="G39" s="116">
        <f t="shared" si="12"/>
        <v>937</v>
      </c>
      <c r="H39" s="116">
        <f t="shared" si="12"/>
        <v>833.25</v>
      </c>
      <c r="I39" s="116">
        <f t="shared" si="12"/>
        <v>833.25</v>
      </c>
      <c r="J39" s="116">
        <f t="shared" si="12"/>
        <v>833.25</v>
      </c>
      <c r="K39" s="116">
        <f t="shared" si="12"/>
        <v>0</v>
      </c>
      <c r="L39" s="116">
        <f t="shared" si="12"/>
        <v>937</v>
      </c>
      <c r="M39" s="116">
        <f t="shared" si="12"/>
        <v>833.25</v>
      </c>
      <c r="N39" s="116">
        <f t="shared" si="12"/>
        <v>833.25</v>
      </c>
      <c r="O39" s="116">
        <f t="shared" si="12"/>
        <v>833.25</v>
      </c>
      <c r="P39" s="116">
        <f t="shared" si="12"/>
        <v>833.25</v>
      </c>
      <c r="Q39" s="116">
        <f t="shared" si="12"/>
        <v>937</v>
      </c>
      <c r="R39" s="116">
        <f t="shared" si="12"/>
        <v>937</v>
      </c>
      <c r="S39" s="116">
        <f t="shared" si="12"/>
        <v>937</v>
      </c>
      <c r="T39" s="116">
        <f t="shared" si="12"/>
        <v>937</v>
      </c>
      <c r="U39" s="116">
        <f t="shared" si="12"/>
        <v>937</v>
      </c>
      <c r="V39" s="116">
        <f t="shared" si="12"/>
        <v>937</v>
      </c>
      <c r="W39" s="116">
        <f t="shared" si="12"/>
        <v>937</v>
      </c>
      <c r="X39" s="116">
        <f t="shared" si="12"/>
        <v>937</v>
      </c>
      <c r="Y39" s="116">
        <f t="shared" si="12"/>
        <v>937</v>
      </c>
      <c r="Z39" s="116">
        <f t="shared" si="12"/>
        <v>937</v>
      </c>
      <c r="AA39" s="116">
        <f t="shared" si="12"/>
        <v>937</v>
      </c>
      <c r="AB39" s="116">
        <f t="shared" si="12"/>
        <v>937</v>
      </c>
      <c r="AC39" s="116">
        <f t="shared" si="12"/>
        <v>833.25</v>
      </c>
      <c r="AD39" s="116">
        <f t="shared" si="12"/>
        <v>833.25</v>
      </c>
      <c r="AE39" s="116">
        <f t="shared" si="12"/>
        <v>833.25</v>
      </c>
      <c r="AF39" s="116">
        <f t="shared" si="12"/>
        <v>833.25</v>
      </c>
      <c r="AG39" s="116">
        <f t="shared" si="12"/>
        <v>833.25</v>
      </c>
      <c r="AH39" s="116">
        <f t="shared" si="12"/>
        <v>833.25</v>
      </c>
      <c r="AI39" s="116">
        <f t="shared" si="12"/>
        <v>833.25</v>
      </c>
      <c r="AJ39" s="116">
        <f t="shared" si="12"/>
        <v>833.25</v>
      </c>
      <c r="AK39" s="116">
        <f t="shared" si="12"/>
        <v>833.25</v>
      </c>
      <c r="AL39" s="116">
        <f t="shared" si="12"/>
        <v>833.25</v>
      </c>
      <c r="AM39" s="116">
        <f t="shared" si="12"/>
        <v>833.25</v>
      </c>
      <c r="AN39" s="116">
        <f t="shared" si="12"/>
        <v>833.25</v>
      </c>
      <c r="AO39" s="116">
        <f t="shared" si="12"/>
        <v>833.25</v>
      </c>
      <c r="AP39" s="116">
        <f t="shared" si="12"/>
        <v>833.25</v>
      </c>
      <c r="AQ39" s="116">
        <f t="shared" si="12"/>
        <v>833.25</v>
      </c>
      <c r="AR39" s="116">
        <f t="shared" si="12"/>
        <v>833.25</v>
      </c>
      <c r="AS39" s="116">
        <f t="shared" si="12"/>
        <v>833.25</v>
      </c>
      <c r="AT39" s="116">
        <f t="shared" si="12"/>
        <v>0</v>
      </c>
      <c r="AU39" s="116">
        <f t="shared" si="12"/>
        <v>937</v>
      </c>
      <c r="AV39" s="116">
        <f t="shared" si="12"/>
        <v>833.25</v>
      </c>
      <c r="AW39" s="116">
        <f t="shared" si="12"/>
        <v>833.25</v>
      </c>
      <c r="AX39" s="116">
        <f t="shared" si="12"/>
        <v>833.25</v>
      </c>
      <c r="AY39" s="116">
        <f t="shared" si="12"/>
        <v>833.25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833.25</v>
      </c>
      <c r="F40" s="116">
        <f t="shared" si="13"/>
        <v>0</v>
      </c>
      <c r="G40" s="116">
        <f t="shared" si="13"/>
        <v>937</v>
      </c>
      <c r="H40" s="116">
        <f t="shared" si="13"/>
        <v>833.25</v>
      </c>
      <c r="I40" s="116">
        <f t="shared" si="13"/>
        <v>833.25</v>
      </c>
      <c r="J40" s="116">
        <f t="shared" si="13"/>
        <v>833.25</v>
      </c>
      <c r="K40" s="116">
        <f t="shared" si="13"/>
        <v>0</v>
      </c>
      <c r="L40" s="116">
        <f t="shared" si="13"/>
        <v>937</v>
      </c>
      <c r="M40" s="116">
        <f t="shared" si="13"/>
        <v>833.25</v>
      </c>
      <c r="N40" s="116">
        <f t="shared" si="13"/>
        <v>833.25</v>
      </c>
      <c r="O40" s="116">
        <f t="shared" si="13"/>
        <v>833.25</v>
      </c>
      <c r="P40" s="116">
        <f t="shared" si="13"/>
        <v>833.25</v>
      </c>
      <c r="Q40" s="116">
        <f t="shared" si="13"/>
        <v>937</v>
      </c>
      <c r="R40" s="116">
        <f t="shared" si="13"/>
        <v>937</v>
      </c>
      <c r="S40" s="116">
        <f t="shared" si="13"/>
        <v>937</v>
      </c>
      <c r="T40" s="116">
        <f t="shared" si="13"/>
        <v>937</v>
      </c>
      <c r="U40" s="116">
        <f t="shared" si="13"/>
        <v>937</v>
      </c>
      <c r="V40" s="116">
        <f t="shared" si="13"/>
        <v>937</v>
      </c>
      <c r="W40" s="116">
        <f t="shared" si="13"/>
        <v>937</v>
      </c>
      <c r="X40" s="116">
        <f t="shared" si="13"/>
        <v>937</v>
      </c>
      <c r="Y40" s="116">
        <f t="shared" si="13"/>
        <v>937</v>
      </c>
      <c r="Z40" s="116">
        <f t="shared" si="13"/>
        <v>937</v>
      </c>
      <c r="AA40" s="116">
        <f t="shared" si="13"/>
        <v>937</v>
      </c>
      <c r="AB40" s="116">
        <f t="shared" si="13"/>
        <v>937</v>
      </c>
      <c r="AC40" s="116">
        <f t="shared" si="13"/>
        <v>833.25</v>
      </c>
      <c r="AD40" s="116">
        <f t="shared" si="13"/>
        <v>833.25</v>
      </c>
      <c r="AE40" s="116">
        <f t="shared" si="13"/>
        <v>833.25</v>
      </c>
      <c r="AF40" s="116">
        <f t="shared" si="13"/>
        <v>833.25</v>
      </c>
      <c r="AG40" s="116">
        <f t="shared" si="13"/>
        <v>833.25</v>
      </c>
      <c r="AH40" s="116">
        <f t="shared" si="13"/>
        <v>833.25</v>
      </c>
      <c r="AI40" s="116">
        <f t="shared" si="13"/>
        <v>833.25</v>
      </c>
      <c r="AJ40" s="116">
        <f t="shared" si="13"/>
        <v>833.25</v>
      </c>
      <c r="AK40" s="116">
        <f t="shared" si="13"/>
        <v>833.25</v>
      </c>
      <c r="AL40" s="116">
        <f t="shared" si="13"/>
        <v>833.25</v>
      </c>
      <c r="AM40" s="116">
        <f t="shared" si="13"/>
        <v>833.25</v>
      </c>
      <c r="AN40" s="116">
        <f t="shared" si="13"/>
        <v>833.25</v>
      </c>
      <c r="AO40" s="116">
        <f t="shared" si="13"/>
        <v>833.25</v>
      </c>
      <c r="AP40" s="116">
        <f t="shared" si="13"/>
        <v>833.25</v>
      </c>
      <c r="AQ40" s="116">
        <f t="shared" si="13"/>
        <v>833.25</v>
      </c>
      <c r="AR40" s="116">
        <f t="shared" si="13"/>
        <v>833.25</v>
      </c>
      <c r="AS40" s="116">
        <f t="shared" si="13"/>
        <v>833.25</v>
      </c>
      <c r="AT40" s="116">
        <f t="shared" si="13"/>
        <v>0</v>
      </c>
      <c r="AU40" s="116">
        <f t="shared" si="13"/>
        <v>937</v>
      </c>
      <c r="AV40" s="116">
        <f t="shared" si="13"/>
        <v>833.25</v>
      </c>
      <c r="AW40" s="116">
        <f t="shared" si="13"/>
        <v>833.25</v>
      </c>
      <c r="AX40" s="116">
        <f t="shared" si="13"/>
        <v>833.25</v>
      </c>
      <c r="AY40" s="116">
        <f t="shared" si="13"/>
        <v>833.25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3</v>
      </c>
      <c r="F41" s="116">
        <v>1</v>
      </c>
      <c r="G41" s="116">
        <v>2</v>
      </c>
      <c r="H41" s="116">
        <v>2</v>
      </c>
      <c r="I41" s="116">
        <v>2</v>
      </c>
      <c r="J41" s="116">
        <v>1</v>
      </c>
      <c r="K41" s="116">
        <v>3</v>
      </c>
      <c r="L41" s="116">
        <v>1</v>
      </c>
      <c r="M41" s="116">
        <v>1</v>
      </c>
      <c r="N41" s="116">
        <v>1</v>
      </c>
      <c r="O41" s="116">
        <v>1</v>
      </c>
      <c r="P41" s="116">
        <v>2</v>
      </c>
      <c r="Q41" s="116">
        <v>1</v>
      </c>
      <c r="R41" s="116">
        <v>1</v>
      </c>
      <c r="S41" s="116">
        <v>2</v>
      </c>
      <c r="T41" s="116">
        <v>2</v>
      </c>
      <c r="U41" s="116">
        <v>2</v>
      </c>
      <c r="V41" s="116">
        <v>3</v>
      </c>
      <c r="W41" s="116">
        <v>2</v>
      </c>
      <c r="X41" s="116">
        <v>2</v>
      </c>
      <c r="Y41" s="116">
        <v>2</v>
      </c>
      <c r="Z41" s="116">
        <v>2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2</v>
      </c>
      <c r="AG41" s="116">
        <v>2</v>
      </c>
      <c r="AH41" s="116">
        <v>2</v>
      </c>
      <c r="AI41" s="116">
        <v>1</v>
      </c>
      <c r="AJ41" s="116">
        <v>1</v>
      </c>
      <c r="AK41" s="116">
        <v>2</v>
      </c>
      <c r="AL41" s="116">
        <v>1</v>
      </c>
      <c r="AM41" s="116">
        <v>1</v>
      </c>
      <c r="AN41" s="116">
        <v>2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1</v>
      </c>
      <c r="AU41" s="116">
        <v>1</v>
      </c>
      <c r="AV41" s="116">
        <v>1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1348615.125</v>
      </c>
      <c r="F43" s="116">
        <v>0</v>
      </c>
      <c r="G43" s="116">
        <v>1516534.5</v>
      </c>
      <c r="H43" s="116">
        <v>1348615.125</v>
      </c>
      <c r="I43" s="116">
        <v>1348615.125</v>
      </c>
      <c r="J43" s="116">
        <v>1348615.125</v>
      </c>
      <c r="K43" s="116">
        <v>0</v>
      </c>
      <c r="L43" s="116">
        <v>1516534.5</v>
      </c>
      <c r="M43" s="116">
        <v>1348615.125</v>
      </c>
      <c r="N43" s="116">
        <v>1348615.125</v>
      </c>
      <c r="O43" s="116">
        <v>1348615.125</v>
      </c>
      <c r="P43" s="116">
        <v>1348615.125</v>
      </c>
      <c r="Q43" s="116">
        <v>1516534.5</v>
      </c>
      <c r="R43" s="116">
        <v>1516534.5</v>
      </c>
      <c r="S43" s="116">
        <v>1516534.5</v>
      </c>
      <c r="T43" s="116">
        <v>1516534.5</v>
      </c>
      <c r="U43" s="116">
        <v>1516534.5</v>
      </c>
      <c r="V43" s="116">
        <v>1516534.5</v>
      </c>
      <c r="W43" s="116">
        <v>1516534.5</v>
      </c>
      <c r="X43" s="116">
        <v>1516534.5</v>
      </c>
      <c r="Y43" s="116">
        <v>1516534.5</v>
      </c>
      <c r="Z43" s="116">
        <v>1516534.5</v>
      </c>
      <c r="AA43" s="116">
        <v>1516534.5</v>
      </c>
      <c r="AB43" s="116">
        <v>1516534.5</v>
      </c>
      <c r="AC43" s="116">
        <v>1348615.125</v>
      </c>
      <c r="AD43" s="116">
        <v>1348615.125</v>
      </c>
      <c r="AE43" s="116">
        <v>1348615.125</v>
      </c>
      <c r="AF43" s="116">
        <v>1348615.125</v>
      </c>
      <c r="AG43" s="116">
        <v>1348615.125</v>
      </c>
      <c r="AH43" s="116">
        <v>1348615.125</v>
      </c>
      <c r="AI43" s="116">
        <v>1348615.125</v>
      </c>
      <c r="AJ43" s="116">
        <v>1348615.125</v>
      </c>
      <c r="AK43" s="116">
        <v>1348615.125</v>
      </c>
      <c r="AL43" s="116">
        <v>1348615.125</v>
      </c>
      <c r="AM43" s="116">
        <v>1348615.125</v>
      </c>
      <c r="AN43" s="116">
        <v>1348615.125</v>
      </c>
      <c r="AO43" s="116">
        <v>1348615.125</v>
      </c>
      <c r="AP43" s="116">
        <v>1348615.125</v>
      </c>
      <c r="AQ43" s="116">
        <v>1348615.125</v>
      </c>
      <c r="AR43" s="116">
        <v>1348615.125</v>
      </c>
      <c r="AS43" s="116">
        <v>1348615.125</v>
      </c>
      <c r="AT43" s="116">
        <v>0</v>
      </c>
      <c r="AU43" s="116">
        <v>1516534.5</v>
      </c>
      <c r="AV43" s="116">
        <v>1348615.125</v>
      </c>
      <c r="AW43" s="116">
        <v>1348615.125</v>
      </c>
      <c r="AX43" s="116">
        <v>1348615.125</v>
      </c>
      <c r="AY43" s="116">
        <v>1348615.125</v>
      </c>
      <c r="AZ43" s="106">
        <f>SUM($D$43:$AY$43)</f>
        <v>61857856.125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833.25</v>
      </c>
      <c r="F44" s="130">
        <f>F$21*shipping_manufacturing!$D$28/100</f>
        <v>0</v>
      </c>
      <c r="G44" s="130">
        <f>G$21*shipping_manufacturing!$D$28/100</f>
        <v>937</v>
      </c>
      <c r="H44" s="130">
        <f>H$21*shipping_manufacturing!$D$28/100</f>
        <v>833.25</v>
      </c>
      <c r="I44" s="130">
        <f>I$21*shipping_manufacturing!$D$28/100</f>
        <v>833.25</v>
      </c>
      <c r="J44" s="130">
        <f>J$21*shipping_manufacturing!$D$28/100</f>
        <v>833.25</v>
      </c>
      <c r="K44" s="130">
        <f>K$21*shipping_manufacturing!$D$28/100</f>
        <v>0</v>
      </c>
      <c r="L44" s="130">
        <f>L$21*shipping_manufacturing!$D$28/100</f>
        <v>937</v>
      </c>
      <c r="M44" s="130">
        <f>M$21*shipping_manufacturing!$D$28/100</f>
        <v>833.25</v>
      </c>
      <c r="N44" s="130">
        <f>N$21*shipping_manufacturing!$D$28/100</f>
        <v>833.25</v>
      </c>
      <c r="O44" s="130">
        <f>O$21*shipping_manufacturing!$D$28/100</f>
        <v>833.25</v>
      </c>
      <c r="P44" s="130">
        <f>P$21*shipping_manufacturing!$D$28/100</f>
        <v>833.25</v>
      </c>
      <c r="Q44" s="130">
        <f>Q$21*shipping_manufacturing!$D$28/100</f>
        <v>937</v>
      </c>
      <c r="R44" s="130">
        <f>R$21*shipping_manufacturing!$D$28/100</f>
        <v>937</v>
      </c>
      <c r="S44" s="130">
        <f>S$21*shipping_manufacturing!$D$28/100</f>
        <v>937</v>
      </c>
      <c r="T44" s="130">
        <f>T$21*shipping_manufacturing!$D$28/100</f>
        <v>937</v>
      </c>
      <c r="U44" s="130">
        <f>U$21*shipping_manufacturing!$D$28/100</f>
        <v>937</v>
      </c>
      <c r="V44" s="130">
        <f>V$21*shipping_manufacturing!$D$28/100</f>
        <v>937</v>
      </c>
      <c r="W44" s="130">
        <f>W$21*shipping_manufacturing!$D$28/100</f>
        <v>937</v>
      </c>
      <c r="X44" s="130">
        <f>X$21*shipping_manufacturing!$D$28/100</f>
        <v>937</v>
      </c>
      <c r="Y44" s="130">
        <f>Y$21*shipping_manufacturing!$D$28/100</f>
        <v>937</v>
      </c>
      <c r="Z44" s="130">
        <f>Z$21*shipping_manufacturing!$D$28/100</f>
        <v>937</v>
      </c>
      <c r="AA44" s="130">
        <f>AA$21*shipping_manufacturing!$D$28/100</f>
        <v>937</v>
      </c>
      <c r="AB44" s="130">
        <f>AB$21*shipping_manufacturing!$D$28/100</f>
        <v>937</v>
      </c>
      <c r="AC44" s="130">
        <f>AC$21*shipping_manufacturing!$D$28/100</f>
        <v>833.25</v>
      </c>
      <c r="AD44" s="130">
        <f>AD$21*shipping_manufacturing!$D$28/100</f>
        <v>833.25</v>
      </c>
      <c r="AE44" s="130">
        <f>AE$21*shipping_manufacturing!$D$28/100</f>
        <v>833.25</v>
      </c>
      <c r="AF44" s="130">
        <f>AF$21*shipping_manufacturing!$D$28/100</f>
        <v>833.25</v>
      </c>
      <c r="AG44" s="130">
        <f>AG$21*shipping_manufacturing!$D$28/100</f>
        <v>833.25</v>
      </c>
      <c r="AH44" s="130">
        <f>AH$21*shipping_manufacturing!$D$28/100</f>
        <v>833.25</v>
      </c>
      <c r="AI44" s="130">
        <f>AI$21*shipping_manufacturing!$D$28/100</f>
        <v>833.25</v>
      </c>
      <c r="AJ44" s="130">
        <f>AJ$21*shipping_manufacturing!$D$28/100</f>
        <v>833.25</v>
      </c>
      <c r="AK44" s="130">
        <f>AK$21*shipping_manufacturing!$D$28/100</f>
        <v>833.25</v>
      </c>
      <c r="AL44" s="130">
        <f>AL$21*shipping_manufacturing!$D$28/100</f>
        <v>833.25</v>
      </c>
      <c r="AM44" s="130">
        <f>AM$21*shipping_manufacturing!$D$28/100</f>
        <v>833.25</v>
      </c>
      <c r="AN44" s="130">
        <f>AN$21*shipping_manufacturing!$D$28/100</f>
        <v>833.25</v>
      </c>
      <c r="AO44" s="130">
        <f>AO$21*shipping_manufacturing!$D$28/100</f>
        <v>833.25</v>
      </c>
      <c r="AP44" s="130">
        <f>AP$21*shipping_manufacturing!$D$28/100</f>
        <v>833.25</v>
      </c>
      <c r="AQ44" s="130">
        <f>AQ$21*shipping_manufacturing!$D$28/100</f>
        <v>833.25</v>
      </c>
      <c r="AR44" s="130">
        <f>AR$21*shipping_manufacturing!$D$28/100</f>
        <v>833.25</v>
      </c>
      <c r="AS44" s="130">
        <f>AS$21*shipping_manufacturing!$D$28/100</f>
        <v>833.25</v>
      </c>
      <c r="AT44" s="130">
        <f>AT$21*shipping_manufacturing!$D$28/100</f>
        <v>0</v>
      </c>
      <c r="AU44" s="130">
        <f>AU$21*shipping_manufacturing!$D$28/100</f>
        <v>937</v>
      </c>
      <c r="AV44" s="130">
        <f>AV$21*shipping_manufacturing!$D$28/100</f>
        <v>833.25</v>
      </c>
      <c r="AW44" s="130">
        <f>AW$21*shipping_manufacturing!$D$28/100</f>
        <v>833.25</v>
      </c>
      <c r="AX44" s="130">
        <f>AX$21*shipping_manufacturing!$D$28/100</f>
        <v>833.25</v>
      </c>
      <c r="AY44" s="130">
        <f>AY$21*shipping_manufacturing!$D$28/100</f>
        <v>833.25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833.25</v>
      </c>
      <c r="F45" s="116">
        <f>F$22*shipping_manufacturing!$E$28/100</f>
        <v>0</v>
      </c>
      <c r="G45" s="116">
        <f>G$22*shipping_manufacturing!$E$28/100</f>
        <v>937</v>
      </c>
      <c r="H45" s="116">
        <f>H$22*shipping_manufacturing!$E$28/100</f>
        <v>833.25</v>
      </c>
      <c r="I45" s="116">
        <f>I$22*shipping_manufacturing!$E$28/100</f>
        <v>833.25</v>
      </c>
      <c r="J45" s="116">
        <f>J$22*shipping_manufacturing!$E$28/100</f>
        <v>833.25</v>
      </c>
      <c r="K45" s="116">
        <f>K$22*shipping_manufacturing!$E$28/100</f>
        <v>0</v>
      </c>
      <c r="L45" s="116">
        <f>L$22*shipping_manufacturing!$E$28/100</f>
        <v>937</v>
      </c>
      <c r="M45" s="116">
        <f>M$22*shipping_manufacturing!$E$28/100</f>
        <v>833.25</v>
      </c>
      <c r="N45" s="116">
        <f>N$22*shipping_manufacturing!$E$28/100</f>
        <v>833.25</v>
      </c>
      <c r="O45" s="116">
        <f>O$22*shipping_manufacturing!$E$28/100</f>
        <v>833.25</v>
      </c>
      <c r="P45" s="116">
        <f>P$22*shipping_manufacturing!$E$28/100</f>
        <v>833.25</v>
      </c>
      <c r="Q45" s="116">
        <f>Q$22*shipping_manufacturing!$E$28/100</f>
        <v>937</v>
      </c>
      <c r="R45" s="116">
        <f>R$22*shipping_manufacturing!$E$28/100</f>
        <v>937</v>
      </c>
      <c r="S45" s="116">
        <f>S$22*shipping_manufacturing!$E$28/100</f>
        <v>937</v>
      </c>
      <c r="T45" s="116">
        <f>T$22*shipping_manufacturing!$E$28/100</f>
        <v>937</v>
      </c>
      <c r="U45" s="116">
        <f>U$22*shipping_manufacturing!$E$28/100</f>
        <v>937</v>
      </c>
      <c r="V45" s="116">
        <f>V$22*shipping_manufacturing!$E$28/100</f>
        <v>937</v>
      </c>
      <c r="W45" s="116">
        <f>W$22*shipping_manufacturing!$E$28/100</f>
        <v>937</v>
      </c>
      <c r="X45" s="116">
        <f>X$22*shipping_manufacturing!$E$28/100</f>
        <v>937</v>
      </c>
      <c r="Y45" s="116">
        <f>Y$22*shipping_manufacturing!$E$28/100</f>
        <v>937</v>
      </c>
      <c r="Z45" s="116">
        <f>Z$22*shipping_manufacturing!$E$28/100</f>
        <v>937</v>
      </c>
      <c r="AA45" s="116">
        <f>AA$22*shipping_manufacturing!$E$28/100</f>
        <v>937</v>
      </c>
      <c r="AB45" s="116">
        <f>AB$22*shipping_manufacturing!$E$28/100</f>
        <v>937</v>
      </c>
      <c r="AC45" s="116">
        <f>AC$22*shipping_manufacturing!$E$28/100</f>
        <v>833.25</v>
      </c>
      <c r="AD45" s="116">
        <f>AD$22*shipping_manufacturing!$E$28/100</f>
        <v>833.25</v>
      </c>
      <c r="AE45" s="116">
        <f>AE$22*shipping_manufacturing!$E$28/100</f>
        <v>833.25</v>
      </c>
      <c r="AF45" s="116">
        <f>AF$22*shipping_manufacturing!$E$28/100</f>
        <v>833.25</v>
      </c>
      <c r="AG45" s="116">
        <f>AG$22*shipping_manufacturing!$E$28/100</f>
        <v>833.25</v>
      </c>
      <c r="AH45" s="116">
        <f>AH$22*shipping_manufacturing!$E$28/100</f>
        <v>833.25</v>
      </c>
      <c r="AI45" s="116">
        <f>AI$22*shipping_manufacturing!$E$28/100</f>
        <v>833.25</v>
      </c>
      <c r="AJ45" s="116">
        <f>AJ$22*shipping_manufacturing!$E$28/100</f>
        <v>833.25</v>
      </c>
      <c r="AK45" s="116">
        <f>AK$22*shipping_manufacturing!$E$28/100</f>
        <v>833.25</v>
      </c>
      <c r="AL45" s="116">
        <f>AL$22*shipping_manufacturing!$E$28/100</f>
        <v>833.25</v>
      </c>
      <c r="AM45" s="116">
        <f>AM$22*shipping_manufacturing!$E$28/100</f>
        <v>833.25</v>
      </c>
      <c r="AN45" s="116">
        <f>AN$22*shipping_manufacturing!$E$28/100</f>
        <v>833.25</v>
      </c>
      <c r="AO45" s="116">
        <f>AO$22*shipping_manufacturing!$E$28/100</f>
        <v>833.25</v>
      </c>
      <c r="AP45" s="116">
        <f>AP$22*shipping_manufacturing!$E$28/100</f>
        <v>833.25</v>
      </c>
      <c r="AQ45" s="116">
        <f>AQ$22*shipping_manufacturing!$E$28/100</f>
        <v>833.25</v>
      </c>
      <c r="AR45" s="116">
        <f>AR$22*shipping_manufacturing!$E$28/100</f>
        <v>833.25</v>
      </c>
      <c r="AS45" s="116">
        <f>AS$22*shipping_manufacturing!$E$28/100</f>
        <v>833.25</v>
      </c>
      <c r="AT45" s="116">
        <f>AT$22*shipping_manufacturing!$E$28/100</f>
        <v>0</v>
      </c>
      <c r="AU45" s="116">
        <f>AU$22*shipping_manufacturing!$E$28/100</f>
        <v>937</v>
      </c>
      <c r="AV45" s="116">
        <f>AV$22*shipping_manufacturing!$E$28/100</f>
        <v>833.25</v>
      </c>
      <c r="AW45" s="116">
        <f>AW$22*shipping_manufacturing!$E$28/100</f>
        <v>833.25</v>
      </c>
      <c r="AX45" s="116">
        <f>AX$22*shipping_manufacturing!$E$28/100</f>
        <v>833.25</v>
      </c>
      <c r="AY45" s="116">
        <f>AY$22*shipping_manufacturing!$E$28/100</f>
        <v>833.25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1666.5</v>
      </c>
      <c r="F46" s="116">
        <f t="shared" si="14"/>
        <v>0</v>
      </c>
      <c r="G46" s="116">
        <f t="shared" si="14"/>
        <v>1874</v>
      </c>
      <c r="H46" s="116">
        <f t="shared" si="14"/>
        <v>1666.5</v>
      </c>
      <c r="I46" s="116">
        <f t="shared" si="14"/>
        <v>1666.5</v>
      </c>
      <c r="J46" s="116">
        <f t="shared" si="14"/>
        <v>1666.5</v>
      </c>
      <c r="K46" s="116">
        <f t="shared" si="14"/>
        <v>0</v>
      </c>
      <c r="L46" s="116">
        <f t="shared" si="14"/>
        <v>1874</v>
      </c>
      <c r="M46" s="116">
        <f t="shared" si="14"/>
        <v>1666.5</v>
      </c>
      <c r="N46" s="116">
        <f t="shared" si="14"/>
        <v>1666.5</v>
      </c>
      <c r="O46" s="116">
        <f t="shared" si="14"/>
        <v>1666.5</v>
      </c>
      <c r="P46" s="116">
        <f t="shared" si="14"/>
        <v>1666.5</v>
      </c>
      <c r="Q46" s="116">
        <f t="shared" si="14"/>
        <v>1874</v>
      </c>
      <c r="R46" s="116">
        <f t="shared" si="14"/>
        <v>1874</v>
      </c>
      <c r="S46" s="116">
        <f t="shared" si="14"/>
        <v>1874</v>
      </c>
      <c r="T46" s="116">
        <f t="shared" si="14"/>
        <v>1874</v>
      </c>
      <c r="U46" s="116">
        <f t="shared" si="14"/>
        <v>1874</v>
      </c>
      <c r="V46" s="116">
        <f t="shared" si="14"/>
        <v>1874</v>
      </c>
      <c r="W46" s="116">
        <f t="shared" si="14"/>
        <v>1874</v>
      </c>
      <c r="X46" s="116">
        <f t="shared" si="14"/>
        <v>1874</v>
      </c>
      <c r="Y46" s="116">
        <f t="shared" si="14"/>
        <v>1874</v>
      </c>
      <c r="Z46" s="116">
        <f t="shared" si="14"/>
        <v>1874</v>
      </c>
      <c r="AA46" s="116">
        <f t="shared" si="14"/>
        <v>1874</v>
      </c>
      <c r="AB46" s="116">
        <f t="shared" si="14"/>
        <v>1874</v>
      </c>
      <c r="AC46" s="116">
        <f t="shared" si="14"/>
        <v>1666.5</v>
      </c>
      <c r="AD46" s="116">
        <f t="shared" si="14"/>
        <v>1666.5</v>
      </c>
      <c r="AE46" s="116">
        <f t="shared" si="14"/>
        <v>1666.5</v>
      </c>
      <c r="AF46" s="116">
        <f t="shared" si="14"/>
        <v>1666.5</v>
      </c>
      <c r="AG46" s="116">
        <f t="shared" si="14"/>
        <v>1666.5</v>
      </c>
      <c r="AH46" s="116">
        <f t="shared" si="14"/>
        <v>1666.5</v>
      </c>
      <c r="AI46" s="116">
        <f t="shared" si="14"/>
        <v>1666.5</v>
      </c>
      <c r="AJ46" s="116">
        <f t="shared" si="14"/>
        <v>1666.5</v>
      </c>
      <c r="AK46" s="116">
        <f t="shared" si="14"/>
        <v>1666.5</v>
      </c>
      <c r="AL46" s="116">
        <f t="shared" si="14"/>
        <v>1666.5</v>
      </c>
      <c r="AM46" s="116">
        <f t="shared" si="14"/>
        <v>1666.5</v>
      </c>
      <c r="AN46" s="116">
        <f t="shared" si="14"/>
        <v>1666.5</v>
      </c>
      <c r="AO46" s="116">
        <f t="shared" si="14"/>
        <v>1666.5</v>
      </c>
      <c r="AP46" s="116">
        <f t="shared" si="14"/>
        <v>1666.5</v>
      </c>
      <c r="AQ46" s="116">
        <f t="shared" si="14"/>
        <v>1666.5</v>
      </c>
      <c r="AR46" s="116">
        <f t="shared" si="14"/>
        <v>1666.5</v>
      </c>
      <c r="AS46" s="116">
        <f t="shared" si="14"/>
        <v>1666.5</v>
      </c>
      <c r="AT46" s="116">
        <f t="shared" si="14"/>
        <v>0</v>
      </c>
      <c r="AU46" s="116">
        <f t="shared" si="14"/>
        <v>1874</v>
      </c>
      <c r="AV46" s="116">
        <f t="shared" si="14"/>
        <v>1666.5</v>
      </c>
      <c r="AW46" s="116">
        <f t="shared" si="14"/>
        <v>1666.5</v>
      </c>
      <c r="AX46" s="116">
        <f t="shared" si="14"/>
        <v>1666.5</v>
      </c>
      <c r="AY46" s="116">
        <f t="shared" si="14"/>
        <v>1666.5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833.25</v>
      </c>
      <c r="F50" s="116">
        <f t="shared" si="15"/>
        <v>0</v>
      </c>
      <c r="G50" s="116">
        <f t="shared" si="15"/>
        <v>937</v>
      </c>
      <c r="H50" s="116">
        <f t="shared" si="15"/>
        <v>833.25</v>
      </c>
      <c r="I50" s="116">
        <f t="shared" si="15"/>
        <v>833.25</v>
      </c>
      <c r="J50" s="116">
        <f t="shared" si="15"/>
        <v>833.25</v>
      </c>
      <c r="K50" s="116">
        <f t="shared" si="15"/>
        <v>0</v>
      </c>
      <c r="L50" s="116">
        <f t="shared" si="15"/>
        <v>937</v>
      </c>
      <c r="M50" s="116">
        <f t="shared" si="15"/>
        <v>833.25</v>
      </c>
      <c r="N50" s="116">
        <f t="shared" si="15"/>
        <v>833.25</v>
      </c>
      <c r="O50" s="116">
        <f t="shared" si="15"/>
        <v>833.25</v>
      </c>
      <c r="P50" s="116">
        <f t="shared" si="15"/>
        <v>833.25</v>
      </c>
      <c r="Q50" s="116">
        <f t="shared" si="15"/>
        <v>937</v>
      </c>
      <c r="R50" s="116">
        <f t="shared" si="15"/>
        <v>937</v>
      </c>
      <c r="S50" s="116">
        <f t="shared" si="15"/>
        <v>937</v>
      </c>
      <c r="T50" s="116">
        <f t="shared" si="15"/>
        <v>937</v>
      </c>
      <c r="U50" s="116">
        <f t="shared" si="15"/>
        <v>937</v>
      </c>
      <c r="V50" s="116">
        <f t="shared" si="15"/>
        <v>937</v>
      </c>
      <c r="W50" s="116">
        <f t="shared" si="15"/>
        <v>937</v>
      </c>
      <c r="X50" s="116">
        <f t="shared" si="15"/>
        <v>937</v>
      </c>
      <c r="Y50" s="116">
        <f t="shared" si="15"/>
        <v>937</v>
      </c>
      <c r="Z50" s="116">
        <f t="shared" si="15"/>
        <v>937</v>
      </c>
      <c r="AA50" s="116">
        <f t="shared" si="15"/>
        <v>937</v>
      </c>
      <c r="AB50" s="116">
        <f t="shared" si="15"/>
        <v>937</v>
      </c>
      <c r="AC50" s="116">
        <f t="shared" si="15"/>
        <v>833.25</v>
      </c>
      <c r="AD50" s="116">
        <f t="shared" si="15"/>
        <v>833.25</v>
      </c>
      <c r="AE50" s="116">
        <f t="shared" si="15"/>
        <v>833.25</v>
      </c>
      <c r="AF50" s="116">
        <f t="shared" si="15"/>
        <v>833.25</v>
      </c>
      <c r="AG50" s="116">
        <f t="shared" si="15"/>
        <v>833.25</v>
      </c>
      <c r="AH50" s="116">
        <f t="shared" si="15"/>
        <v>833.25</v>
      </c>
      <c r="AI50" s="116">
        <f t="shared" si="15"/>
        <v>833.25</v>
      </c>
      <c r="AJ50" s="116">
        <f t="shared" si="15"/>
        <v>833.25</v>
      </c>
      <c r="AK50" s="116">
        <f t="shared" si="15"/>
        <v>833.25</v>
      </c>
      <c r="AL50" s="116">
        <f t="shared" si="15"/>
        <v>833.25</v>
      </c>
      <c r="AM50" s="116">
        <f t="shared" si="15"/>
        <v>833.25</v>
      </c>
      <c r="AN50" s="116">
        <f t="shared" si="15"/>
        <v>833.25</v>
      </c>
      <c r="AO50" s="116">
        <f t="shared" si="15"/>
        <v>833.25</v>
      </c>
      <c r="AP50" s="116">
        <f t="shared" si="15"/>
        <v>833.25</v>
      </c>
      <c r="AQ50" s="116">
        <f t="shared" si="15"/>
        <v>833.25</v>
      </c>
      <c r="AR50" s="116">
        <f t="shared" si="15"/>
        <v>833.25</v>
      </c>
      <c r="AS50" s="116">
        <f t="shared" si="15"/>
        <v>833.25</v>
      </c>
      <c r="AT50" s="116">
        <f t="shared" si="15"/>
        <v>0</v>
      </c>
      <c r="AU50" s="116">
        <f t="shared" si="15"/>
        <v>937</v>
      </c>
      <c r="AV50" s="116">
        <f t="shared" si="15"/>
        <v>833.25</v>
      </c>
      <c r="AW50" s="116">
        <f t="shared" si="15"/>
        <v>833.25</v>
      </c>
      <c r="AX50" s="116">
        <f t="shared" si="15"/>
        <v>833.25</v>
      </c>
      <c r="AY50" s="116">
        <f t="shared" si="15"/>
        <v>833.25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833.25</v>
      </c>
      <c r="F51" s="116">
        <f t="shared" si="16"/>
        <v>0</v>
      </c>
      <c r="G51" s="116">
        <f t="shared" si="16"/>
        <v>937</v>
      </c>
      <c r="H51" s="116">
        <f t="shared" si="16"/>
        <v>833.25</v>
      </c>
      <c r="I51" s="116">
        <f t="shared" si="16"/>
        <v>833.25</v>
      </c>
      <c r="J51" s="116">
        <f t="shared" si="16"/>
        <v>833.25</v>
      </c>
      <c r="K51" s="116">
        <f t="shared" si="16"/>
        <v>0</v>
      </c>
      <c r="L51" s="116">
        <f t="shared" si="16"/>
        <v>937</v>
      </c>
      <c r="M51" s="116">
        <f t="shared" si="16"/>
        <v>833.25</v>
      </c>
      <c r="N51" s="116">
        <f t="shared" si="16"/>
        <v>833.25</v>
      </c>
      <c r="O51" s="116">
        <f t="shared" si="16"/>
        <v>833.25</v>
      </c>
      <c r="P51" s="116">
        <f t="shared" si="16"/>
        <v>833.25</v>
      </c>
      <c r="Q51" s="116">
        <f t="shared" si="16"/>
        <v>937</v>
      </c>
      <c r="R51" s="116">
        <f t="shared" si="16"/>
        <v>937</v>
      </c>
      <c r="S51" s="116">
        <f t="shared" si="16"/>
        <v>937</v>
      </c>
      <c r="T51" s="116">
        <f t="shared" si="16"/>
        <v>937</v>
      </c>
      <c r="U51" s="116">
        <f t="shared" si="16"/>
        <v>937</v>
      </c>
      <c r="V51" s="116">
        <f t="shared" si="16"/>
        <v>937</v>
      </c>
      <c r="W51" s="116">
        <f t="shared" si="16"/>
        <v>937</v>
      </c>
      <c r="X51" s="116">
        <f t="shared" si="16"/>
        <v>937</v>
      </c>
      <c r="Y51" s="116">
        <f t="shared" si="16"/>
        <v>937</v>
      </c>
      <c r="Z51" s="116">
        <f t="shared" si="16"/>
        <v>937</v>
      </c>
      <c r="AA51" s="116">
        <f t="shared" si="16"/>
        <v>937</v>
      </c>
      <c r="AB51" s="116">
        <f t="shared" si="16"/>
        <v>937</v>
      </c>
      <c r="AC51" s="116">
        <f t="shared" si="16"/>
        <v>833.25</v>
      </c>
      <c r="AD51" s="116">
        <f t="shared" si="16"/>
        <v>833.25</v>
      </c>
      <c r="AE51" s="116">
        <f t="shared" si="16"/>
        <v>833.25</v>
      </c>
      <c r="AF51" s="116">
        <f t="shared" si="16"/>
        <v>833.25</v>
      </c>
      <c r="AG51" s="116">
        <f t="shared" si="16"/>
        <v>833.25</v>
      </c>
      <c r="AH51" s="116">
        <f t="shared" si="16"/>
        <v>833.25</v>
      </c>
      <c r="AI51" s="116">
        <f t="shared" si="16"/>
        <v>833.25</v>
      </c>
      <c r="AJ51" s="116">
        <f t="shared" si="16"/>
        <v>833.25</v>
      </c>
      <c r="AK51" s="116">
        <f t="shared" si="16"/>
        <v>833.25</v>
      </c>
      <c r="AL51" s="116">
        <f t="shared" si="16"/>
        <v>833.25</v>
      </c>
      <c r="AM51" s="116">
        <f t="shared" si="16"/>
        <v>833.25</v>
      </c>
      <c r="AN51" s="116">
        <f t="shared" si="16"/>
        <v>833.25</v>
      </c>
      <c r="AO51" s="116">
        <f t="shared" si="16"/>
        <v>833.25</v>
      </c>
      <c r="AP51" s="116">
        <f t="shared" si="16"/>
        <v>833.25</v>
      </c>
      <c r="AQ51" s="116">
        <f t="shared" si="16"/>
        <v>833.25</v>
      </c>
      <c r="AR51" s="116">
        <f t="shared" si="16"/>
        <v>833.25</v>
      </c>
      <c r="AS51" s="116">
        <f t="shared" si="16"/>
        <v>833.25</v>
      </c>
      <c r="AT51" s="116">
        <f t="shared" si="16"/>
        <v>0</v>
      </c>
      <c r="AU51" s="116">
        <f t="shared" si="16"/>
        <v>937</v>
      </c>
      <c r="AV51" s="116">
        <f t="shared" si="16"/>
        <v>833.25</v>
      </c>
      <c r="AW51" s="116">
        <f t="shared" si="16"/>
        <v>833.25</v>
      </c>
      <c r="AX51" s="116">
        <f t="shared" si="16"/>
        <v>833.25</v>
      </c>
      <c r="AY51" s="116">
        <f t="shared" si="16"/>
        <v>833.25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3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116">
        <v>1</v>
      </c>
      <c r="M52" s="116">
        <v>2</v>
      </c>
      <c r="N52" s="116">
        <v>2</v>
      </c>
      <c r="O52" s="116">
        <v>2</v>
      </c>
      <c r="P52" s="116">
        <v>1</v>
      </c>
      <c r="Q52" s="116">
        <v>1</v>
      </c>
      <c r="R52" s="116">
        <v>2</v>
      </c>
      <c r="S52" s="116">
        <v>1</v>
      </c>
      <c r="T52" s="116">
        <v>2</v>
      </c>
      <c r="U52" s="116">
        <v>1</v>
      </c>
      <c r="V52" s="116">
        <v>2</v>
      </c>
      <c r="W52" s="116">
        <v>1</v>
      </c>
      <c r="X52" s="116">
        <v>2</v>
      </c>
      <c r="Y52" s="116">
        <v>2</v>
      </c>
      <c r="Z52" s="116">
        <v>1</v>
      </c>
      <c r="AA52" s="116">
        <v>1</v>
      </c>
      <c r="AB52" s="116">
        <v>1</v>
      </c>
      <c r="AC52" s="116">
        <v>2</v>
      </c>
      <c r="AD52" s="116">
        <v>1</v>
      </c>
      <c r="AE52" s="116">
        <v>1</v>
      </c>
      <c r="AF52" s="116">
        <v>1</v>
      </c>
      <c r="AG52" s="116">
        <v>1</v>
      </c>
      <c r="AH52" s="116">
        <v>3</v>
      </c>
      <c r="AI52" s="116">
        <v>1</v>
      </c>
      <c r="AJ52" s="116">
        <v>1</v>
      </c>
      <c r="AK52" s="116">
        <v>2</v>
      </c>
      <c r="AL52" s="116">
        <v>2</v>
      </c>
      <c r="AM52" s="116">
        <v>1</v>
      </c>
      <c r="AN52" s="116">
        <v>1</v>
      </c>
      <c r="AO52" s="116">
        <v>2</v>
      </c>
      <c r="AP52" s="116">
        <v>2</v>
      </c>
      <c r="AQ52" s="116">
        <v>1</v>
      </c>
      <c r="AR52" s="116">
        <v>1</v>
      </c>
      <c r="AS52" s="116">
        <v>2</v>
      </c>
      <c r="AT52" s="116">
        <v>1</v>
      </c>
      <c r="AU52" s="116">
        <v>2</v>
      </c>
      <c r="AV52" s="116">
        <v>2</v>
      </c>
      <c r="AW52" s="116">
        <v>2</v>
      </c>
      <c r="AX52" s="116">
        <v>1</v>
      </c>
      <c r="AY52" s="116">
        <v>1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536196.375</v>
      </c>
      <c r="F54" s="131">
        <v>0</v>
      </c>
      <c r="G54" s="131">
        <v>602959.5</v>
      </c>
      <c r="H54" s="131">
        <v>536196.375</v>
      </c>
      <c r="I54" s="131">
        <v>536196.375</v>
      </c>
      <c r="J54" s="131">
        <v>536196.375</v>
      </c>
      <c r="K54" s="131">
        <v>0</v>
      </c>
      <c r="L54" s="131">
        <v>602959.5</v>
      </c>
      <c r="M54" s="131">
        <v>536196.375</v>
      </c>
      <c r="N54" s="131">
        <v>536196.375</v>
      </c>
      <c r="O54" s="131">
        <v>536196.375</v>
      </c>
      <c r="P54" s="131">
        <v>536196.375</v>
      </c>
      <c r="Q54" s="131">
        <v>602959.5</v>
      </c>
      <c r="R54" s="131">
        <v>602959.5</v>
      </c>
      <c r="S54" s="131">
        <v>602959.5</v>
      </c>
      <c r="T54" s="131">
        <v>602959.5</v>
      </c>
      <c r="U54" s="131">
        <v>602959.5</v>
      </c>
      <c r="V54" s="131">
        <v>602959.5</v>
      </c>
      <c r="W54" s="131">
        <v>602959.5</v>
      </c>
      <c r="X54" s="131">
        <v>602959.5</v>
      </c>
      <c r="Y54" s="131">
        <v>602959.5</v>
      </c>
      <c r="Z54" s="131">
        <v>602959.5</v>
      </c>
      <c r="AA54" s="131">
        <v>602959.5</v>
      </c>
      <c r="AB54" s="131">
        <v>602959.5</v>
      </c>
      <c r="AC54" s="131">
        <v>536196.375</v>
      </c>
      <c r="AD54" s="131">
        <v>536196.375</v>
      </c>
      <c r="AE54" s="131">
        <v>536196.375</v>
      </c>
      <c r="AF54" s="131">
        <v>536196.375</v>
      </c>
      <c r="AG54" s="131">
        <v>536196.375</v>
      </c>
      <c r="AH54" s="131">
        <v>536196.375</v>
      </c>
      <c r="AI54" s="131">
        <v>536196.375</v>
      </c>
      <c r="AJ54" s="131">
        <v>536196.375</v>
      </c>
      <c r="AK54" s="131">
        <v>536196.375</v>
      </c>
      <c r="AL54" s="131">
        <v>536196.375</v>
      </c>
      <c r="AM54" s="131">
        <v>536196.375</v>
      </c>
      <c r="AN54" s="131">
        <v>536196.375</v>
      </c>
      <c r="AO54" s="131">
        <v>536196.375</v>
      </c>
      <c r="AP54" s="131">
        <v>536196.375</v>
      </c>
      <c r="AQ54" s="131">
        <v>536196.375</v>
      </c>
      <c r="AR54" s="131">
        <v>536196.375</v>
      </c>
      <c r="AS54" s="131">
        <v>536196.375</v>
      </c>
      <c r="AT54" s="131">
        <v>0</v>
      </c>
      <c r="AU54" s="131">
        <v>602959.5</v>
      </c>
      <c r="AV54" s="131">
        <v>536196.375</v>
      </c>
      <c r="AW54" s="131">
        <v>536196.375</v>
      </c>
      <c r="AX54" s="131">
        <v>536196.375</v>
      </c>
      <c r="AY54" s="131">
        <v>536196.375</v>
      </c>
      <c r="AZ54" s="106">
        <f>SUM($D$54:$AY$54)</f>
        <v>24594087.375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22</v>
      </c>
    </row>
    <row r="3" spans="1:53" x14ac:dyDescent="0.2">
      <c r="A3" s="106" t="s">
        <v>285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3333</v>
      </c>
      <c r="E9" s="123">
        <v>3333</v>
      </c>
      <c r="F9" s="123">
        <v>3333</v>
      </c>
      <c r="G9" s="123">
        <v>3333</v>
      </c>
      <c r="H9" s="123">
        <v>3333</v>
      </c>
      <c r="I9" s="123">
        <v>3333</v>
      </c>
      <c r="J9" s="123">
        <v>3333</v>
      </c>
      <c r="K9" s="123">
        <v>3333</v>
      </c>
      <c r="L9" s="123">
        <v>3333</v>
      </c>
      <c r="M9" s="123">
        <v>3333</v>
      </c>
      <c r="N9" s="123">
        <v>3333</v>
      </c>
      <c r="O9" s="123">
        <v>3333</v>
      </c>
      <c r="P9" s="123">
        <v>4999.5</v>
      </c>
      <c r="Q9" s="123">
        <v>4999.5</v>
      </c>
      <c r="R9" s="123">
        <v>4999.5</v>
      </c>
      <c r="S9" s="123">
        <v>4999.5</v>
      </c>
      <c r="T9" s="123">
        <v>4999.5</v>
      </c>
      <c r="U9" s="123">
        <v>4999.5</v>
      </c>
      <c r="V9" s="123">
        <v>4999.5</v>
      </c>
      <c r="W9" s="123">
        <v>4999.5</v>
      </c>
      <c r="X9" s="123">
        <v>4166.25</v>
      </c>
      <c r="Y9" s="123">
        <v>4166.25</v>
      </c>
      <c r="Z9" s="123">
        <v>4166.25</v>
      </c>
      <c r="AA9" s="123">
        <v>4166.25</v>
      </c>
      <c r="AB9" s="123">
        <v>3333</v>
      </c>
      <c r="AC9" s="123">
        <v>3333</v>
      </c>
      <c r="AD9" s="123">
        <v>3333</v>
      </c>
      <c r="AE9" s="123">
        <v>3333</v>
      </c>
      <c r="AF9" s="123">
        <v>3333</v>
      </c>
      <c r="AG9" s="123">
        <v>3333</v>
      </c>
      <c r="AH9" s="123">
        <v>3333</v>
      </c>
      <c r="AI9" s="123">
        <v>3333</v>
      </c>
      <c r="AJ9" s="123">
        <v>3333</v>
      </c>
      <c r="AK9" s="123">
        <v>3333</v>
      </c>
      <c r="AL9" s="123">
        <v>3333</v>
      </c>
      <c r="AM9" s="123">
        <v>3333</v>
      </c>
      <c r="AN9" s="123">
        <v>3333</v>
      </c>
      <c r="AO9" s="123">
        <v>3333</v>
      </c>
      <c r="AP9" s="123">
        <v>3333</v>
      </c>
      <c r="AQ9" s="123">
        <v>3333</v>
      </c>
      <c r="AR9" s="123">
        <v>3333</v>
      </c>
      <c r="AS9" s="123">
        <v>3333</v>
      </c>
      <c r="AT9" s="123">
        <v>3333</v>
      </c>
      <c r="AU9" s="123">
        <v>3333</v>
      </c>
      <c r="AV9" s="123">
        <v>3333</v>
      </c>
      <c r="AW9" s="123">
        <v>3333</v>
      </c>
      <c r="AX9" s="123">
        <v>3333</v>
      </c>
      <c r="AY9" s="123">
        <v>3333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833.25</v>
      </c>
      <c r="L10" s="106">
        <v>0</v>
      </c>
      <c r="M10" s="106">
        <v>937</v>
      </c>
      <c r="N10" s="106">
        <v>833.25</v>
      </c>
      <c r="O10" s="106">
        <v>833.25</v>
      </c>
      <c r="P10" s="106">
        <v>833.25</v>
      </c>
      <c r="Q10" s="106">
        <v>0</v>
      </c>
      <c r="R10" s="106">
        <v>937</v>
      </c>
      <c r="S10" s="106">
        <v>937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937</v>
      </c>
      <c r="AC10" s="106">
        <v>937</v>
      </c>
      <c r="AD10" s="106">
        <v>833.25</v>
      </c>
      <c r="AE10" s="106">
        <v>833.25</v>
      </c>
      <c r="AF10" s="106">
        <v>833.25</v>
      </c>
      <c r="AG10" s="106">
        <v>0</v>
      </c>
      <c r="AH10" s="106">
        <v>0</v>
      </c>
      <c r="AI10" s="106">
        <v>0</v>
      </c>
      <c r="AJ10" s="106">
        <v>833.25</v>
      </c>
      <c r="AK10" s="106">
        <v>833.25</v>
      </c>
      <c r="AL10" s="106">
        <v>0</v>
      </c>
      <c r="AM10" s="106">
        <v>833.25</v>
      </c>
      <c r="AN10" s="106">
        <v>833.25</v>
      </c>
      <c r="AO10" s="106">
        <v>0</v>
      </c>
      <c r="AP10" s="106">
        <v>833.25</v>
      </c>
      <c r="AQ10" s="106">
        <v>833.25</v>
      </c>
      <c r="AR10" s="106">
        <v>833.25</v>
      </c>
      <c r="AS10" s="106">
        <v>833.25</v>
      </c>
      <c r="AT10" s="106">
        <v>833.25</v>
      </c>
      <c r="AU10" s="106">
        <v>0</v>
      </c>
      <c r="AV10" s="106">
        <v>937</v>
      </c>
      <c r="AW10" s="106">
        <v>833.25</v>
      </c>
      <c r="AX10" s="106">
        <v>833.25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292</v>
      </c>
      <c r="F11" s="106">
        <v>0</v>
      </c>
      <c r="I11" s="106">
        <v>937</v>
      </c>
      <c r="J11" s="106">
        <v>833.25</v>
      </c>
      <c r="K11" s="106">
        <v>833.25</v>
      </c>
      <c r="R11" s="106">
        <v>833.25</v>
      </c>
      <c r="U11" s="106">
        <v>937</v>
      </c>
      <c r="V11" s="106">
        <v>937</v>
      </c>
      <c r="W11" s="106">
        <v>937</v>
      </c>
      <c r="Y11" s="106">
        <v>937</v>
      </c>
      <c r="Z11" s="106">
        <v>937</v>
      </c>
      <c r="AA11" s="106">
        <v>937</v>
      </c>
      <c r="AB11" s="106">
        <v>937</v>
      </c>
      <c r="AH11" s="106">
        <v>833.25</v>
      </c>
      <c r="AI11" s="106">
        <v>833.25</v>
      </c>
      <c r="AJ11" s="106">
        <v>833.25</v>
      </c>
      <c r="AM11" s="106">
        <v>833.25</v>
      </c>
      <c r="AP11" s="106">
        <v>833.25</v>
      </c>
      <c r="AZ11" s="106">
        <v>833.25</v>
      </c>
      <c r="BA11" s="106">
        <v>833.25</v>
      </c>
    </row>
    <row r="12" spans="1:53" x14ac:dyDescent="0.2">
      <c r="B12" s="126">
        <v>3</v>
      </c>
      <c r="C12" s="112" t="s">
        <v>292</v>
      </c>
      <c r="H12" s="106">
        <v>833.25</v>
      </c>
      <c r="N12" s="106">
        <v>0</v>
      </c>
      <c r="Y12" s="106">
        <v>937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249.97499999999999</v>
      </c>
      <c r="J14" s="123">
        <f t="shared" si="0"/>
        <v>281.09999999999997</v>
      </c>
      <c r="K14" s="123">
        <f t="shared" si="0"/>
        <v>249.97499999999999</v>
      </c>
      <c r="L14" s="123">
        <f t="shared" si="0"/>
        <v>499.95</v>
      </c>
      <c r="M14" s="123">
        <f t="shared" si="0"/>
        <v>0</v>
      </c>
      <c r="N14" s="123">
        <f t="shared" si="0"/>
        <v>187.4</v>
      </c>
      <c r="O14" s="123">
        <f t="shared" si="0"/>
        <v>166.65</v>
      </c>
      <c r="P14" s="123">
        <f t="shared" si="0"/>
        <v>166.65</v>
      </c>
      <c r="Q14" s="123">
        <f t="shared" si="0"/>
        <v>333.3</v>
      </c>
      <c r="R14" s="123">
        <f t="shared" si="0"/>
        <v>0</v>
      </c>
      <c r="S14" s="123">
        <f t="shared" si="0"/>
        <v>708.1</v>
      </c>
      <c r="T14" s="123">
        <f t="shared" si="0"/>
        <v>374.80000000000007</v>
      </c>
      <c r="U14" s="123">
        <f t="shared" si="0"/>
        <v>0</v>
      </c>
      <c r="V14" s="123">
        <f t="shared" si="0"/>
        <v>281.09999999999997</v>
      </c>
      <c r="W14" s="123">
        <f t="shared" si="0"/>
        <v>281.09999999999997</v>
      </c>
      <c r="X14" s="123">
        <f t="shared" si="0"/>
        <v>281.09999999999997</v>
      </c>
      <c r="Y14" s="123">
        <f t="shared" si="0"/>
        <v>0</v>
      </c>
      <c r="Z14" s="123">
        <f t="shared" si="0"/>
        <v>374.8</v>
      </c>
      <c r="AA14" s="123">
        <f t="shared" si="0"/>
        <v>187.4</v>
      </c>
      <c r="AB14" s="123">
        <f t="shared" si="0"/>
        <v>187.4</v>
      </c>
      <c r="AC14" s="123">
        <f t="shared" si="0"/>
        <v>749.6</v>
      </c>
      <c r="AD14" s="123">
        <f t="shared" si="0"/>
        <v>374.8</v>
      </c>
      <c r="AE14" s="123">
        <f t="shared" si="0"/>
        <v>333.3</v>
      </c>
      <c r="AF14" s="123">
        <f t="shared" si="0"/>
        <v>333.3</v>
      </c>
      <c r="AG14" s="123">
        <f t="shared" si="0"/>
        <v>249.97499999999999</v>
      </c>
      <c r="AH14" s="123">
        <f t="shared" si="0"/>
        <v>0</v>
      </c>
      <c r="AI14" s="123">
        <f t="shared" si="0"/>
        <v>249.97499999999999</v>
      </c>
      <c r="AJ14" s="123">
        <f t="shared" si="0"/>
        <v>249.97499999999999</v>
      </c>
      <c r="AK14" s="123">
        <f t="shared" si="0"/>
        <v>333.3</v>
      </c>
      <c r="AL14" s="123">
        <f t="shared" si="0"/>
        <v>166.65</v>
      </c>
      <c r="AM14" s="123">
        <f t="shared" si="0"/>
        <v>0</v>
      </c>
      <c r="AN14" s="123">
        <f t="shared" si="0"/>
        <v>333.3</v>
      </c>
      <c r="AO14" s="123">
        <f t="shared" si="0"/>
        <v>333.3</v>
      </c>
      <c r="AP14" s="123">
        <f t="shared" si="0"/>
        <v>0</v>
      </c>
      <c r="AQ14" s="123">
        <f t="shared" si="0"/>
        <v>666.6</v>
      </c>
      <c r="AR14" s="123">
        <f t="shared" si="0"/>
        <v>333.3</v>
      </c>
      <c r="AS14" s="123">
        <f t="shared" si="0"/>
        <v>249.97499999999999</v>
      </c>
      <c r="AT14" s="123">
        <f t="shared" si="0"/>
        <v>249.97499999999999</v>
      </c>
      <c r="AU14" s="123">
        <f t="shared" si="0"/>
        <v>249.97499999999999</v>
      </c>
      <c r="AV14" s="123">
        <f t="shared" si="0"/>
        <v>0</v>
      </c>
      <c r="AW14" s="123">
        <f t="shared" si="0"/>
        <v>187.4</v>
      </c>
      <c r="AX14" s="123">
        <f t="shared" si="0"/>
        <v>166.65</v>
      </c>
      <c r="AY14" s="123">
        <f t="shared" si="0"/>
        <v>166.65</v>
      </c>
      <c r="AZ14" s="116">
        <f t="shared" si="0"/>
        <v>0</v>
      </c>
      <c r="BA14" s="113">
        <f>SUM($E14:$AZ14)</f>
        <v>10788.800000000001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833.25</v>
      </c>
      <c r="L15" s="130">
        <v>0</v>
      </c>
      <c r="M15" s="130">
        <v>937</v>
      </c>
      <c r="N15" s="130">
        <v>833.25</v>
      </c>
      <c r="O15" s="130">
        <v>833.25</v>
      </c>
      <c r="P15" s="130">
        <v>833.25</v>
      </c>
      <c r="Q15" s="130">
        <v>0</v>
      </c>
      <c r="R15" s="130">
        <v>937</v>
      </c>
      <c r="S15" s="130">
        <v>937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937</v>
      </c>
      <c r="AC15" s="130">
        <v>937</v>
      </c>
      <c r="AD15" s="130">
        <v>833.25</v>
      </c>
      <c r="AE15" s="130">
        <v>833.25</v>
      </c>
      <c r="AF15" s="130">
        <v>833.25</v>
      </c>
      <c r="AG15" s="130">
        <v>0</v>
      </c>
      <c r="AH15" s="130">
        <v>0</v>
      </c>
      <c r="AI15" s="130">
        <v>0</v>
      </c>
      <c r="AJ15" s="130">
        <v>833.25</v>
      </c>
      <c r="AK15" s="130">
        <v>833.25</v>
      </c>
      <c r="AL15" s="130">
        <v>0</v>
      </c>
      <c r="AM15" s="130">
        <v>833.25</v>
      </c>
      <c r="AN15" s="130">
        <v>833.25</v>
      </c>
      <c r="AO15" s="130">
        <v>0</v>
      </c>
      <c r="AP15" s="130">
        <v>833.25</v>
      </c>
      <c r="AQ15" s="130">
        <v>833.25</v>
      </c>
      <c r="AR15" s="130">
        <v>833.25</v>
      </c>
      <c r="AS15" s="130">
        <v>833.25</v>
      </c>
      <c r="AT15" s="130">
        <v>833.25</v>
      </c>
      <c r="AU15" s="130">
        <v>0</v>
      </c>
      <c r="AV15" s="130">
        <v>937</v>
      </c>
      <c r="AW15" s="130">
        <v>833.25</v>
      </c>
      <c r="AX15" s="130">
        <v>833.25</v>
      </c>
      <c r="AY15" s="130">
        <v>0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/>
      <c r="H16" s="116"/>
      <c r="I16" s="116">
        <v>937</v>
      </c>
      <c r="J16" s="116">
        <v>833.25</v>
      </c>
      <c r="K16" s="116">
        <v>833.25</v>
      </c>
      <c r="L16" s="116"/>
      <c r="M16" s="116"/>
      <c r="N16" s="116"/>
      <c r="O16" s="116"/>
      <c r="P16" s="116"/>
      <c r="Q16" s="116"/>
      <c r="R16" s="116">
        <v>833.25</v>
      </c>
      <c r="S16" s="116"/>
      <c r="T16" s="116"/>
      <c r="U16" s="116">
        <v>937</v>
      </c>
      <c r="V16" s="116">
        <v>937</v>
      </c>
      <c r="W16" s="116">
        <v>937</v>
      </c>
      <c r="X16" s="116"/>
      <c r="Y16" s="116">
        <v>937</v>
      </c>
      <c r="Z16" s="116">
        <v>937</v>
      </c>
      <c r="AA16" s="116">
        <v>937</v>
      </c>
      <c r="AB16" s="116">
        <v>937</v>
      </c>
      <c r="AC16" s="116"/>
      <c r="AD16" s="116"/>
      <c r="AE16" s="116"/>
      <c r="AF16" s="116"/>
      <c r="AG16" s="116"/>
      <c r="AH16" s="116">
        <v>833.25</v>
      </c>
      <c r="AI16" s="116">
        <v>833.25</v>
      </c>
      <c r="AJ16" s="116">
        <v>833.25</v>
      </c>
      <c r="AK16" s="116"/>
      <c r="AL16" s="116"/>
      <c r="AM16" s="116">
        <v>833.25</v>
      </c>
      <c r="AN16" s="116"/>
      <c r="AO16" s="116"/>
      <c r="AP16" s="116">
        <v>833.25</v>
      </c>
      <c r="AQ16" s="116"/>
      <c r="AR16" s="116"/>
      <c r="AS16" s="116"/>
      <c r="AT16" s="116"/>
      <c r="AU16" s="116"/>
      <c r="AV16" s="116"/>
      <c r="AW16" s="116"/>
      <c r="AX16" s="116"/>
      <c r="AY16" s="116"/>
      <c r="AZ16" s="106">
        <v>833.25</v>
      </c>
      <c r="BA16" s="106">
        <v>833.25</v>
      </c>
    </row>
    <row r="17" spans="1:51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>
        <v>833.25</v>
      </c>
      <c r="I17" s="116"/>
      <c r="J17" s="116"/>
      <c r="K17" s="116"/>
      <c r="L17" s="116"/>
      <c r="M17" s="116"/>
      <c r="N17" s="116">
        <v>0</v>
      </c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>
        <v>937</v>
      </c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293</v>
      </c>
    </row>
    <row r="21" spans="1:51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3333</v>
      </c>
      <c r="E95" s="116">
        <v>3333</v>
      </c>
      <c r="F95" s="116">
        <v>3333</v>
      </c>
      <c r="G95" s="116">
        <v>3333</v>
      </c>
      <c r="H95" s="116">
        <v>3333</v>
      </c>
      <c r="I95" s="116">
        <v>3333</v>
      </c>
      <c r="J95" s="116">
        <v>3333</v>
      </c>
      <c r="K95" s="116">
        <v>3333</v>
      </c>
      <c r="L95" s="116">
        <v>3333</v>
      </c>
      <c r="M95" s="116">
        <v>3333</v>
      </c>
      <c r="N95" s="116">
        <v>3333</v>
      </c>
      <c r="O95" s="116">
        <v>3333</v>
      </c>
      <c r="P95" s="116">
        <v>4999.5</v>
      </c>
      <c r="Q95" s="116">
        <v>4999.5</v>
      </c>
      <c r="R95" s="116">
        <v>4999.5</v>
      </c>
      <c r="S95" s="116">
        <v>4999.5</v>
      </c>
      <c r="T95" s="116">
        <v>4999.5</v>
      </c>
      <c r="U95" s="116">
        <v>4999.5</v>
      </c>
      <c r="V95" s="116">
        <v>4999.5</v>
      </c>
      <c r="W95" s="116">
        <v>4999.5</v>
      </c>
      <c r="X95" s="116">
        <v>4166.25</v>
      </c>
      <c r="Y95" s="116">
        <v>4166.25</v>
      </c>
      <c r="Z95" s="116">
        <v>4166.25</v>
      </c>
      <c r="AA95" s="116">
        <v>4166.25</v>
      </c>
      <c r="AB95" s="116">
        <v>3333</v>
      </c>
      <c r="AC95" s="116">
        <v>3333</v>
      </c>
      <c r="AD95" s="116">
        <v>3333</v>
      </c>
      <c r="AE95" s="116">
        <v>3333</v>
      </c>
      <c r="AF95" s="116">
        <v>3333</v>
      </c>
      <c r="AG95" s="116">
        <v>3333</v>
      </c>
      <c r="AH95" s="116">
        <v>3333</v>
      </c>
      <c r="AI95" s="116">
        <v>3333</v>
      </c>
      <c r="AJ95" s="116">
        <v>3333</v>
      </c>
      <c r="AK95" s="116">
        <v>3333</v>
      </c>
      <c r="AL95" s="116">
        <v>3333</v>
      </c>
      <c r="AM95" s="116">
        <v>3333</v>
      </c>
      <c r="AN95" s="116">
        <v>3333</v>
      </c>
      <c r="AO95" s="116">
        <v>3333</v>
      </c>
      <c r="AP95" s="116">
        <v>3333</v>
      </c>
      <c r="AQ95" s="116">
        <v>3333</v>
      </c>
      <c r="AR95" s="116">
        <v>3333</v>
      </c>
      <c r="AS95" s="116">
        <v>3333</v>
      </c>
      <c r="AT95" s="116">
        <v>3333</v>
      </c>
      <c r="AU95" s="116">
        <v>3333</v>
      </c>
      <c r="AV95" s="116">
        <v>3333</v>
      </c>
      <c r="AW95" s="116">
        <v>3333</v>
      </c>
      <c r="AX95" s="116">
        <v>3333</v>
      </c>
      <c r="AY95" s="116">
        <v>3333</v>
      </c>
    </row>
    <row r="96" spans="1:52" x14ac:dyDescent="0.2">
      <c r="A96" s="115"/>
      <c r="B96" s="126">
        <v>2</v>
      </c>
      <c r="C96" s="116"/>
      <c r="D96" s="116">
        <v>0</v>
      </c>
      <c r="E96" s="116">
        <v>434</v>
      </c>
      <c r="F96" s="116">
        <v>887</v>
      </c>
      <c r="G96" s="116">
        <v>1110</v>
      </c>
      <c r="H96" s="116">
        <v>1240</v>
      </c>
      <c r="I96" s="116">
        <v>867</v>
      </c>
      <c r="J96" s="116">
        <v>19</v>
      </c>
      <c r="K96" s="116">
        <v>0</v>
      </c>
      <c r="L96" s="116">
        <v>0</v>
      </c>
      <c r="M96" s="116">
        <v>538</v>
      </c>
      <c r="N96" s="116">
        <v>1421</v>
      </c>
      <c r="O96" s="116">
        <v>1784</v>
      </c>
      <c r="P96" s="116">
        <v>2808</v>
      </c>
      <c r="Q96" s="116">
        <v>4999.5</v>
      </c>
      <c r="R96" s="116">
        <v>4999.5</v>
      </c>
      <c r="S96" s="116">
        <v>4999.5</v>
      </c>
      <c r="T96" s="116">
        <v>4999.5</v>
      </c>
      <c r="U96" s="116">
        <v>4999.5</v>
      </c>
      <c r="V96" s="116">
        <v>4999.5</v>
      </c>
      <c r="W96" s="116">
        <v>4999.5</v>
      </c>
      <c r="X96" s="116">
        <v>4999.5</v>
      </c>
      <c r="Y96" s="116">
        <v>4166.25</v>
      </c>
      <c r="Z96" s="116">
        <v>4166.25</v>
      </c>
      <c r="AA96" s="116">
        <v>4166.25</v>
      </c>
      <c r="AB96" s="116">
        <v>4166.25</v>
      </c>
      <c r="AC96" s="116">
        <v>3333</v>
      </c>
      <c r="AD96" s="116">
        <v>3333</v>
      </c>
      <c r="AE96" s="116">
        <v>3333</v>
      </c>
      <c r="AF96" s="116">
        <v>3333</v>
      </c>
      <c r="AG96" s="116">
        <v>3333</v>
      </c>
      <c r="AH96" s="116">
        <v>3333</v>
      </c>
      <c r="AI96" s="116">
        <v>3333</v>
      </c>
      <c r="AJ96" s="116">
        <v>3333</v>
      </c>
      <c r="AK96" s="116">
        <v>3333</v>
      </c>
      <c r="AL96" s="116">
        <v>3333</v>
      </c>
      <c r="AM96" s="116">
        <v>3333</v>
      </c>
      <c r="AN96" s="116">
        <v>3333</v>
      </c>
      <c r="AO96" s="116">
        <v>3333</v>
      </c>
      <c r="AP96" s="116">
        <v>3333</v>
      </c>
      <c r="AQ96" s="116">
        <v>3333</v>
      </c>
      <c r="AR96" s="116">
        <v>3333</v>
      </c>
      <c r="AS96" s="116">
        <v>3333</v>
      </c>
      <c r="AT96" s="116">
        <v>3333</v>
      </c>
      <c r="AU96" s="116">
        <v>3333</v>
      </c>
      <c r="AV96" s="116">
        <v>3333</v>
      </c>
      <c r="AW96" s="116">
        <v>3333</v>
      </c>
      <c r="AX96" s="116">
        <v>3333</v>
      </c>
      <c r="AY96" s="116">
        <v>3333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1417</v>
      </c>
      <c r="R97" s="116">
        <v>4846.5</v>
      </c>
      <c r="S97" s="116">
        <v>4999.5</v>
      </c>
      <c r="T97" s="116">
        <v>4999.5</v>
      </c>
      <c r="U97" s="116">
        <v>4999.5</v>
      </c>
      <c r="V97" s="116">
        <v>4999.5</v>
      </c>
      <c r="W97" s="116">
        <v>4999.5</v>
      </c>
      <c r="X97" s="116">
        <v>4999.5</v>
      </c>
      <c r="Y97" s="116">
        <v>4999.5</v>
      </c>
      <c r="Z97" s="116">
        <v>4166.25</v>
      </c>
      <c r="AA97" s="116">
        <v>4166.25</v>
      </c>
      <c r="AB97" s="116">
        <v>4166.25</v>
      </c>
      <c r="AC97" s="116">
        <v>4166.25</v>
      </c>
      <c r="AD97" s="116">
        <v>3333</v>
      </c>
      <c r="AE97" s="116">
        <v>3333</v>
      </c>
      <c r="AF97" s="116">
        <v>3333</v>
      </c>
      <c r="AG97" s="116">
        <v>3333</v>
      </c>
      <c r="AH97" s="116">
        <v>3333</v>
      </c>
      <c r="AI97" s="116">
        <v>3333</v>
      </c>
      <c r="AJ97" s="116">
        <v>3333</v>
      </c>
      <c r="AK97" s="116">
        <v>3333</v>
      </c>
      <c r="AL97" s="116">
        <v>3333</v>
      </c>
      <c r="AM97" s="116">
        <v>3333</v>
      </c>
      <c r="AN97" s="116">
        <v>3333</v>
      </c>
      <c r="AO97" s="116">
        <v>3333</v>
      </c>
      <c r="AP97" s="116">
        <v>3333</v>
      </c>
      <c r="AQ97" s="116">
        <v>3333</v>
      </c>
      <c r="AR97" s="116">
        <v>3333</v>
      </c>
      <c r="AS97" s="116">
        <v>3333</v>
      </c>
      <c r="AT97" s="116">
        <v>3333</v>
      </c>
      <c r="AU97" s="116">
        <v>3333</v>
      </c>
      <c r="AV97" s="116">
        <v>3333</v>
      </c>
      <c r="AW97" s="116">
        <v>3333</v>
      </c>
      <c r="AX97" s="116">
        <v>3333</v>
      </c>
      <c r="AY97" s="116">
        <v>3333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3264.5</v>
      </c>
      <c r="T98" s="116">
        <v>4999.5</v>
      </c>
      <c r="U98" s="116">
        <v>4999.5</v>
      </c>
      <c r="V98" s="116">
        <v>4999.5</v>
      </c>
      <c r="W98" s="116">
        <v>4999.5</v>
      </c>
      <c r="X98" s="116">
        <v>4999.5</v>
      </c>
      <c r="Y98" s="116">
        <v>4999.5</v>
      </c>
      <c r="Z98" s="116">
        <v>4999.5</v>
      </c>
      <c r="AA98" s="116">
        <v>4166.25</v>
      </c>
      <c r="AB98" s="116">
        <v>4166.25</v>
      </c>
      <c r="AC98" s="116">
        <v>4166.25</v>
      </c>
      <c r="AD98" s="116">
        <v>4166.25</v>
      </c>
      <c r="AE98" s="116">
        <v>3333</v>
      </c>
      <c r="AF98" s="116">
        <v>3333</v>
      </c>
      <c r="AG98" s="116">
        <v>3333</v>
      </c>
      <c r="AH98" s="116">
        <v>3333</v>
      </c>
      <c r="AI98" s="116">
        <v>3333</v>
      </c>
      <c r="AJ98" s="116">
        <v>3333</v>
      </c>
      <c r="AK98" s="116">
        <v>3333</v>
      </c>
      <c r="AL98" s="116">
        <v>3333</v>
      </c>
      <c r="AM98" s="116">
        <v>3333</v>
      </c>
      <c r="AN98" s="116">
        <v>3333</v>
      </c>
      <c r="AO98" s="116">
        <v>3333</v>
      </c>
      <c r="AP98" s="116">
        <v>3333</v>
      </c>
      <c r="AQ98" s="116">
        <v>3333</v>
      </c>
      <c r="AR98" s="116">
        <v>3333</v>
      </c>
      <c r="AS98" s="116">
        <v>3333</v>
      </c>
      <c r="AT98" s="116">
        <v>3333</v>
      </c>
      <c r="AU98" s="116">
        <v>3333</v>
      </c>
      <c r="AV98" s="116">
        <v>3333</v>
      </c>
      <c r="AW98" s="116">
        <v>3333</v>
      </c>
      <c r="AX98" s="116">
        <v>3333</v>
      </c>
      <c r="AY98" s="116">
        <v>3333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1493.5</v>
      </c>
      <c r="U99" s="131">
        <v>1987.5</v>
      </c>
      <c r="V99" s="131">
        <v>1858.5</v>
      </c>
      <c r="W99" s="131">
        <v>2122.5</v>
      </c>
      <c r="X99" s="131">
        <v>1925.5</v>
      </c>
      <c r="Y99" s="131">
        <v>1314.5</v>
      </c>
      <c r="Z99" s="131">
        <v>2021.5</v>
      </c>
      <c r="AA99" s="131">
        <v>2353.5</v>
      </c>
      <c r="AB99" s="131">
        <v>374.25</v>
      </c>
      <c r="AC99" s="131">
        <v>3272.25</v>
      </c>
      <c r="AD99" s="131">
        <v>3326.25</v>
      </c>
      <c r="AE99" s="131">
        <v>3461.25</v>
      </c>
      <c r="AF99" s="131">
        <v>2672</v>
      </c>
      <c r="AG99" s="131">
        <v>2455</v>
      </c>
      <c r="AH99" s="131">
        <v>2119</v>
      </c>
      <c r="AI99" s="131">
        <v>2379</v>
      </c>
      <c r="AJ99" s="131">
        <v>2464</v>
      </c>
      <c r="AK99" s="131">
        <v>2038</v>
      </c>
      <c r="AL99" s="131">
        <v>1921</v>
      </c>
      <c r="AM99" s="131">
        <v>2367</v>
      </c>
      <c r="AN99" s="131">
        <v>2328</v>
      </c>
      <c r="AO99" s="131">
        <v>1089</v>
      </c>
      <c r="AP99" s="131">
        <v>746</v>
      </c>
      <c r="AQ99" s="131">
        <v>720</v>
      </c>
      <c r="AR99" s="131">
        <v>1278</v>
      </c>
      <c r="AS99" s="131">
        <v>2184</v>
      </c>
      <c r="AT99" s="131">
        <v>1941</v>
      </c>
      <c r="AU99" s="131">
        <v>2270</v>
      </c>
      <c r="AV99" s="131">
        <v>2242</v>
      </c>
      <c r="AW99" s="131">
        <v>2361</v>
      </c>
      <c r="AX99" s="131">
        <v>2411</v>
      </c>
      <c r="AY99" s="131">
        <v>2148</v>
      </c>
      <c r="AZ99" s="113">
        <f>SUM($D99:$AY99)</f>
        <v>65644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833.25</v>
      </c>
      <c r="L100" s="112">
        <v>0</v>
      </c>
      <c r="M100" s="112">
        <v>937</v>
      </c>
      <c r="N100" s="112">
        <v>833.25</v>
      </c>
      <c r="O100" s="112">
        <v>833.25</v>
      </c>
      <c r="P100" s="112">
        <v>833.25</v>
      </c>
      <c r="Q100" s="112">
        <v>0</v>
      </c>
      <c r="R100" s="112">
        <v>937</v>
      </c>
      <c r="S100" s="112">
        <v>937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937</v>
      </c>
      <c r="AC100" s="112">
        <v>937</v>
      </c>
      <c r="AD100" s="112">
        <v>833.25</v>
      </c>
      <c r="AE100" s="112">
        <v>833.25</v>
      </c>
      <c r="AF100" s="112">
        <v>833.25</v>
      </c>
      <c r="AG100" s="112">
        <v>0</v>
      </c>
      <c r="AH100" s="112">
        <v>0</v>
      </c>
      <c r="AI100" s="112">
        <v>0</v>
      </c>
      <c r="AJ100" s="112">
        <v>833.25</v>
      </c>
      <c r="AK100" s="112">
        <v>833.25</v>
      </c>
      <c r="AL100" s="112">
        <v>0</v>
      </c>
      <c r="AM100" s="112">
        <v>833.25</v>
      </c>
      <c r="AN100" s="112">
        <v>833.25</v>
      </c>
      <c r="AO100" s="112">
        <v>0</v>
      </c>
      <c r="AP100" s="112">
        <v>833.25</v>
      </c>
      <c r="AQ100" s="112">
        <v>833.25</v>
      </c>
      <c r="AR100" s="112">
        <v>833.25</v>
      </c>
      <c r="AS100" s="112">
        <v>833.25</v>
      </c>
      <c r="AT100" s="112">
        <v>833.25</v>
      </c>
      <c r="AU100" s="112">
        <v>0</v>
      </c>
      <c r="AV100" s="112">
        <v>937</v>
      </c>
      <c r="AW100" s="112">
        <v>833.25</v>
      </c>
      <c r="AX100" s="112">
        <v>833.25</v>
      </c>
      <c r="AY100" s="112">
        <v>0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937</v>
      </c>
      <c r="J101" s="112">
        <v>833.25</v>
      </c>
      <c r="K101" s="112">
        <v>833.25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833.25</v>
      </c>
      <c r="S101" s="112">
        <v>70.25</v>
      </c>
      <c r="T101" s="112">
        <v>0</v>
      </c>
      <c r="U101" s="112">
        <v>937</v>
      </c>
      <c r="V101" s="112">
        <v>937</v>
      </c>
      <c r="W101" s="112">
        <v>937</v>
      </c>
      <c r="X101" s="112">
        <v>0</v>
      </c>
      <c r="Y101" s="112">
        <v>937</v>
      </c>
      <c r="Z101" s="112">
        <v>937</v>
      </c>
      <c r="AA101" s="112">
        <v>937</v>
      </c>
      <c r="AB101" s="112">
        <v>937</v>
      </c>
      <c r="AC101" s="112">
        <v>249</v>
      </c>
      <c r="AD101" s="112">
        <v>0</v>
      </c>
      <c r="AE101" s="112">
        <v>0</v>
      </c>
      <c r="AF101" s="112">
        <v>0</v>
      </c>
      <c r="AG101" s="112">
        <v>0</v>
      </c>
      <c r="AH101" s="112">
        <v>833.25</v>
      </c>
      <c r="AI101" s="112">
        <v>833.25</v>
      </c>
      <c r="AJ101" s="112">
        <v>833.25</v>
      </c>
      <c r="AK101" s="112">
        <v>0</v>
      </c>
      <c r="AL101" s="112">
        <v>0</v>
      </c>
      <c r="AM101" s="112">
        <v>833.25</v>
      </c>
      <c r="AN101" s="112">
        <v>0</v>
      </c>
      <c r="AO101" s="112">
        <v>0</v>
      </c>
      <c r="AP101" s="112">
        <v>833.25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833.25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937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249.97499999999999</v>
      </c>
      <c r="J109" s="112">
        <v>281.09999999999997</v>
      </c>
      <c r="K109" s="112">
        <v>249.97499999999999</v>
      </c>
      <c r="L109" s="112">
        <v>499.95</v>
      </c>
      <c r="M109" s="112">
        <v>0</v>
      </c>
      <c r="N109" s="112">
        <v>187.4</v>
      </c>
      <c r="O109" s="112">
        <v>166.65</v>
      </c>
      <c r="P109" s="112">
        <v>166.65</v>
      </c>
      <c r="Q109" s="112">
        <v>333.3</v>
      </c>
      <c r="R109" s="112">
        <v>0</v>
      </c>
      <c r="S109" s="112">
        <v>708.1</v>
      </c>
      <c r="T109" s="112">
        <v>374.80000000000007</v>
      </c>
      <c r="U109" s="112">
        <v>0</v>
      </c>
      <c r="V109" s="112">
        <v>281.09999999999997</v>
      </c>
      <c r="W109" s="112">
        <v>281.09999999999997</v>
      </c>
      <c r="X109" s="112">
        <v>281.09999999999997</v>
      </c>
      <c r="Y109" s="112">
        <v>0</v>
      </c>
      <c r="Z109" s="112">
        <v>374.8</v>
      </c>
      <c r="AA109" s="112">
        <v>187.4</v>
      </c>
      <c r="AB109" s="112">
        <v>187.4</v>
      </c>
      <c r="AC109" s="112">
        <v>749.6</v>
      </c>
      <c r="AD109" s="112">
        <v>374.8</v>
      </c>
      <c r="AE109" s="112">
        <v>333.3</v>
      </c>
      <c r="AF109" s="112">
        <v>333.3</v>
      </c>
      <c r="AG109" s="112">
        <v>249.97499999999999</v>
      </c>
      <c r="AH109" s="112">
        <v>0</v>
      </c>
      <c r="AI109" s="112">
        <v>249.97499999999999</v>
      </c>
      <c r="AJ109" s="112">
        <v>249.97499999999999</v>
      </c>
      <c r="AK109" s="112">
        <v>333.3</v>
      </c>
      <c r="AL109" s="112">
        <v>166.65</v>
      </c>
      <c r="AM109" s="112">
        <v>0</v>
      </c>
      <c r="AN109" s="112">
        <v>333.3</v>
      </c>
      <c r="AO109" s="112">
        <v>333.3</v>
      </c>
      <c r="AP109" s="112">
        <v>0</v>
      </c>
      <c r="AQ109" s="112">
        <v>666.6</v>
      </c>
      <c r="AR109" s="112">
        <v>333.3</v>
      </c>
      <c r="AS109" s="112">
        <v>249.97499999999999</v>
      </c>
      <c r="AT109" s="112">
        <v>249.97499999999999</v>
      </c>
      <c r="AU109" s="112">
        <v>249.97499999999999</v>
      </c>
      <c r="AV109" s="112">
        <v>0</v>
      </c>
      <c r="AW109" s="112">
        <v>187.4</v>
      </c>
      <c r="AX109" s="112">
        <v>166.65</v>
      </c>
      <c r="AY109" s="112">
        <v>166.65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833.25</v>
      </c>
      <c r="L122" s="112">
        <v>0</v>
      </c>
      <c r="M122" s="112">
        <v>937</v>
      </c>
      <c r="N122" s="112">
        <v>833.25</v>
      </c>
      <c r="O122" s="112">
        <v>833.25</v>
      </c>
      <c r="P122" s="112">
        <v>833.25</v>
      </c>
      <c r="Q122" s="112">
        <v>0</v>
      </c>
      <c r="R122" s="112">
        <v>937</v>
      </c>
      <c r="S122" s="112">
        <v>937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937</v>
      </c>
      <c r="AC122" s="112">
        <v>937</v>
      </c>
      <c r="AD122" s="112">
        <v>833.25</v>
      </c>
      <c r="AE122" s="112">
        <v>833.25</v>
      </c>
      <c r="AF122" s="112">
        <v>833.25</v>
      </c>
      <c r="AG122" s="112">
        <v>0</v>
      </c>
      <c r="AH122" s="112">
        <v>0</v>
      </c>
      <c r="AI122" s="112">
        <v>0</v>
      </c>
      <c r="AJ122" s="112">
        <v>833.25</v>
      </c>
      <c r="AK122" s="112">
        <v>833.25</v>
      </c>
      <c r="AL122" s="112">
        <v>0</v>
      </c>
      <c r="AM122" s="112">
        <v>833.25</v>
      </c>
      <c r="AN122" s="112">
        <v>833.25</v>
      </c>
      <c r="AO122" s="112">
        <v>0</v>
      </c>
      <c r="AP122" s="112">
        <v>833.25</v>
      </c>
      <c r="AQ122" s="112">
        <v>833.25</v>
      </c>
      <c r="AR122" s="112">
        <v>833.25</v>
      </c>
      <c r="AS122" s="112">
        <v>833.25</v>
      </c>
      <c r="AT122" s="112">
        <v>833.25</v>
      </c>
      <c r="AU122" s="112">
        <v>0</v>
      </c>
      <c r="AV122" s="112">
        <v>937</v>
      </c>
      <c r="AW122" s="112">
        <v>833.25</v>
      </c>
      <c r="AX122" s="112">
        <v>833.25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937</v>
      </c>
      <c r="J123" s="112">
        <v>833.25</v>
      </c>
      <c r="K123" s="112">
        <v>833.25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833.25</v>
      </c>
      <c r="S123" s="112">
        <v>1.1368683772161603E-13</v>
      </c>
      <c r="T123" s="112">
        <v>0</v>
      </c>
      <c r="U123" s="112">
        <v>937</v>
      </c>
      <c r="V123" s="112">
        <v>937</v>
      </c>
      <c r="W123" s="112">
        <v>937</v>
      </c>
      <c r="X123" s="112">
        <v>0</v>
      </c>
      <c r="Y123" s="112">
        <v>937</v>
      </c>
      <c r="Z123" s="112">
        <v>937</v>
      </c>
      <c r="AA123" s="112">
        <v>937</v>
      </c>
      <c r="AB123" s="112">
        <v>937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833.25</v>
      </c>
      <c r="AI123" s="112">
        <v>833.25</v>
      </c>
      <c r="AJ123" s="112">
        <v>833.25</v>
      </c>
      <c r="AK123" s="112">
        <v>0</v>
      </c>
      <c r="AL123" s="112">
        <v>0</v>
      </c>
      <c r="AM123" s="112">
        <v>833.25</v>
      </c>
      <c r="AN123" s="112">
        <v>0</v>
      </c>
      <c r="AO123" s="112">
        <v>0</v>
      </c>
      <c r="AP123" s="112">
        <v>833.25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833.25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937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0.4</v>
      </c>
      <c r="E172" s="140">
        <v>0.4</v>
      </c>
      <c r="F172" s="140">
        <v>0.4</v>
      </c>
      <c r="G172" s="140">
        <v>0.4</v>
      </c>
      <c r="H172" s="140">
        <v>0.3</v>
      </c>
      <c r="I172" s="140">
        <v>0.3</v>
      </c>
      <c r="J172" s="140">
        <v>0.3</v>
      </c>
      <c r="K172" s="140">
        <v>0.3</v>
      </c>
      <c r="L172" s="140">
        <v>0.2</v>
      </c>
      <c r="M172" s="140">
        <v>0.2</v>
      </c>
      <c r="N172" s="140">
        <v>0.2</v>
      </c>
      <c r="O172" s="140">
        <v>0.2</v>
      </c>
      <c r="P172" s="140">
        <v>0.4</v>
      </c>
      <c r="Q172" s="140">
        <v>0.4</v>
      </c>
      <c r="R172" s="140">
        <v>0.4</v>
      </c>
      <c r="S172" s="140">
        <v>0.4</v>
      </c>
      <c r="T172" s="140">
        <v>0.3</v>
      </c>
      <c r="U172" s="140">
        <v>0.3</v>
      </c>
      <c r="V172" s="140">
        <v>0.3</v>
      </c>
      <c r="W172" s="140">
        <v>0.3</v>
      </c>
      <c r="X172" s="140">
        <v>0.2</v>
      </c>
      <c r="Y172" s="140">
        <v>0.2</v>
      </c>
      <c r="Z172" s="140">
        <v>0.2</v>
      </c>
      <c r="AA172" s="140">
        <v>0.2</v>
      </c>
      <c r="AB172" s="140">
        <v>0.4</v>
      </c>
      <c r="AC172" s="140">
        <v>0.4</v>
      </c>
      <c r="AD172" s="140">
        <v>0.4</v>
      </c>
      <c r="AE172" s="140">
        <v>0.4</v>
      </c>
      <c r="AF172" s="140">
        <v>0.3</v>
      </c>
      <c r="AG172" s="140">
        <v>0.3</v>
      </c>
      <c r="AH172" s="140">
        <v>0.3</v>
      </c>
      <c r="AI172" s="140">
        <v>0.3</v>
      </c>
      <c r="AJ172" s="140">
        <v>0.2</v>
      </c>
      <c r="AK172" s="140">
        <v>0.2</v>
      </c>
      <c r="AL172" s="140">
        <v>0.2</v>
      </c>
      <c r="AM172" s="140">
        <v>0.2</v>
      </c>
      <c r="AN172" s="140">
        <v>0.4</v>
      </c>
      <c r="AO172" s="140">
        <v>0.4</v>
      </c>
      <c r="AP172" s="140">
        <v>0.4</v>
      </c>
      <c r="AQ172" s="140">
        <v>0.4</v>
      </c>
      <c r="AR172" s="140">
        <v>0.3</v>
      </c>
      <c r="AS172" s="140">
        <v>0.3</v>
      </c>
      <c r="AT172" s="140">
        <v>0.3</v>
      </c>
      <c r="AU172" s="140">
        <v>0.3</v>
      </c>
      <c r="AV172" s="140">
        <v>0.2</v>
      </c>
      <c r="AW172" s="140">
        <v>0.2</v>
      </c>
      <c r="AX172" s="140">
        <v>0.2</v>
      </c>
      <c r="AY172" s="140">
        <v>0.2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3333</v>
      </c>
      <c r="E175" s="130">
        <f t="shared" si="1"/>
        <v>3767</v>
      </c>
      <c r="F175" s="130">
        <f t="shared" si="1"/>
        <v>4220</v>
      </c>
      <c r="G175" s="130">
        <f t="shared" si="1"/>
        <v>4443</v>
      </c>
      <c r="H175" s="130">
        <f t="shared" si="1"/>
        <v>4573</v>
      </c>
      <c r="I175" s="130">
        <f t="shared" si="1"/>
        <v>4200</v>
      </c>
      <c r="J175" s="130">
        <f t="shared" si="1"/>
        <v>3352</v>
      </c>
      <c r="K175" s="130">
        <f t="shared" si="1"/>
        <v>3333</v>
      </c>
      <c r="L175" s="130">
        <f t="shared" si="1"/>
        <v>3333</v>
      </c>
      <c r="M175" s="130">
        <f t="shared" si="1"/>
        <v>3871</v>
      </c>
      <c r="N175" s="130">
        <f t="shared" si="1"/>
        <v>4754</v>
      </c>
      <c r="O175" s="130">
        <f t="shared" si="1"/>
        <v>5117</v>
      </c>
      <c r="P175" s="130">
        <f t="shared" si="1"/>
        <v>7807.5</v>
      </c>
      <c r="Q175" s="130">
        <f t="shared" si="1"/>
        <v>11416</v>
      </c>
      <c r="R175" s="130">
        <f t="shared" si="1"/>
        <v>14845.5</v>
      </c>
      <c r="S175" s="130">
        <f t="shared" si="1"/>
        <v>18263</v>
      </c>
      <c r="T175" s="130">
        <f t="shared" si="1"/>
        <v>19998</v>
      </c>
      <c r="U175" s="130">
        <f t="shared" si="1"/>
        <v>19998</v>
      </c>
      <c r="V175" s="130">
        <f t="shared" si="1"/>
        <v>19998</v>
      </c>
      <c r="W175" s="130">
        <f t="shared" si="1"/>
        <v>19998</v>
      </c>
      <c r="X175" s="130">
        <f t="shared" si="1"/>
        <v>19164.75</v>
      </c>
      <c r="Y175" s="130">
        <f t="shared" si="1"/>
        <v>18331.5</v>
      </c>
      <c r="Z175" s="130">
        <f t="shared" si="1"/>
        <v>17498.25</v>
      </c>
      <c r="AA175" s="130">
        <f t="shared" si="1"/>
        <v>16665</v>
      </c>
      <c r="AB175" s="130">
        <f t="shared" si="1"/>
        <v>15831.75</v>
      </c>
      <c r="AC175" s="130">
        <f t="shared" si="1"/>
        <v>14998.5</v>
      </c>
      <c r="AD175" s="130">
        <f t="shared" si="1"/>
        <v>14165.25</v>
      </c>
      <c r="AE175" s="130">
        <f t="shared" si="1"/>
        <v>13332</v>
      </c>
      <c r="AF175" s="130">
        <f t="shared" si="1"/>
        <v>13332</v>
      </c>
      <c r="AG175" s="130">
        <f t="shared" si="1"/>
        <v>13332</v>
      </c>
      <c r="AH175" s="130">
        <f t="shared" si="1"/>
        <v>13332</v>
      </c>
      <c r="AI175" s="130">
        <f t="shared" si="1"/>
        <v>13332</v>
      </c>
      <c r="AJ175" s="130">
        <f t="shared" si="1"/>
        <v>13332</v>
      </c>
      <c r="AK175" s="130">
        <f t="shared" si="1"/>
        <v>13332</v>
      </c>
      <c r="AL175" s="130">
        <f t="shared" si="1"/>
        <v>13332</v>
      </c>
      <c r="AM175" s="130">
        <f t="shared" si="1"/>
        <v>13332</v>
      </c>
      <c r="AN175" s="130">
        <f t="shared" si="1"/>
        <v>13332</v>
      </c>
      <c r="AO175" s="130">
        <f t="shared" si="1"/>
        <v>13332</v>
      </c>
      <c r="AP175" s="130">
        <f t="shared" si="1"/>
        <v>13332</v>
      </c>
      <c r="AQ175" s="130">
        <f t="shared" si="1"/>
        <v>13332</v>
      </c>
      <c r="AR175" s="130">
        <f t="shared" si="1"/>
        <v>13332</v>
      </c>
      <c r="AS175" s="130">
        <f t="shared" si="1"/>
        <v>13332</v>
      </c>
      <c r="AT175" s="130">
        <f t="shared" si="1"/>
        <v>13332</v>
      </c>
      <c r="AU175" s="130">
        <f t="shared" si="1"/>
        <v>13332</v>
      </c>
      <c r="AV175" s="130">
        <f t="shared" si="1"/>
        <v>13332</v>
      </c>
      <c r="AW175" s="130">
        <f t="shared" si="1"/>
        <v>13332</v>
      </c>
      <c r="AX175" s="130">
        <f t="shared" si="1"/>
        <v>13332</v>
      </c>
      <c r="AY175" s="130">
        <f t="shared" si="1"/>
        <v>13332</v>
      </c>
    </row>
    <row r="176" spans="1:52" x14ac:dyDescent="0.2">
      <c r="A176" s="131"/>
      <c r="B176" s="142" t="s">
        <v>298</v>
      </c>
      <c r="C176" s="131" t="s">
        <v>292</v>
      </c>
      <c r="D176" s="131">
        <v>2899</v>
      </c>
      <c r="E176" s="131">
        <v>2880</v>
      </c>
      <c r="F176" s="131">
        <v>3110</v>
      </c>
      <c r="G176" s="131">
        <v>3203</v>
      </c>
      <c r="H176" s="131">
        <v>3706</v>
      </c>
      <c r="I176" s="131">
        <v>4181</v>
      </c>
      <c r="J176" s="131">
        <v>3352</v>
      </c>
      <c r="K176" s="131">
        <v>3333</v>
      </c>
      <c r="L176" s="131">
        <v>2795</v>
      </c>
      <c r="M176" s="131">
        <v>2450</v>
      </c>
      <c r="N176" s="131">
        <v>2970</v>
      </c>
      <c r="O176" s="131">
        <v>2309</v>
      </c>
      <c r="P176" s="131">
        <v>1391</v>
      </c>
      <c r="Q176" s="131">
        <v>1570</v>
      </c>
      <c r="R176" s="131">
        <v>1582</v>
      </c>
      <c r="S176" s="131">
        <v>1771</v>
      </c>
      <c r="T176" s="131">
        <v>3012</v>
      </c>
      <c r="U176" s="131">
        <v>3141</v>
      </c>
      <c r="V176" s="131">
        <v>2877</v>
      </c>
      <c r="W176" s="131">
        <v>3074</v>
      </c>
      <c r="X176" s="131">
        <v>3685</v>
      </c>
      <c r="Y176" s="131">
        <v>2978</v>
      </c>
      <c r="Z176" s="131">
        <v>2646</v>
      </c>
      <c r="AA176" s="131">
        <v>3792</v>
      </c>
      <c r="AB176" s="131">
        <v>894</v>
      </c>
      <c r="AC176" s="131">
        <v>840</v>
      </c>
      <c r="AD176" s="131">
        <v>705</v>
      </c>
      <c r="AE176" s="131">
        <v>661</v>
      </c>
      <c r="AF176" s="131">
        <v>878</v>
      </c>
      <c r="AG176" s="131">
        <v>1214</v>
      </c>
      <c r="AH176" s="131">
        <v>954</v>
      </c>
      <c r="AI176" s="131">
        <v>869</v>
      </c>
      <c r="AJ176" s="131">
        <v>1295</v>
      </c>
      <c r="AK176" s="131">
        <v>1412</v>
      </c>
      <c r="AL176" s="131">
        <v>966</v>
      </c>
      <c r="AM176" s="131">
        <v>1005</v>
      </c>
      <c r="AN176" s="131">
        <v>2244</v>
      </c>
      <c r="AO176" s="131">
        <v>2587</v>
      </c>
      <c r="AP176" s="131">
        <v>2613</v>
      </c>
      <c r="AQ176" s="131">
        <v>2055</v>
      </c>
      <c r="AR176" s="131">
        <v>1149</v>
      </c>
      <c r="AS176" s="131">
        <v>1392</v>
      </c>
      <c r="AT176" s="131">
        <v>1063</v>
      </c>
      <c r="AU176" s="131">
        <v>1091</v>
      </c>
      <c r="AV176" s="131">
        <v>972</v>
      </c>
      <c r="AW176" s="131">
        <v>922</v>
      </c>
      <c r="AX176" s="131">
        <v>1185</v>
      </c>
      <c r="AY176" s="131">
        <v>922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833.25</v>
      </c>
      <c r="I177" s="130">
        <f t="shared" si="2"/>
        <v>937</v>
      </c>
      <c r="J177" s="130">
        <f t="shared" si="2"/>
        <v>833.25</v>
      </c>
      <c r="K177" s="130">
        <f t="shared" si="2"/>
        <v>1666.5</v>
      </c>
      <c r="L177" s="130">
        <f t="shared" si="2"/>
        <v>0</v>
      </c>
      <c r="M177" s="130">
        <f t="shared" si="2"/>
        <v>937</v>
      </c>
      <c r="N177" s="130">
        <f t="shared" si="2"/>
        <v>833.25</v>
      </c>
      <c r="O177" s="130">
        <f t="shared" si="2"/>
        <v>833.25</v>
      </c>
      <c r="P177" s="130">
        <f t="shared" si="2"/>
        <v>833.25</v>
      </c>
      <c r="Q177" s="130">
        <f t="shared" si="2"/>
        <v>0</v>
      </c>
      <c r="R177" s="130">
        <f t="shared" si="2"/>
        <v>1770.25</v>
      </c>
      <c r="S177" s="130">
        <f t="shared" si="2"/>
        <v>1007.25</v>
      </c>
      <c r="T177" s="130">
        <f t="shared" si="2"/>
        <v>0</v>
      </c>
      <c r="U177" s="130">
        <f t="shared" si="2"/>
        <v>937</v>
      </c>
      <c r="V177" s="130">
        <f t="shared" si="2"/>
        <v>937</v>
      </c>
      <c r="W177" s="130">
        <f t="shared" si="2"/>
        <v>937</v>
      </c>
      <c r="X177" s="130">
        <f t="shared" si="2"/>
        <v>0</v>
      </c>
      <c r="Y177" s="130">
        <f t="shared" si="2"/>
        <v>1874</v>
      </c>
      <c r="Z177" s="130">
        <f t="shared" si="2"/>
        <v>937</v>
      </c>
      <c r="AA177" s="130">
        <f t="shared" si="2"/>
        <v>937</v>
      </c>
      <c r="AB177" s="130">
        <f t="shared" si="2"/>
        <v>1874</v>
      </c>
      <c r="AC177" s="130">
        <f t="shared" si="2"/>
        <v>1186</v>
      </c>
      <c r="AD177" s="130">
        <f t="shared" si="2"/>
        <v>833.25</v>
      </c>
      <c r="AE177" s="130">
        <f t="shared" si="2"/>
        <v>833.25</v>
      </c>
      <c r="AF177" s="130">
        <f t="shared" si="2"/>
        <v>833.25</v>
      </c>
      <c r="AG177" s="130">
        <f t="shared" si="2"/>
        <v>0</v>
      </c>
      <c r="AH177" s="130">
        <f t="shared" si="2"/>
        <v>833.25</v>
      </c>
      <c r="AI177" s="130">
        <f t="shared" si="2"/>
        <v>833.25</v>
      </c>
      <c r="AJ177" s="130">
        <f t="shared" si="2"/>
        <v>1666.5</v>
      </c>
      <c r="AK177" s="130">
        <f t="shared" si="2"/>
        <v>833.25</v>
      </c>
      <c r="AL177" s="130">
        <f t="shared" si="2"/>
        <v>0</v>
      </c>
      <c r="AM177" s="130">
        <f t="shared" si="2"/>
        <v>1666.5</v>
      </c>
      <c r="AN177" s="130">
        <f t="shared" si="2"/>
        <v>833.25</v>
      </c>
      <c r="AO177" s="130">
        <f t="shared" si="2"/>
        <v>0</v>
      </c>
      <c r="AP177" s="130">
        <f t="shared" si="2"/>
        <v>1666.5</v>
      </c>
      <c r="AQ177" s="130">
        <f t="shared" si="2"/>
        <v>833.25</v>
      </c>
      <c r="AR177" s="130">
        <f t="shared" si="2"/>
        <v>833.25</v>
      </c>
      <c r="AS177" s="130">
        <f t="shared" si="2"/>
        <v>833.25</v>
      </c>
      <c r="AT177" s="130">
        <f t="shared" si="2"/>
        <v>833.25</v>
      </c>
      <c r="AU177" s="130">
        <f t="shared" si="2"/>
        <v>0</v>
      </c>
      <c r="AV177" s="130">
        <f t="shared" si="2"/>
        <v>937</v>
      </c>
      <c r="AW177" s="130">
        <f t="shared" si="2"/>
        <v>833.25</v>
      </c>
      <c r="AX177" s="130">
        <f t="shared" si="2"/>
        <v>833.25</v>
      </c>
      <c r="AY177" s="130">
        <f t="shared" si="2"/>
        <v>0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0</v>
      </c>
      <c r="G178" s="131">
        <v>0</v>
      </c>
      <c r="H178" s="131">
        <v>833.25</v>
      </c>
      <c r="I178" s="131">
        <v>937</v>
      </c>
      <c r="J178" s="131">
        <v>833.25</v>
      </c>
      <c r="K178" s="131">
        <v>1666.5</v>
      </c>
      <c r="L178" s="131">
        <v>0</v>
      </c>
      <c r="M178" s="131">
        <v>937</v>
      </c>
      <c r="N178" s="131">
        <v>833.25</v>
      </c>
      <c r="O178" s="131">
        <v>833.25</v>
      </c>
      <c r="P178" s="131">
        <v>833.25</v>
      </c>
      <c r="Q178" s="131">
        <v>0</v>
      </c>
      <c r="R178" s="131">
        <v>1700</v>
      </c>
      <c r="S178" s="131">
        <v>1007.25</v>
      </c>
      <c r="T178" s="131">
        <v>0</v>
      </c>
      <c r="U178" s="131">
        <v>937</v>
      </c>
      <c r="V178" s="131">
        <v>937</v>
      </c>
      <c r="W178" s="131">
        <v>937</v>
      </c>
      <c r="X178" s="131">
        <v>0</v>
      </c>
      <c r="Y178" s="131">
        <v>1874</v>
      </c>
      <c r="Z178" s="131">
        <v>937</v>
      </c>
      <c r="AA178" s="131">
        <v>937</v>
      </c>
      <c r="AB178" s="131">
        <v>1625</v>
      </c>
      <c r="AC178" s="131">
        <v>1186</v>
      </c>
      <c r="AD178" s="131">
        <v>833.25</v>
      </c>
      <c r="AE178" s="131">
        <v>833.25</v>
      </c>
      <c r="AF178" s="131">
        <v>833.25</v>
      </c>
      <c r="AG178" s="131">
        <v>0</v>
      </c>
      <c r="AH178" s="131">
        <v>833.25</v>
      </c>
      <c r="AI178" s="131">
        <v>833.25</v>
      </c>
      <c r="AJ178" s="131">
        <v>1666.5</v>
      </c>
      <c r="AK178" s="131">
        <v>833.25</v>
      </c>
      <c r="AL178" s="131">
        <v>0</v>
      </c>
      <c r="AM178" s="131">
        <v>1666.5</v>
      </c>
      <c r="AN178" s="131">
        <v>833.25</v>
      </c>
      <c r="AO178" s="131">
        <v>0</v>
      </c>
      <c r="AP178" s="131">
        <v>1666.5</v>
      </c>
      <c r="AQ178" s="131">
        <v>833.25</v>
      </c>
      <c r="AR178" s="131">
        <v>833.25</v>
      </c>
      <c r="AS178" s="131">
        <v>833.25</v>
      </c>
      <c r="AT178" s="131">
        <v>833.25</v>
      </c>
      <c r="AU178" s="131">
        <v>0</v>
      </c>
      <c r="AV178" s="131">
        <v>937</v>
      </c>
      <c r="AW178" s="131">
        <v>833.25</v>
      </c>
      <c r="AX178" s="131">
        <v>833.25</v>
      </c>
      <c r="AY178" s="131">
        <v>0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249.97499999999999</v>
      </c>
      <c r="J179" s="130">
        <f t="shared" si="3"/>
        <v>281.09999999999997</v>
      </c>
      <c r="K179" s="130">
        <f t="shared" si="3"/>
        <v>249.97499999999999</v>
      </c>
      <c r="L179" s="130">
        <f t="shared" si="3"/>
        <v>499.95</v>
      </c>
      <c r="M179" s="130">
        <f t="shared" si="3"/>
        <v>0</v>
      </c>
      <c r="N179" s="130">
        <f t="shared" si="3"/>
        <v>187.4</v>
      </c>
      <c r="O179" s="130">
        <f t="shared" si="3"/>
        <v>166.65</v>
      </c>
      <c r="P179" s="130">
        <f t="shared" si="3"/>
        <v>166.65</v>
      </c>
      <c r="Q179" s="130">
        <f t="shared" si="3"/>
        <v>333.3</v>
      </c>
      <c r="R179" s="130">
        <f t="shared" si="3"/>
        <v>0</v>
      </c>
      <c r="S179" s="130">
        <f t="shared" si="3"/>
        <v>708.1</v>
      </c>
      <c r="T179" s="130">
        <f t="shared" si="3"/>
        <v>374.80000000000007</v>
      </c>
      <c r="U179" s="130">
        <f t="shared" si="3"/>
        <v>0</v>
      </c>
      <c r="V179" s="130">
        <f t="shared" si="3"/>
        <v>281.09999999999997</v>
      </c>
      <c r="W179" s="130">
        <f t="shared" si="3"/>
        <v>281.09999999999997</v>
      </c>
      <c r="X179" s="130">
        <f t="shared" si="3"/>
        <v>281.09999999999997</v>
      </c>
      <c r="Y179" s="130">
        <f t="shared" si="3"/>
        <v>0</v>
      </c>
      <c r="Z179" s="130">
        <f t="shared" si="3"/>
        <v>374.8</v>
      </c>
      <c r="AA179" s="130">
        <f t="shared" si="3"/>
        <v>187.4</v>
      </c>
      <c r="AB179" s="130">
        <f t="shared" si="3"/>
        <v>187.4</v>
      </c>
      <c r="AC179" s="130">
        <f t="shared" si="3"/>
        <v>749.6</v>
      </c>
      <c r="AD179" s="130">
        <f t="shared" si="3"/>
        <v>374.8</v>
      </c>
      <c r="AE179" s="130">
        <f t="shared" si="3"/>
        <v>333.3</v>
      </c>
      <c r="AF179" s="130">
        <f t="shared" si="3"/>
        <v>333.3</v>
      </c>
      <c r="AG179" s="130">
        <f t="shared" si="3"/>
        <v>249.97499999999999</v>
      </c>
      <c r="AH179" s="130">
        <f t="shared" si="3"/>
        <v>0</v>
      </c>
      <c r="AI179" s="130">
        <f t="shared" si="3"/>
        <v>249.97499999999999</v>
      </c>
      <c r="AJ179" s="130">
        <f t="shared" si="3"/>
        <v>249.97499999999999</v>
      </c>
      <c r="AK179" s="130">
        <f t="shared" si="3"/>
        <v>333.3</v>
      </c>
      <c r="AL179" s="130">
        <f t="shared" si="3"/>
        <v>166.65</v>
      </c>
      <c r="AM179" s="130">
        <f t="shared" si="3"/>
        <v>0</v>
      </c>
      <c r="AN179" s="130">
        <f t="shared" si="3"/>
        <v>333.3</v>
      </c>
      <c r="AO179" s="130">
        <f t="shared" si="3"/>
        <v>333.3</v>
      </c>
      <c r="AP179" s="130">
        <f t="shared" si="3"/>
        <v>0</v>
      </c>
      <c r="AQ179" s="130">
        <f t="shared" si="3"/>
        <v>666.6</v>
      </c>
      <c r="AR179" s="130">
        <f t="shared" si="3"/>
        <v>333.3</v>
      </c>
      <c r="AS179" s="130">
        <f t="shared" si="3"/>
        <v>249.97499999999999</v>
      </c>
      <c r="AT179" s="130">
        <f t="shared" si="3"/>
        <v>249.97499999999999</v>
      </c>
      <c r="AU179" s="130">
        <f t="shared" si="3"/>
        <v>249.97499999999999</v>
      </c>
      <c r="AV179" s="130">
        <f t="shared" si="3"/>
        <v>0</v>
      </c>
      <c r="AW179" s="130">
        <f t="shared" si="3"/>
        <v>187.4</v>
      </c>
      <c r="AX179" s="130">
        <f t="shared" si="3"/>
        <v>166.65</v>
      </c>
      <c r="AY179" s="130">
        <f t="shared" si="3"/>
        <v>166.65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249.97499999999999</v>
      </c>
      <c r="J180" s="131">
        <v>281.09999999999997</v>
      </c>
      <c r="K180" s="131">
        <v>249.97499999999999</v>
      </c>
      <c r="L180" s="131">
        <v>499.95</v>
      </c>
      <c r="M180" s="131">
        <v>0</v>
      </c>
      <c r="N180" s="131">
        <v>187.4</v>
      </c>
      <c r="O180" s="131">
        <v>166.65</v>
      </c>
      <c r="P180" s="131">
        <v>166.65</v>
      </c>
      <c r="Q180" s="131">
        <v>333.3</v>
      </c>
      <c r="R180" s="131">
        <v>0</v>
      </c>
      <c r="S180" s="131">
        <v>708.1</v>
      </c>
      <c r="T180" s="131">
        <v>374.80000000000007</v>
      </c>
      <c r="U180" s="131">
        <v>0</v>
      </c>
      <c r="V180" s="131">
        <v>281.09999999999997</v>
      </c>
      <c r="W180" s="131">
        <v>281.09999999999997</v>
      </c>
      <c r="X180" s="131">
        <v>281.09999999999997</v>
      </c>
      <c r="Y180" s="131">
        <v>0</v>
      </c>
      <c r="Z180" s="131">
        <v>374.8</v>
      </c>
      <c r="AA180" s="131">
        <v>187.4</v>
      </c>
      <c r="AB180" s="131">
        <v>187.4</v>
      </c>
      <c r="AC180" s="131">
        <v>749.6</v>
      </c>
      <c r="AD180" s="131">
        <v>374.8</v>
      </c>
      <c r="AE180" s="131">
        <v>333.3</v>
      </c>
      <c r="AF180" s="131">
        <v>333.3</v>
      </c>
      <c r="AG180" s="131">
        <v>249.97499999999999</v>
      </c>
      <c r="AH180" s="131">
        <v>0</v>
      </c>
      <c r="AI180" s="131">
        <v>249.97499999999999</v>
      </c>
      <c r="AJ180" s="131">
        <v>249.97499999999999</v>
      </c>
      <c r="AK180" s="131">
        <v>333.3</v>
      </c>
      <c r="AL180" s="131">
        <v>166.65</v>
      </c>
      <c r="AM180" s="131">
        <v>0</v>
      </c>
      <c r="AN180" s="131">
        <v>333.3</v>
      </c>
      <c r="AO180" s="131">
        <v>333.3</v>
      </c>
      <c r="AP180" s="131">
        <v>0</v>
      </c>
      <c r="AQ180" s="131">
        <v>666.6</v>
      </c>
      <c r="AR180" s="131">
        <v>333.3</v>
      </c>
      <c r="AS180" s="131">
        <v>249.97499999999999</v>
      </c>
      <c r="AT180" s="131">
        <v>249.97499999999999</v>
      </c>
      <c r="AU180" s="131">
        <v>249.97499999999999</v>
      </c>
      <c r="AV180" s="131">
        <v>0</v>
      </c>
      <c r="AW180" s="131">
        <v>187.4</v>
      </c>
      <c r="AX180" s="131">
        <v>166.65</v>
      </c>
      <c r="AY180" s="131">
        <v>166.65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583.27499999999998</v>
      </c>
      <c r="I181" s="130">
        <f t="shared" si="4"/>
        <v>655.9</v>
      </c>
      <c r="J181" s="130">
        <f t="shared" si="4"/>
        <v>583.27499999999998</v>
      </c>
      <c r="K181" s="130">
        <f t="shared" si="4"/>
        <v>1166.55</v>
      </c>
      <c r="L181" s="130">
        <f t="shared" si="4"/>
        <v>0</v>
      </c>
      <c r="M181" s="130">
        <f t="shared" si="4"/>
        <v>749.6</v>
      </c>
      <c r="N181" s="130">
        <f t="shared" si="4"/>
        <v>666.6</v>
      </c>
      <c r="O181" s="130">
        <f t="shared" si="4"/>
        <v>666.6</v>
      </c>
      <c r="P181" s="130">
        <f t="shared" si="4"/>
        <v>499.95</v>
      </c>
      <c r="Q181" s="130">
        <f t="shared" si="4"/>
        <v>0</v>
      </c>
      <c r="R181" s="130">
        <f t="shared" si="4"/>
        <v>1062.1499999999999</v>
      </c>
      <c r="S181" s="130">
        <f t="shared" si="4"/>
        <v>562.20000000000005</v>
      </c>
      <c r="T181" s="130">
        <f t="shared" si="4"/>
        <v>0</v>
      </c>
      <c r="U181" s="130">
        <f t="shared" si="4"/>
        <v>655.9</v>
      </c>
      <c r="V181" s="130">
        <f t="shared" si="4"/>
        <v>655.9</v>
      </c>
      <c r="W181" s="130">
        <f t="shared" si="4"/>
        <v>655.9</v>
      </c>
      <c r="X181" s="130">
        <f t="shared" si="4"/>
        <v>0</v>
      </c>
      <c r="Y181" s="130">
        <f t="shared" si="4"/>
        <v>1499.2</v>
      </c>
      <c r="Z181" s="130">
        <f t="shared" si="4"/>
        <v>749.6</v>
      </c>
      <c r="AA181" s="130">
        <f t="shared" si="4"/>
        <v>749.6</v>
      </c>
      <c r="AB181" s="130">
        <f t="shared" si="4"/>
        <v>1124.3999999999999</v>
      </c>
      <c r="AC181" s="130">
        <f t="shared" si="4"/>
        <v>562.19999999999993</v>
      </c>
      <c r="AD181" s="130">
        <f t="shared" si="4"/>
        <v>499.95</v>
      </c>
      <c r="AE181" s="130">
        <f t="shared" si="4"/>
        <v>499.95</v>
      </c>
      <c r="AF181" s="130">
        <f t="shared" si="4"/>
        <v>583.27499999999998</v>
      </c>
      <c r="AG181" s="130">
        <f t="shared" si="4"/>
        <v>0</v>
      </c>
      <c r="AH181" s="130">
        <f t="shared" si="4"/>
        <v>583.27499999999998</v>
      </c>
      <c r="AI181" s="130">
        <f t="shared" si="4"/>
        <v>583.27499999999998</v>
      </c>
      <c r="AJ181" s="130">
        <f t="shared" si="4"/>
        <v>1333.2</v>
      </c>
      <c r="AK181" s="130">
        <f t="shared" si="4"/>
        <v>666.6</v>
      </c>
      <c r="AL181" s="130">
        <f t="shared" si="4"/>
        <v>0</v>
      </c>
      <c r="AM181" s="130">
        <f t="shared" si="4"/>
        <v>1333.2</v>
      </c>
      <c r="AN181" s="130">
        <f t="shared" si="4"/>
        <v>499.95</v>
      </c>
      <c r="AO181" s="130">
        <f t="shared" si="4"/>
        <v>0</v>
      </c>
      <c r="AP181" s="130">
        <f t="shared" si="4"/>
        <v>999.9</v>
      </c>
      <c r="AQ181" s="130">
        <f t="shared" si="4"/>
        <v>499.95</v>
      </c>
      <c r="AR181" s="130">
        <f t="shared" si="4"/>
        <v>583.27499999999998</v>
      </c>
      <c r="AS181" s="130">
        <f t="shared" si="4"/>
        <v>583.27499999999998</v>
      </c>
      <c r="AT181" s="130">
        <f t="shared" si="4"/>
        <v>583.27499999999998</v>
      </c>
      <c r="AU181" s="130">
        <f t="shared" si="4"/>
        <v>0</v>
      </c>
      <c r="AV181" s="130">
        <f t="shared" si="4"/>
        <v>749.6</v>
      </c>
      <c r="AW181" s="130">
        <f t="shared" si="4"/>
        <v>666.6</v>
      </c>
      <c r="AX181" s="130">
        <f t="shared" si="4"/>
        <v>666.6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583.27499999999998</v>
      </c>
      <c r="I182" s="131">
        <v>655.9</v>
      </c>
      <c r="J182" s="131">
        <v>583.27499999999998</v>
      </c>
      <c r="K182" s="131">
        <v>1166.55</v>
      </c>
      <c r="L182" s="131">
        <v>0</v>
      </c>
      <c r="M182" s="131">
        <v>749.6</v>
      </c>
      <c r="N182" s="131">
        <v>666.6</v>
      </c>
      <c r="O182" s="131">
        <v>666.6</v>
      </c>
      <c r="P182" s="131">
        <v>499.95</v>
      </c>
      <c r="Q182" s="131">
        <v>0</v>
      </c>
      <c r="R182" s="131">
        <v>1062.1499999999999</v>
      </c>
      <c r="S182" s="131">
        <v>562.20000000000005</v>
      </c>
      <c r="T182" s="131">
        <v>0</v>
      </c>
      <c r="U182" s="131">
        <v>655.9</v>
      </c>
      <c r="V182" s="131">
        <v>655.9</v>
      </c>
      <c r="W182" s="131">
        <v>655.9</v>
      </c>
      <c r="X182" s="131">
        <v>0</v>
      </c>
      <c r="Y182" s="131">
        <v>1499.2</v>
      </c>
      <c r="Z182" s="131">
        <v>749.6</v>
      </c>
      <c r="AA182" s="131">
        <v>749.6</v>
      </c>
      <c r="AB182" s="131">
        <v>1124.3999999999999</v>
      </c>
      <c r="AC182" s="131">
        <v>562.19999999999993</v>
      </c>
      <c r="AD182" s="131">
        <v>499.95</v>
      </c>
      <c r="AE182" s="131">
        <v>499.95</v>
      </c>
      <c r="AF182" s="131">
        <v>583.27499999999998</v>
      </c>
      <c r="AG182" s="131">
        <v>0</v>
      </c>
      <c r="AH182" s="131">
        <v>583.27499999999998</v>
      </c>
      <c r="AI182" s="131">
        <v>583.27499999999998</v>
      </c>
      <c r="AJ182" s="131">
        <v>1333.2</v>
      </c>
      <c r="AK182" s="131">
        <v>666.6</v>
      </c>
      <c r="AL182" s="131">
        <v>0</v>
      </c>
      <c r="AM182" s="131">
        <v>1333.2</v>
      </c>
      <c r="AN182" s="131">
        <v>499.95</v>
      </c>
      <c r="AO182" s="131">
        <v>0</v>
      </c>
      <c r="AP182" s="131">
        <v>999.9</v>
      </c>
      <c r="AQ182" s="131">
        <v>499.95</v>
      </c>
      <c r="AR182" s="131">
        <v>583.27499999999998</v>
      </c>
      <c r="AS182" s="131">
        <v>583.27499999999998</v>
      </c>
      <c r="AT182" s="131">
        <v>583.27499999999998</v>
      </c>
      <c r="AU182" s="131">
        <v>0</v>
      </c>
      <c r="AV182" s="131">
        <v>749.6</v>
      </c>
      <c r="AW182" s="131">
        <v>666.6</v>
      </c>
      <c r="AX182" s="131">
        <v>666.6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2899</v>
      </c>
      <c r="E185" s="130">
        <v>2446</v>
      </c>
      <c r="F185" s="130">
        <v>2223</v>
      </c>
      <c r="G185" s="130">
        <v>2093</v>
      </c>
      <c r="H185" s="130">
        <v>2466</v>
      </c>
      <c r="I185" s="130">
        <v>3314</v>
      </c>
      <c r="J185" s="130">
        <v>3333</v>
      </c>
      <c r="K185" s="130">
        <v>3333</v>
      </c>
      <c r="L185" s="130">
        <v>2795</v>
      </c>
      <c r="M185" s="130">
        <v>1912</v>
      </c>
      <c r="N185" s="130">
        <v>1549</v>
      </c>
      <c r="O185" s="130">
        <v>525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434</v>
      </c>
      <c r="F186" s="112">
        <v>887</v>
      </c>
      <c r="G186" s="112">
        <v>1110</v>
      </c>
      <c r="H186" s="112">
        <v>1240</v>
      </c>
      <c r="I186" s="112">
        <v>867</v>
      </c>
      <c r="J186" s="112">
        <v>19</v>
      </c>
      <c r="K186" s="112">
        <v>0</v>
      </c>
      <c r="L186" s="112">
        <v>0</v>
      </c>
      <c r="M186" s="112">
        <v>538</v>
      </c>
      <c r="N186" s="112">
        <v>1421</v>
      </c>
      <c r="O186" s="112">
        <v>1784</v>
      </c>
      <c r="P186" s="112">
        <v>1391</v>
      </c>
      <c r="Q186" s="112">
        <v>153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1417</v>
      </c>
      <c r="R187" s="112">
        <v>1582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1771</v>
      </c>
      <c r="T188" s="112">
        <v>3012</v>
      </c>
      <c r="U188" s="112">
        <v>3141</v>
      </c>
      <c r="V188" s="112">
        <v>2877</v>
      </c>
      <c r="W188" s="112">
        <v>3074</v>
      </c>
      <c r="X188" s="112">
        <v>3685</v>
      </c>
      <c r="Y188" s="112">
        <v>2978</v>
      </c>
      <c r="Z188" s="112">
        <v>2646</v>
      </c>
      <c r="AA188" s="112">
        <v>3792</v>
      </c>
      <c r="AB188" s="112">
        <v>894</v>
      </c>
      <c r="AC188" s="112">
        <v>840</v>
      </c>
      <c r="AD188" s="112">
        <v>705</v>
      </c>
      <c r="AE188" s="112">
        <v>661</v>
      </c>
      <c r="AF188" s="112">
        <v>878</v>
      </c>
      <c r="AG188" s="112">
        <v>1214</v>
      </c>
      <c r="AH188" s="112">
        <v>954</v>
      </c>
      <c r="AI188" s="112">
        <v>869</v>
      </c>
      <c r="AJ188" s="112">
        <v>1295</v>
      </c>
      <c r="AK188" s="112">
        <v>1412</v>
      </c>
      <c r="AL188" s="112">
        <v>966</v>
      </c>
      <c r="AM188" s="112">
        <v>1005</v>
      </c>
      <c r="AN188" s="112">
        <v>2244</v>
      </c>
      <c r="AO188" s="112">
        <v>2587</v>
      </c>
      <c r="AP188" s="112">
        <v>2613</v>
      </c>
      <c r="AQ188" s="112">
        <v>2055</v>
      </c>
      <c r="AR188" s="112">
        <v>1149</v>
      </c>
      <c r="AS188" s="112">
        <v>1392</v>
      </c>
      <c r="AT188" s="112">
        <v>1063</v>
      </c>
      <c r="AU188" s="112">
        <v>1091</v>
      </c>
      <c r="AV188" s="112">
        <v>972</v>
      </c>
      <c r="AW188" s="112">
        <v>922</v>
      </c>
      <c r="AX188" s="112">
        <v>1185</v>
      </c>
      <c r="AY188" s="112">
        <v>922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833.25</v>
      </c>
      <c r="L189" s="130">
        <v>0</v>
      </c>
      <c r="M189" s="130">
        <v>937</v>
      </c>
      <c r="N189" s="130">
        <v>833.25</v>
      </c>
      <c r="O189" s="130">
        <v>833.25</v>
      </c>
      <c r="P189" s="130">
        <v>833.25</v>
      </c>
      <c r="Q189" s="130">
        <v>0</v>
      </c>
      <c r="R189" s="130">
        <v>866.75</v>
      </c>
      <c r="S189" s="130">
        <v>937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688</v>
      </c>
      <c r="AC189" s="130">
        <v>937</v>
      </c>
      <c r="AD189" s="130">
        <v>833.25</v>
      </c>
      <c r="AE189" s="130">
        <v>833.25</v>
      </c>
      <c r="AF189" s="130">
        <v>833.25</v>
      </c>
      <c r="AG189" s="130">
        <v>0</v>
      </c>
      <c r="AH189" s="130">
        <v>0</v>
      </c>
      <c r="AI189" s="130">
        <v>0</v>
      </c>
      <c r="AJ189" s="130">
        <v>833.25</v>
      </c>
      <c r="AK189" s="130">
        <v>833.25</v>
      </c>
      <c r="AL189" s="130">
        <v>0</v>
      </c>
      <c r="AM189" s="130">
        <v>833.25</v>
      </c>
      <c r="AN189" s="130">
        <v>833.25</v>
      </c>
      <c r="AO189" s="130">
        <v>0</v>
      </c>
      <c r="AP189" s="130">
        <v>833.25</v>
      </c>
      <c r="AQ189" s="130">
        <v>833.25</v>
      </c>
      <c r="AR189" s="130">
        <v>833.25</v>
      </c>
      <c r="AS189" s="130">
        <v>833.25</v>
      </c>
      <c r="AT189" s="130">
        <v>833.25</v>
      </c>
      <c r="AU189" s="130">
        <v>0</v>
      </c>
      <c r="AV189" s="130">
        <v>937</v>
      </c>
      <c r="AW189" s="130">
        <v>833.25</v>
      </c>
      <c r="AX189" s="130">
        <v>833.25</v>
      </c>
      <c r="AY189" s="130">
        <v>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937</v>
      </c>
      <c r="J190" s="112">
        <v>833.25</v>
      </c>
      <c r="K190" s="112">
        <v>833.25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833.25</v>
      </c>
      <c r="S190" s="112">
        <v>70.25</v>
      </c>
      <c r="T190" s="112">
        <v>0</v>
      </c>
      <c r="U190" s="112">
        <v>937</v>
      </c>
      <c r="V190" s="112">
        <v>937</v>
      </c>
      <c r="W190" s="112">
        <v>937</v>
      </c>
      <c r="X190" s="112">
        <v>0</v>
      </c>
      <c r="Y190" s="112">
        <v>937</v>
      </c>
      <c r="Z190" s="112">
        <v>937</v>
      </c>
      <c r="AA190" s="112">
        <v>937</v>
      </c>
      <c r="AB190" s="112">
        <v>937</v>
      </c>
      <c r="AC190" s="112">
        <v>249</v>
      </c>
      <c r="AD190" s="112">
        <v>0</v>
      </c>
      <c r="AE190" s="112">
        <v>0</v>
      </c>
      <c r="AF190" s="112">
        <v>0</v>
      </c>
      <c r="AG190" s="112">
        <v>0</v>
      </c>
      <c r="AH190" s="112">
        <v>833.25</v>
      </c>
      <c r="AI190" s="112">
        <v>833.25</v>
      </c>
      <c r="AJ190" s="112">
        <v>833.25</v>
      </c>
      <c r="AK190" s="112">
        <v>0</v>
      </c>
      <c r="AL190" s="112">
        <v>0</v>
      </c>
      <c r="AM190" s="112">
        <v>833.25</v>
      </c>
      <c r="AN190" s="112">
        <v>0</v>
      </c>
      <c r="AO190" s="112">
        <v>0</v>
      </c>
      <c r="AP190" s="112">
        <v>833.25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833.25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937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249.97499999999999</v>
      </c>
      <c r="J197" s="112">
        <v>281.09999999999997</v>
      </c>
      <c r="K197" s="112">
        <v>249.97499999999999</v>
      </c>
      <c r="L197" s="112">
        <v>499.95</v>
      </c>
      <c r="M197" s="112">
        <v>0</v>
      </c>
      <c r="N197" s="112">
        <v>187.4</v>
      </c>
      <c r="O197" s="112">
        <v>166.65</v>
      </c>
      <c r="P197" s="112">
        <v>166.65</v>
      </c>
      <c r="Q197" s="112">
        <v>333.3</v>
      </c>
      <c r="R197" s="112">
        <v>0</v>
      </c>
      <c r="S197" s="112">
        <v>708.1</v>
      </c>
      <c r="T197" s="112">
        <v>374.80000000000007</v>
      </c>
      <c r="U197" s="112">
        <v>0</v>
      </c>
      <c r="V197" s="112">
        <v>281.09999999999997</v>
      </c>
      <c r="W197" s="112">
        <v>281.09999999999997</v>
      </c>
      <c r="X197" s="112">
        <v>281.09999999999997</v>
      </c>
      <c r="Y197" s="112">
        <v>0</v>
      </c>
      <c r="Z197" s="112">
        <v>374.8</v>
      </c>
      <c r="AA197" s="112">
        <v>187.4</v>
      </c>
      <c r="AB197" s="112">
        <v>187.4</v>
      </c>
      <c r="AC197" s="112">
        <v>749.6</v>
      </c>
      <c r="AD197" s="112">
        <v>374.8</v>
      </c>
      <c r="AE197" s="112">
        <v>333.3</v>
      </c>
      <c r="AF197" s="112">
        <v>333.3</v>
      </c>
      <c r="AG197" s="112">
        <v>249.97499999999999</v>
      </c>
      <c r="AH197" s="112">
        <v>0</v>
      </c>
      <c r="AI197" s="112">
        <v>249.97499999999999</v>
      </c>
      <c r="AJ197" s="112">
        <v>249.97499999999999</v>
      </c>
      <c r="AK197" s="112">
        <v>333.3</v>
      </c>
      <c r="AL197" s="112">
        <v>166.65</v>
      </c>
      <c r="AM197" s="112">
        <v>0</v>
      </c>
      <c r="AN197" s="112">
        <v>333.3</v>
      </c>
      <c r="AO197" s="112">
        <v>333.3</v>
      </c>
      <c r="AP197" s="112">
        <v>0</v>
      </c>
      <c r="AQ197" s="112">
        <v>666.6</v>
      </c>
      <c r="AR197" s="112">
        <v>333.3</v>
      </c>
      <c r="AS197" s="112">
        <v>249.97499999999999</v>
      </c>
      <c r="AT197" s="112">
        <v>249.97499999999999</v>
      </c>
      <c r="AU197" s="112">
        <v>249.97499999999999</v>
      </c>
      <c r="AV197" s="112">
        <v>0</v>
      </c>
      <c r="AW197" s="112">
        <v>187.4</v>
      </c>
      <c r="AX197" s="112">
        <v>166.65</v>
      </c>
      <c r="AY197" s="112">
        <v>166.65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583.27499999999998</v>
      </c>
      <c r="L209" s="130">
        <v>0</v>
      </c>
      <c r="M209" s="130">
        <v>749.6</v>
      </c>
      <c r="N209" s="130">
        <v>666.6</v>
      </c>
      <c r="O209" s="130">
        <v>666.6</v>
      </c>
      <c r="P209" s="130">
        <v>499.95</v>
      </c>
      <c r="Q209" s="130">
        <v>0</v>
      </c>
      <c r="R209" s="130">
        <v>562.19999999999982</v>
      </c>
      <c r="S209" s="130">
        <v>562.19999999999993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562.19999999999993</v>
      </c>
      <c r="AC209" s="130">
        <v>562.19999999999993</v>
      </c>
      <c r="AD209" s="130">
        <v>499.95</v>
      </c>
      <c r="AE209" s="130">
        <v>499.95</v>
      </c>
      <c r="AF209" s="130">
        <v>583.27499999999998</v>
      </c>
      <c r="AG209" s="130">
        <v>0</v>
      </c>
      <c r="AH209" s="130">
        <v>0</v>
      </c>
      <c r="AI209" s="130">
        <v>0</v>
      </c>
      <c r="AJ209" s="130">
        <v>666.6</v>
      </c>
      <c r="AK209" s="130">
        <v>666.6</v>
      </c>
      <c r="AL209" s="130">
        <v>0</v>
      </c>
      <c r="AM209" s="130">
        <v>666.6</v>
      </c>
      <c r="AN209" s="130">
        <v>499.95</v>
      </c>
      <c r="AO209" s="130">
        <v>0</v>
      </c>
      <c r="AP209" s="130">
        <v>499.95</v>
      </c>
      <c r="AQ209" s="130">
        <v>499.95</v>
      </c>
      <c r="AR209" s="130">
        <v>583.27499999999998</v>
      </c>
      <c r="AS209" s="130">
        <v>583.27499999999998</v>
      </c>
      <c r="AT209" s="130">
        <v>583.27499999999998</v>
      </c>
      <c r="AU209" s="130">
        <v>0</v>
      </c>
      <c r="AV209" s="130">
        <v>749.6</v>
      </c>
      <c r="AW209" s="130">
        <v>666.6</v>
      </c>
      <c r="AX209" s="130">
        <v>666.6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655.9</v>
      </c>
      <c r="J210" s="116">
        <v>583.27499999999998</v>
      </c>
      <c r="K210" s="116">
        <v>583.27499999999998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499.95</v>
      </c>
      <c r="S210" s="116">
        <v>6.8212102632969615E-14</v>
      </c>
      <c r="T210" s="116">
        <v>0</v>
      </c>
      <c r="U210" s="116">
        <v>655.9</v>
      </c>
      <c r="V210" s="116">
        <v>655.9</v>
      </c>
      <c r="W210" s="116">
        <v>655.9</v>
      </c>
      <c r="X210" s="116">
        <v>0</v>
      </c>
      <c r="Y210" s="116">
        <v>749.6</v>
      </c>
      <c r="Z210" s="116">
        <v>749.6</v>
      </c>
      <c r="AA210" s="116">
        <v>749.6</v>
      </c>
      <c r="AB210" s="116">
        <v>562.19999999999993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583.27499999999998</v>
      </c>
      <c r="AI210" s="116">
        <v>583.27499999999998</v>
      </c>
      <c r="AJ210" s="116">
        <v>666.6</v>
      </c>
      <c r="AK210" s="116">
        <v>0</v>
      </c>
      <c r="AL210" s="116">
        <v>0</v>
      </c>
      <c r="AM210" s="116">
        <v>666.6</v>
      </c>
      <c r="AN210" s="116">
        <v>0</v>
      </c>
      <c r="AO210" s="116">
        <v>0</v>
      </c>
      <c r="AP210" s="116">
        <v>499.95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583.27499999999998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749.6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162483.75</v>
      </c>
      <c r="I259" s="130">
        <f t="shared" si="5"/>
        <v>182714.99999999997</v>
      </c>
      <c r="J259" s="130">
        <f t="shared" si="5"/>
        <v>162483.75</v>
      </c>
      <c r="K259" s="130">
        <f t="shared" si="5"/>
        <v>324967.5</v>
      </c>
      <c r="L259" s="130">
        <f t="shared" si="5"/>
        <v>0</v>
      </c>
      <c r="M259" s="130">
        <f t="shared" si="5"/>
        <v>121810</v>
      </c>
      <c r="N259" s="130">
        <f t="shared" si="5"/>
        <v>108322.5</v>
      </c>
      <c r="O259" s="130">
        <f t="shared" si="5"/>
        <v>108322.5</v>
      </c>
      <c r="P259" s="130">
        <f t="shared" si="5"/>
        <v>216645</v>
      </c>
      <c r="Q259" s="130">
        <f t="shared" si="5"/>
        <v>0</v>
      </c>
      <c r="R259" s="130">
        <f t="shared" si="5"/>
        <v>460265</v>
      </c>
      <c r="S259" s="130">
        <f t="shared" si="5"/>
        <v>243620.00000000006</v>
      </c>
      <c r="T259" s="130">
        <f t="shared" si="5"/>
        <v>0</v>
      </c>
      <c r="U259" s="130">
        <f t="shared" si="5"/>
        <v>182714.99999999997</v>
      </c>
      <c r="V259" s="130">
        <f t="shared" si="5"/>
        <v>182714.99999999997</v>
      </c>
      <c r="W259" s="130">
        <f t="shared" si="5"/>
        <v>182714.99999999997</v>
      </c>
      <c r="X259" s="130">
        <f t="shared" si="5"/>
        <v>0</v>
      </c>
      <c r="Y259" s="130">
        <f t="shared" si="5"/>
        <v>243620</v>
      </c>
      <c r="Z259" s="130">
        <f t="shared" si="5"/>
        <v>121810</v>
      </c>
      <c r="AA259" s="130">
        <f t="shared" si="5"/>
        <v>121810</v>
      </c>
      <c r="AB259" s="130">
        <f t="shared" si="5"/>
        <v>487240</v>
      </c>
      <c r="AC259" s="130">
        <f t="shared" si="5"/>
        <v>243620</v>
      </c>
      <c r="AD259" s="130">
        <f t="shared" si="5"/>
        <v>216645</v>
      </c>
      <c r="AE259" s="130">
        <f t="shared" si="5"/>
        <v>216645</v>
      </c>
      <c r="AF259" s="130">
        <f t="shared" si="5"/>
        <v>162483.75</v>
      </c>
      <c r="AG259" s="130">
        <f t="shared" si="5"/>
        <v>0</v>
      </c>
      <c r="AH259" s="130">
        <f t="shared" si="5"/>
        <v>162483.75</v>
      </c>
      <c r="AI259" s="130">
        <f t="shared" si="5"/>
        <v>162483.75</v>
      </c>
      <c r="AJ259" s="130">
        <f t="shared" si="5"/>
        <v>216645</v>
      </c>
      <c r="AK259" s="130">
        <f t="shared" si="5"/>
        <v>108322.5</v>
      </c>
      <c r="AL259" s="130">
        <f t="shared" si="5"/>
        <v>0</v>
      </c>
      <c r="AM259" s="130">
        <f t="shared" si="5"/>
        <v>216645</v>
      </c>
      <c r="AN259" s="130">
        <f t="shared" si="5"/>
        <v>216645</v>
      </c>
      <c r="AO259" s="130">
        <f t="shared" si="5"/>
        <v>0</v>
      </c>
      <c r="AP259" s="130">
        <f t="shared" si="5"/>
        <v>433290</v>
      </c>
      <c r="AQ259" s="130">
        <f t="shared" si="5"/>
        <v>216645</v>
      </c>
      <c r="AR259" s="130">
        <f t="shared" si="5"/>
        <v>162483.75</v>
      </c>
      <c r="AS259" s="130">
        <f t="shared" si="5"/>
        <v>162483.75</v>
      </c>
      <c r="AT259" s="130">
        <f t="shared" si="5"/>
        <v>162483.75</v>
      </c>
      <c r="AU259" s="130">
        <f t="shared" si="5"/>
        <v>0</v>
      </c>
      <c r="AV259" s="130">
        <f t="shared" si="5"/>
        <v>121810</v>
      </c>
      <c r="AW259" s="130">
        <f t="shared" si="5"/>
        <v>108322.5</v>
      </c>
      <c r="AX259" s="130">
        <f t="shared" si="5"/>
        <v>108322.5</v>
      </c>
      <c r="AY259" s="130">
        <f>AZ$14*$B$259</f>
        <v>0</v>
      </c>
      <c r="AZ259" s="145">
        <f>SUM($D259:$AY259)</f>
        <v>7012720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26040</v>
      </c>
      <c r="E260" s="131">
        <f t="shared" ref="E260:AY260" si="6">(E$175-E$176+E$177-E$178+E$179-E$180+E$181-E$182)*$B$260</f>
        <v>53220</v>
      </c>
      <c r="F260" s="131">
        <f t="shared" si="6"/>
        <v>66600</v>
      </c>
      <c r="G260" s="131">
        <f t="shared" si="6"/>
        <v>74400</v>
      </c>
      <c r="H260" s="131">
        <f t="shared" si="6"/>
        <v>52020.000000000007</v>
      </c>
      <c r="I260" s="131">
        <f t="shared" si="6"/>
        <v>1140</v>
      </c>
      <c r="J260" s="131">
        <f t="shared" si="6"/>
        <v>0</v>
      </c>
      <c r="K260" s="131">
        <f t="shared" si="6"/>
        <v>0</v>
      </c>
      <c r="L260" s="131">
        <f t="shared" si="6"/>
        <v>32280</v>
      </c>
      <c r="M260" s="131">
        <f t="shared" si="6"/>
        <v>85260</v>
      </c>
      <c r="N260" s="131">
        <f t="shared" si="6"/>
        <v>107040</v>
      </c>
      <c r="O260" s="131">
        <f t="shared" si="6"/>
        <v>168480</v>
      </c>
      <c r="P260" s="131">
        <f t="shared" si="6"/>
        <v>384990</v>
      </c>
      <c r="Q260" s="131">
        <f t="shared" si="6"/>
        <v>590760</v>
      </c>
      <c r="R260" s="131">
        <f t="shared" si="6"/>
        <v>800025</v>
      </c>
      <c r="S260" s="131">
        <f t="shared" si="6"/>
        <v>989520</v>
      </c>
      <c r="T260" s="131">
        <f t="shared" si="6"/>
        <v>1019160</v>
      </c>
      <c r="U260" s="131">
        <f t="shared" si="6"/>
        <v>1011420</v>
      </c>
      <c r="V260" s="131">
        <f t="shared" si="6"/>
        <v>1027260</v>
      </c>
      <c r="W260" s="131">
        <f t="shared" si="6"/>
        <v>1015440</v>
      </c>
      <c r="X260" s="131">
        <f t="shared" si="6"/>
        <v>928785</v>
      </c>
      <c r="Y260" s="131">
        <f t="shared" si="6"/>
        <v>921210</v>
      </c>
      <c r="Z260" s="131">
        <f t="shared" si="6"/>
        <v>891135</v>
      </c>
      <c r="AA260" s="131">
        <f t="shared" si="6"/>
        <v>772380</v>
      </c>
      <c r="AB260" s="131">
        <f t="shared" si="6"/>
        <v>911205</v>
      </c>
      <c r="AC260" s="131">
        <f t="shared" si="6"/>
        <v>849510</v>
      </c>
      <c r="AD260" s="131">
        <f t="shared" si="6"/>
        <v>807615</v>
      </c>
      <c r="AE260" s="131">
        <f t="shared" si="6"/>
        <v>760260</v>
      </c>
      <c r="AF260" s="131">
        <f t="shared" si="6"/>
        <v>747240</v>
      </c>
      <c r="AG260" s="131">
        <f t="shared" si="6"/>
        <v>727080</v>
      </c>
      <c r="AH260" s="131">
        <f t="shared" si="6"/>
        <v>742680</v>
      </c>
      <c r="AI260" s="131">
        <f t="shared" si="6"/>
        <v>747780</v>
      </c>
      <c r="AJ260" s="131">
        <f t="shared" si="6"/>
        <v>722220</v>
      </c>
      <c r="AK260" s="131">
        <f t="shared" si="6"/>
        <v>715200</v>
      </c>
      <c r="AL260" s="131">
        <f t="shared" si="6"/>
        <v>741960</v>
      </c>
      <c r="AM260" s="131">
        <f t="shared" si="6"/>
        <v>739620</v>
      </c>
      <c r="AN260" s="131">
        <f t="shared" si="6"/>
        <v>665280</v>
      </c>
      <c r="AO260" s="131">
        <f t="shared" si="6"/>
        <v>644700</v>
      </c>
      <c r="AP260" s="131">
        <f t="shared" si="6"/>
        <v>643140</v>
      </c>
      <c r="AQ260" s="131">
        <f t="shared" si="6"/>
        <v>676620</v>
      </c>
      <c r="AR260" s="131">
        <f t="shared" si="6"/>
        <v>730980</v>
      </c>
      <c r="AS260" s="131">
        <f t="shared" si="6"/>
        <v>716400</v>
      </c>
      <c r="AT260" s="131">
        <f t="shared" si="6"/>
        <v>736140</v>
      </c>
      <c r="AU260" s="131">
        <f t="shared" si="6"/>
        <v>734460</v>
      </c>
      <c r="AV260" s="131">
        <f t="shared" si="6"/>
        <v>741600</v>
      </c>
      <c r="AW260" s="131">
        <f t="shared" si="6"/>
        <v>744600</v>
      </c>
      <c r="AX260" s="131">
        <f t="shared" si="6"/>
        <v>728820</v>
      </c>
      <c r="AY260" s="131">
        <f t="shared" si="6"/>
        <v>744600</v>
      </c>
      <c r="AZ260" s="147">
        <f>SUM($D260:$AY260)</f>
        <v>28738275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59</v>
      </c>
    </row>
    <row r="3" spans="1:53" x14ac:dyDescent="0.2">
      <c r="A3" s="106" t="s">
        <v>285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3334.0000000000005</v>
      </c>
      <c r="E9" s="123">
        <v>3334.0000000000005</v>
      </c>
      <c r="F9" s="123">
        <v>3334.0000000000005</v>
      </c>
      <c r="G9" s="123">
        <v>3334.0000000000005</v>
      </c>
      <c r="H9" s="123">
        <v>3334.0000000000005</v>
      </c>
      <c r="I9" s="123">
        <v>3334.0000000000005</v>
      </c>
      <c r="J9" s="123">
        <v>3334.0000000000005</v>
      </c>
      <c r="K9" s="123">
        <v>3334.0000000000005</v>
      </c>
      <c r="L9" s="123">
        <v>3334.0000000000005</v>
      </c>
      <c r="M9" s="123">
        <v>3334.0000000000005</v>
      </c>
      <c r="N9" s="123">
        <v>3334.0000000000005</v>
      </c>
      <c r="O9" s="123">
        <v>3334.0000000000005</v>
      </c>
      <c r="P9" s="123">
        <v>5001</v>
      </c>
      <c r="Q9" s="123">
        <v>5001</v>
      </c>
      <c r="R9" s="123">
        <v>5001</v>
      </c>
      <c r="S9" s="123">
        <v>5001</v>
      </c>
      <c r="T9" s="123">
        <v>5001</v>
      </c>
      <c r="U9" s="123">
        <v>5001</v>
      </c>
      <c r="V9" s="123">
        <v>5001</v>
      </c>
      <c r="W9" s="123">
        <v>5001</v>
      </c>
      <c r="X9" s="123">
        <v>4167.5</v>
      </c>
      <c r="Y9" s="123">
        <v>4167.5</v>
      </c>
      <c r="Z9" s="123">
        <v>4167.5</v>
      </c>
      <c r="AA9" s="123">
        <v>4167.5</v>
      </c>
      <c r="AB9" s="123">
        <v>3334.0000000000005</v>
      </c>
      <c r="AC9" s="123">
        <v>3334.0000000000005</v>
      </c>
      <c r="AD9" s="123">
        <v>3334.0000000000005</v>
      </c>
      <c r="AE9" s="123">
        <v>3334.0000000000005</v>
      </c>
      <c r="AF9" s="123">
        <v>3334.0000000000005</v>
      </c>
      <c r="AG9" s="123">
        <v>3334.0000000000005</v>
      </c>
      <c r="AH9" s="123">
        <v>3334.0000000000005</v>
      </c>
      <c r="AI9" s="123">
        <v>3334.0000000000005</v>
      </c>
      <c r="AJ9" s="123">
        <v>3334.0000000000005</v>
      </c>
      <c r="AK9" s="123">
        <v>3334.0000000000005</v>
      </c>
      <c r="AL9" s="123">
        <v>3334.0000000000005</v>
      </c>
      <c r="AM9" s="123">
        <v>3334.0000000000005</v>
      </c>
      <c r="AN9" s="123">
        <v>3334.0000000000005</v>
      </c>
      <c r="AO9" s="123">
        <v>3334.0000000000005</v>
      </c>
      <c r="AP9" s="123">
        <v>3334.0000000000005</v>
      </c>
      <c r="AQ9" s="123">
        <v>3334.0000000000005</v>
      </c>
      <c r="AR9" s="123">
        <v>3334.0000000000005</v>
      </c>
      <c r="AS9" s="123">
        <v>3334.0000000000005</v>
      </c>
      <c r="AT9" s="123">
        <v>3334.0000000000005</v>
      </c>
      <c r="AU9" s="123">
        <v>3334.0000000000005</v>
      </c>
      <c r="AV9" s="123">
        <v>3334.0000000000005</v>
      </c>
      <c r="AW9" s="123">
        <v>3334.0000000000005</v>
      </c>
      <c r="AX9" s="123">
        <v>3334.0000000000005</v>
      </c>
      <c r="AY9" s="123">
        <v>3334.0000000000005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0</v>
      </c>
      <c r="G10" s="106">
        <v>0</v>
      </c>
      <c r="H10" s="106">
        <v>937</v>
      </c>
      <c r="I10" s="106">
        <v>833.25</v>
      </c>
      <c r="J10" s="106">
        <v>833.25</v>
      </c>
      <c r="K10" s="106">
        <v>833.25</v>
      </c>
      <c r="L10" s="106">
        <v>0</v>
      </c>
      <c r="M10" s="106">
        <v>937</v>
      </c>
      <c r="N10" s="106">
        <v>0</v>
      </c>
      <c r="O10" s="106">
        <v>0</v>
      </c>
      <c r="P10" s="106">
        <v>0</v>
      </c>
      <c r="Q10" s="106">
        <v>833.25</v>
      </c>
      <c r="R10" s="106">
        <v>937</v>
      </c>
      <c r="S10" s="106">
        <v>0</v>
      </c>
      <c r="T10" s="106">
        <v>937</v>
      </c>
      <c r="U10" s="106">
        <v>0</v>
      </c>
      <c r="V10" s="106">
        <v>937</v>
      </c>
      <c r="W10" s="106">
        <v>0</v>
      </c>
      <c r="X10" s="106">
        <v>937</v>
      </c>
      <c r="Y10" s="106">
        <v>0</v>
      </c>
      <c r="Z10" s="106">
        <v>0</v>
      </c>
      <c r="AA10" s="106">
        <v>937</v>
      </c>
      <c r="AB10" s="106">
        <v>937</v>
      </c>
      <c r="AC10" s="106">
        <v>937</v>
      </c>
      <c r="AD10" s="106">
        <v>0</v>
      </c>
      <c r="AE10" s="106">
        <v>833.25</v>
      </c>
      <c r="AF10" s="106">
        <v>833.25</v>
      </c>
      <c r="AG10" s="106">
        <v>833.25</v>
      </c>
      <c r="AH10" s="106">
        <v>833.25</v>
      </c>
      <c r="AI10" s="106">
        <v>0</v>
      </c>
      <c r="AJ10" s="106">
        <v>833.25</v>
      </c>
      <c r="AK10" s="106">
        <v>833.25</v>
      </c>
      <c r="AL10" s="106">
        <v>0</v>
      </c>
      <c r="AM10" s="106">
        <v>0</v>
      </c>
      <c r="AN10" s="106">
        <v>833.25</v>
      </c>
      <c r="AO10" s="106">
        <v>833.25</v>
      </c>
      <c r="AP10" s="106">
        <v>0</v>
      </c>
      <c r="AQ10" s="106">
        <v>0</v>
      </c>
      <c r="AR10" s="106">
        <v>833.25</v>
      </c>
      <c r="AS10" s="106">
        <v>833.25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833.25</v>
      </c>
      <c r="AZ10" s="106">
        <v>833.25</v>
      </c>
    </row>
    <row r="11" spans="1:53" x14ac:dyDescent="0.2">
      <c r="B11" s="125">
        <v>2</v>
      </c>
      <c r="C11" s="112" t="s">
        <v>292</v>
      </c>
      <c r="O11" s="106">
        <v>833.25</v>
      </c>
      <c r="P11" s="106">
        <v>833.25</v>
      </c>
      <c r="Q11" s="106">
        <v>833.25</v>
      </c>
      <c r="T11" s="106">
        <v>937</v>
      </c>
      <c r="V11" s="106">
        <v>937</v>
      </c>
      <c r="X11" s="106">
        <v>937</v>
      </c>
      <c r="Z11" s="106">
        <v>937</v>
      </c>
      <c r="AA11" s="106">
        <v>937</v>
      </c>
      <c r="AE11" s="106">
        <v>833.25</v>
      </c>
      <c r="AM11" s="106">
        <v>833.25</v>
      </c>
      <c r="AN11" s="106">
        <v>833.25</v>
      </c>
      <c r="AQ11" s="106">
        <v>833.25</v>
      </c>
      <c r="AR11" s="106">
        <v>833.25</v>
      </c>
      <c r="AU11" s="106">
        <v>833.25</v>
      </c>
      <c r="AW11" s="106">
        <v>937</v>
      </c>
      <c r="AX11" s="106">
        <v>833.25</v>
      </c>
      <c r="AY11" s="106">
        <v>833.25</v>
      </c>
    </row>
    <row r="12" spans="1:53" x14ac:dyDescent="0.2">
      <c r="B12" s="126">
        <v>3</v>
      </c>
      <c r="C12" s="112" t="s">
        <v>292</v>
      </c>
      <c r="H12" s="106">
        <v>833.25</v>
      </c>
      <c r="AK12" s="106">
        <v>833.25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531.07499999999993</v>
      </c>
      <c r="J14" s="123">
        <f t="shared" si="0"/>
        <v>249.97499999999999</v>
      </c>
      <c r="K14" s="123">
        <f t="shared" si="0"/>
        <v>249.97499999999999</v>
      </c>
      <c r="L14" s="123">
        <f t="shared" si="0"/>
        <v>249.97499999999999</v>
      </c>
      <c r="M14" s="123">
        <f t="shared" si="0"/>
        <v>0</v>
      </c>
      <c r="N14" s="123">
        <f t="shared" si="0"/>
        <v>374.8</v>
      </c>
      <c r="O14" s="123">
        <f t="shared" si="0"/>
        <v>0</v>
      </c>
      <c r="P14" s="123">
        <f t="shared" si="0"/>
        <v>333.3</v>
      </c>
      <c r="Q14" s="123">
        <f t="shared" si="0"/>
        <v>166.65</v>
      </c>
      <c r="R14" s="123">
        <f t="shared" si="0"/>
        <v>333.3</v>
      </c>
      <c r="S14" s="123">
        <f t="shared" si="0"/>
        <v>187.4</v>
      </c>
      <c r="T14" s="123">
        <f t="shared" si="0"/>
        <v>0</v>
      </c>
      <c r="U14" s="123">
        <f t="shared" si="0"/>
        <v>562.19999999999993</v>
      </c>
      <c r="V14" s="123">
        <f t="shared" si="0"/>
        <v>0</v>
      </c>
      <c r="W14" s="123">
        <f t="shared" si="0"/>
        <v>562.19999999999993</v>
      </c>
      <c r="X14" s="123">
        <f t="shared" si="0"/>
        <v>0</v>
      </c>
      <c r="Y14" s="123">
        <f t="shared" si="0"/>
        <v>749.6</v>
      </c>
      <c r="Z14" s="123">
        <f t="shared" si="0"/>
        <v>0</v>
      </c>
      <c r="AA14" s="123">
        <f t="shared" si="0"/>
        <v>374.8</v>
      </c>
      <c r="AB14" s="123">
        <f t="shared" si="0"/>
        <v>749.6</v>
      </c>
      <c r="AC14" s="123">
        <f t="shared" si="0"/>
        <v>187.4</v>
      </c>
      <c r="AD14" s="123">
        <f t="shared" si="0"/>
        <v>187.4</v>
      </c>
      <c r="AE14" s="123">
        <f t="shared" si="0"/>
        <v>0</v>
      </c>
      <c r="AF14" s="123">
        <f t="shared" si="0"/>
        <v>333.3</v>
      </c>
      <c r="AG14" s="123">
        <f t="shared" si="0"/>
        <v>249.97499999999999</v>
      </c>
      <c r="AH14" s="123">
        <f t="shared" si="0"/>
        <v>249.97499999999999</v>
      </c>
      <c r="AI14" s="123">
        <f t="shared" si="0"/>
        <v>249.97499999999999</v>
      </c>
      <c r="AJ14" s="123">
        <f t="shared" si="0"/>
        <v>0</v>
      </c>
      <c r="AK14" s="123">
        <f t="shared" si="0"/>
        <v>333.3</v>
      </c>
      <c r="AL14" s="123">
        <f t="shared" si="0"/>
        <v>666.6</v>
      </c>
      <c r="AM14" s="123">
        <f t="shared" si="0"/>
        <v>0</v>
      </c>
      <c r="AN14" s="123">
        <f t="shared" si="0"/>
        <v>333.3</v>
      </c>
      <c r="AO14" s="123">
        <f t="shared" si="0"/>
        <v>333.3</v>
      </c>
      <c r="AP14" s="123">
        <f t="shared" si="0"/>
        <v>166.65</v>
      </c>
      <c r="AQ14" s="123">
        <f t="shared" si="0"/>
        <v>0</v>
      </c>
      <c r="AR14" s="123">
        <f t="shared" si="0"/>
        <v>166.65</v>
      </c>
      <c r="AS14" s="123">
        <f t="shared" si="0"/>
        <v>499.95</v>
      </c>
      <c r="AT14" s="123">
        <f t="shared" si="0"/>
        <v>249.97499999999999</v>
      </c>
      <c r="AU14" s="123">
        <f t="shared" si="0"/>
        <v>0</v>
      </c>
      <c r="AV14" s="123">
        <f t="shared" si="0"/>
        <v>249.97499999999999</v>
      </c>
      <c r="AW14" s="123">
        <f t="shared" si="0"/>
        <v>0</v>
      </c>
      <c r="AX14" s="123">
        <f t="shared" si="0"/>
        <v>374.8</v>
      </c>
      <c r="AY14" s="123">
        <f t="shared" si="0"/>
        <v>333.3</v>
      </c>
      <c r="AZ14" s="116">
        <f t="shared" si="0"/>
        <v>666.6</v>
      </c>
      <c r="BA14" s="113">
        <f>SUM($E14:$AZ14)</f>
        <v>11507.275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937</v>
      </c>
      <c r="I15" s="130">
        <v>833.25</v>
      </c>
      <c r="J15" s="130">
        <v>833.25</v>
      </c>
      <c r="K15" s="130">
        <v>833.25</v>
      </c>
      <c r="L15" s="130">
        <v>0</v>
      </c>
      <c r="M15" s="130">
        <v>937</v>
      </c>
      <c r="N15" s="130">
        <v>0</v>
      </c>
      <c r="O15" s="130">
        <v>0</v>
      </c>
      <c r="P15" s="130">
        <v>0</v>
      </c>
      <c r="Q15" s="130">
        <v>833.25</v>
      </c>
      <c r="R15" s="130">
        <v>937</v>
      </c>
      <c r="S15" s="130">
        <v>0</v>
      </c>
      <c r="T15" s="130">
        <v>937</v>
      </c>
      <c r="U15" s="130">
        <v>0</v>
      </c>
      <c r="V15" s="130">
        <v>937</v>
      </c>
      <c r="W15" s="130">
        <v>0</v>
      </c>
      <c r="X15" s="130">
        <v>937</v>
      </c>
      <c r="Y15" s="130">
        <v>0</v>
      </c>
      <c r="Z15" s="130">
        <v>0</v>
      </c>
      <c r="AA15" s="130">
        <v>937</v>
      </c>
      <c r="AB15" s="130">
        <v>937</v>
      </c>
      <c r="AC15" s="130">
        <v>937</v>
      </c>
      <c r="AD15" s="130">
        <v>0</v>
      </c>
      <c r="AE15" s="130">
        <v>833.25</v>
      </c>
      <c r="AF15" s="130">
        <v>833.25</v>
      </c>
      <c r="AG15" s="130">
        <v>833.25</v>
      </c>
      <c r="AH15" s="130">
        <v>833.25</v>
      </c>
      <c r="AI15" s="130">
        <v>0</v>
      </c>
      <c r="AJ15" s="130">
        <v>833.25</v>
      </c>
      <c r="AK15" s="130">
        <v>833.25</v>
      </c>
      <c r="AL15" s="130">
        <v>0</v>
      </c>
      <c r="AM15" s="130">
        <v>0</v>
      </c>
      <c r="AN15" s="130">
        <v>833.25</v>
      </c>
      <c r="AO15" s="130">
        <v>833.25</v>
      </c>
      <c r="AP15" s="130">
        <v>0</v>
      </c>
      <c r="AQ15" s="130">
        <v>0</v>
      </c>
      <c r="AR15" s="130">
        <v>833.25</v>
      </c>
      <c r="AS15" s="130">
        <v>833.25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833.25</v>
      </c>
      <c r="AZ15" s="106">
        <v>833.25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>
        <v>833.25</v>
      </c>
      <c r="P16" s="116">
        <v>833.25</v>
      </c>
      <c r="Q16" s="116">
        <v>833.25</v>
      </c>
      <c r="R16" s="116"/>
      <c r="S16" s="116"/>
      <c r="T16" s="116">
        <v>937</v>
      </c>
      <c r="U16" s="116"/>
      <c r="V16" s="116">
        <v>937</v>
      </c>
      <c r="W16" s="116"/>
      <c r="X16" s="116">
        <v>937</v>
      </c>
      <c r="Y16" s="116"/>
      <c r="Z16" s="116">
        <v>937</v>
      </c>
      <c r="AA16" s="116">
        <v>937</v>
      </c>
      <c r="AB16" s="116"/>
      <c r="AC16" s="116"/>
      <c r="AD16" s="116"/>
      <c r="AE16" s="116">
        <v>833.25</v>
      </c>
      <c r="AF16" s="116"/>
      <c r="AG16" s="116"/>
      <c r="AH16" s="116"/>
      <c r="AI16" s="116"/>
      <c r="AJ16" s="116"/>
      <c r="AK16" s="116"/>
      <c r="AL16" s="116"/>
      <c r="AM16" s="116">
        <v>833.25</v>
      </c>
      <c r="AN16" s="116">
        <v>833.25</v>
      </c>
      <c r="AO16" s="116"/>
      <c r="AP16" s="116"/>
      <c r="AQ16" s="116">
        <v>833.25</v>
      </c>
      <c r="AR16" s="116">
        <v>833.25</v>
      </c>
      <c r="AS16" s="116"/>
      <c r="AT16" s="116"/>
      <c r="AU16" s="116">
        <v>833.25</v>
      </c>
      <c r="AV16" s="116"/>
      <c r="AW16" s="116">
        <v>937</v>
      </c>
      <c r="AX16" s="116">
        <v>833.25</v>
      </c>
      <c r="AY16" s="116">
        <v>833.25</v>
      </c>
    </row>
    <row r="17" spans="1:51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>
        <v>833.25</v>
      </c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>
        <v>833.25</v>
      </c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293</v>
      </c>
    </row>
    <row r="21" spans="1:51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3334.0000000000005</v>
      </c>
      <c r="E95" s="116">
        <v>3334.0000000000005</v>
      </c>
      <c r="F95" s="116">
        <v>3334.0000000000005</v>
      </c>
      <c r="G95" s="116">
        <v>3334.0000000000005</v>
      </c>
      <c r="H95" s="116">
        <v>3334.0000000000005</v>
      </c>
      <c r="I95" s="116">
        <v>3334.0000000000005</v>
      </c>
      <c r="J95" s="116">
        <v>3334.0000000000005</v>
      </c>
      <c r="K95" s="116">
        <v>3334.0000000000005</v>
      </c>
      <c r="L95" s="116">
        <v>3334.0000000000005</v>
      </c>
      <c r="M95" s="116">
        <v>3334.0000000000005</v>
      </c>
      <c r="N95" s="116">
        <v>3334.0000000000005</v>
      </c>
      <c r="O95" s="116">
        <v>3334.0000000000005</v>
      </c>
      <c r="P95" s="116">
        <v>5001</v>
      </c>
      <c r="Q95" s="116">
        <v>5001</v>
      </c>
      <c r="R95" s="116">
        <v>5001</v>
      </c>
      <c r="S95" s="116">
        <v>5001</v>
      </c>
      <c r="T95" s="116">
        <v>5001</v>
      </c>
      <c r="U95" s="116">
        <v>5001</v>
      </c>
      <c r="V95" s="116">
        <v>5001</v>
      </c>
      <c r="W95" s="116">
        <v>5001</v>
      </c>
      <c r="X95" s="116">
        <v>4167.5</v>
      </c>
      <c r="Y95" s="116">
        <v>4167.5</v>
      </c>
      <c r="Z95" s="116">
        <v>4167.5</v>
      </c>
      <c r="AA95" s="116">
        <v>4167.5</v>
      </c>
      <c r="AB95" s="116">
        <v>3334.0000000000005</v>
      </c>
      <c r="AC95" s="116">
        <v>3334.0000000000005</v>
      </c>
      <c r="AD95" s="116">
        <v>3334.0000000000005</v>
      </c>
      <c r="AE95" s="116">
        <v>3334.0000000000005</v>
      </c>
      <c r="AF95" s="116">
        <v>3334.0000000000005</v>
      </c>
      <c r="AG95" s="116">
        <v>3334.0000000000005</v>
      </c>
      <c r="AH95" s="116">
        <v>3334.0000000000005</v>
      </c>
      <c r="AI95" s="116">
        <v>3334.0000000000005</v>
      </c>
      <c r="AJ95" s="116">
        <v>3334.0000000000005</v>
      </c>
      <c r="AK95" s="116">
        <v>3334.0000000000005</v>
      </c>
      <c r="AL95" s="116">
        <v>3334.0000000000005</v>
      </c>
      <c r="AM95" s="116">
        <v>3334.0000000000005</v>
      </c>
      <c r="AN95" s="116">
        <v>3334.0000000000005</v>
      </c>
      <c r="AO95" s="116">
        <v>3334.0000000000005</v>
      </c>
      <c r="AP95" s="116">
        <v>3334.0000000000005</v>
      </c>
      <c r="AQ95" s="116">
        <v>3334.0000000000005</v>
      </c>
      <c r="AR95" s="116">
        <v>3334.0000000000005</v>
      </c>
      <c r="AS95" s="116">
        <v>3334.0000000000005</v>
      </c>
      <c r="AT95" s="116">
        <v>3334.0000000000005</v>
      </c>
      <c r="AU95" s="116">
        <v>3334.0000000000005</v>
      </c>
      <c r="AV95" s="116">
        <v>3334.0000000000005</v>
      </c>
      <c r="AW95" s="116">
        <v>3334.0000000000005</v>
      </c>
      <c r="AX95" s="116">
        <v>3334.0000000000005</v>
      </c>
      <c r="AY95" s="116">
        <v>3334.0000000000005</v>
      </c>
    </row>
    <row r="96" spans="1:52" x14ac:dyDescent="0.2">
      <c r="A96" s="115"/>
      <c r="B96" s="126">
        <v>2</v>
      </c>
      <c r="C96" s="116"/>
      <c r="D96" s="116">
        <v>0</v>
      </c>
      <c r="E96" s="116">
        <v>1923.0000000000005</v>
      </c>
      <c r="F96" s="116">
        <v>3334.0000000000005</v>
      </c>
      <c r="G96" s="116">
        <v>3334.0000000000005</v>
      </c>
      <c r="H96" s="116">
        <v>3334.0000000000005</v>
      </c>
      <c r="I96" s="116">
        <v>3334.0000000000005</v>
      </c>
      <c r="J96" s="116">
        <v>3334.0000000000005</v>
      </c>
      <c r="K96" s="116">
        <v>3334.0000000000005</v>
      </c>
      <c r="L96" s="116">
        <v>3334.0000000000005</v>
      </c>
      <c r="M96" s="116">
        <v>2687.0000000000014</v>
      </c>
      <c r="N96" s="116">
        <v>0</v>
      </c>
      <c r="O96" s="116">
        <v>0</v>
      </c>
      <c r="P96" s="116">
        <v>0</v>
      </c>
      <c r="Q96" s="116">
        <v>1081</v>
      </c>
      <c r="R96" s="116">
        <v>1316</v>
      </c>
      <c r="S96" s="116">
        <v>2389</v>
      </c>
      <c r="T96" s="116">
        <v>3483</v>
      </c>
      <c r="U96" s="116">
        <v>4830</v>
      </c>
      <c r="V96" s="116">
        <v>5001</v>
      </c>
      <c r="W96" s="116">
        <v>5001</v>
      </c>
      <c r="X96" s="116">
        <v>5001</v>
      </c>
      <c r="Y96" s="116">
        <v>4167.5</v>
      </c>
      <c r="Z96" s="116">
        <v>4167.5</v>
      </c>
      <c r="AA96" s="116">
        <v>4167.5</v>
      </c>
      <c r="AB96" s="116">
        <v>4167.5</v>
      </c>
      <c r="AC96" s="116">
        <v>3334.0000000000005</v>
      </c>
      <c r="AD96" s="116">
        <v>3334.0000000000005</v>
      </c>
      <c r="AE96" s="116">
        <v>3334.0000000000005</v>
      </c>
      <c r="AF96" s="116">
        <v>3334.0000000000005</v>
      </c>
      <c r="AG96" s="116">
        <v>3334.0000000000005</v>
      </c>
      <c r="AH96" s="116">
        <v>3334.0000000000005</v>
      </c>
      <c r="AI96" s="116">
        <v>3334.0000000000005</v>
      </c>
      <c r="AJ96" s="116">
        <v>3334.0000000000005</v>
      </c>
      <c r="AK96" s="116">
        <v>3334.0000000000005</v>
      </c>
      <c r="AL96" s="116">
        <v>3334.0000000000005</v>
      </c>
      <c r="AM96" s="116">
        <v>3334.0000000000005</v>
      </c>
      <c r="AN96" s="116">
        <v>3334.0000000000005</v>
      </c>
      <c r="AO96" s="116">
        <v>664.00000000000455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730.00000000000045</v>
      </c>
      <c r="AX96" s="116">
        <v>1151.0000000000009</v>
      </c>
      <c r="AY96" s="116">
        <v>1748.0000000000014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613.00000000000045</v>
      </c>
      <c r="G97" s="116">
        <v>2405.0000000000009</v>
      </c>
      <c r="H97" s="116">
        <v>3334.0000000000005</v>
      </c>
      <c r="I97" s="116">
        <v>3334.0000000000005</v>
      </c>
      <c r="J97" s="116">
        <v>3334.0000000000005</v>
      </c>
      <c r="K97" s="116">
        <v>3334.0000000000005</v>
      </c>
      <c r="L97" s="116">
        <v>3334.0000000000005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1246</v>
      </c>
      <c r="W97" s="116">
        <v>3525</v>
      </c>
      <c r="X97" s="116">
        <v>5001</v>
      </c>
      <c r="Y97" s="116">
        <v>5001</v>
      </c>
      <c r="Z97" s="116">
        <v>4167.5</v>
      </c>
      <c r="AA97" s="116">
        <v>4167.5</v>
      </c>
      <c r="AB97" s="116">
        <v>4167.5</v>
      </c>
      <c r="AC97" s="116">
        <v>4167.5</v>
      </c>
      <c r="AD97" s="116">
        <v>3334.0000000000005</v>
      </c>
      <c r="AE97" s="116">
        <v>3334.0000000000005</v>
      </c>
      <c r="AF97" s="116">
        <v>3334.0000000000005</v>
      </c>
      <c r="AG97" s="116">
        <v>3334.0000000000005</v>
      </c>
      <c r="AH97" s="116">
        <v>3334.0000000000005</v>
      </c>
      <c r="AI97" s="116">
        <v>3334.0000000000005</v>
      </c>
      <c r="AJ97" s="116">
        <v>3334.0000000000005</v>
      </c>
      <c r="AK97" s="116">
        <v>3334.0000000000005</v>
      </c>
      <c r="AL97" s="116">
        <v>3334.0000000000005</v>
      </c>
      <c r="AM97" s="116">
        <v>3334.0000000000005</v>
      </c>
      <c r="AN97" s="116">
        <v>3334.0000000000005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926.00000000000091</v>
      </c>
      <c r="I98" s="116">
        <v>1898.0000000000014</v>
      </c>
      <c r="J98" s="116">
        <v>2941.0000000000018</v>
      </c>
      <c r="K98" s="116">
        <v>3334.0000000000005</v>
      </c>
      <c r="L98" s="116">
        <v>3334.0000000000005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107</v>
      </c>
      <c r="Y98" s="116">
        <v>2052</v>
      </c>
      <c r="Z98" s="116">
        <v>3365</v>
      </c>
      <c r="AA98" s="116">
        <v>3793.5</v>
      </c>
      <c r="AB98" s="116">
        <v>4167.5</v>
      </c>
      <c r="AC98" s="116">
        <v>4167.5</v>
      </c>
      <c r="AD98" s="116">
        <v>4167.5</v>
      </c>
      <c r="AE98" s="116">
        <v>3334.0000000000005</v>
      </c>
      <c r="AF98" s="116">
        <v>3334.0000000000005</v>
      </c>
      <c r="AG98" s="116">
        <v>2812.0000000000009</v>
      </c>
      <c r="AH98" s="116">
        <v>2978.0000000000014</v>
      </c>
      <c r="AI98" s="116">
        <v>2720.0000000000018</v>
      </c>
      <c r="AJ98" s="116">
        <v>3076.0000000000023</v>
      </c>
      <c r="AK98" s="116">
        <v>2955.0000000000027</v>
      </c>
      <c r="AL98" s="116">
        <v>2505.0000000000032</v>
      </c>
      <c r="AM98" s="116">
        <v>1682.0000000000036</v>
      </c>
      <c r="AN98" s="116">
        <v>1052.0000000000041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448.00000000000182</v>
      </c>
      <c r="L99" s="131">
        <v>817.00000000000045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732.5</v>
      </c>
      <c r="AC99" s="131">
        <v>1433.5</v>
      </c>
      <c r="AD99" s="131">
        <v>1904.5</v>
      </c>
      <c r="AE99" s="131">
        <v>2645.5</v>
      </c>
      <c r="AF99" s="131">
        <v>1222.0000000000005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9203.0000000000018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0</v>
      </c>
      <c r="G100" s="112">
        <v>0</v>
      </c>
      <c r="H100" s="112">
        <v>937</v>
      </c>
      <c r="I100" s="112">
        <v>833.25</v>
      </c>
      <c r="J100" s="112">
        <v>833.25</v>
      </c>
      <c r="K100" s="112">
        <v>833.25</v>
      </c>
      <c r="L100" s="112">
        <v>0</v>
      </c>
      <c r="M100" s="112">
        <v>937</v>
      </c>
      <c r="N100" s="112">
        <v>0</v>
      </c>
      <c r="O100" s="112">
        <v>0</v>
      </c>
      <c r="P100" s="112">
        <v>0</v>
      </c>
      <c r="Q100" s="112">
        <v>833.25</v>
      </c>
      <c r="R100" s="112">
        <v>937</v>
      </c>
      <c r="S100" s="112">
        <v>0</v>
      </c>
      <c r="T100" s="112">
        <v>937</v>
      </c>
      <c r="U100" s="112">
        <v>0</v>
      </c>
      <c r="V100" s="112">
        <v>937</v>
      </c>
      <c r="W100" s="112">
        <v>0</v>
      </c>
      <c r="X100" s="112">
        <v>937</v>
      </c>
      <c r="Y100" s="112">
        <v>0</v>
      </c>
      <c r="Z100" s="112">
        <v>0</v>
      </c>
      <c r="AA100" s="112">
        <v>937</v>
      </c>
      <c r="AB100" s="112">
        <v>937</v>
      </c>
      <c r="AC100" s="112">
        <v>937</v>
      </c>
      <c r="AD100" s="112">
        <v>0</v>
      </c>
      <c r="AE100" s="112">
        <v>833.25</v>
      </c>
      <c r="AF100" s="112">
        <v>833.25</v>
      </c>
      <c r="AG100" s="112">
        <v>833.25</v>
      </c>
      <c r="AH100" s="112">
        <v>833.25</v>
      </c>
      <c r="AI100" s="112">
        <v>0</v>
      </c>
      <c r="AJ100" s="112">
        <v>833.25</v>
      </c>
      <c r="AK100" s="112">
        <v>833.25</v>
      </c>
      <c r="AL100" s="112">
        <v>0</v>
      </c>
      <c r="AM100" s="112">
        <v>0</v>
      </c>
      <c r="AN100" s="112">
        <v>833.25</v>
      </c>
      <c r="AO100" s="112">
        <v>833.25</v>
      </c>
      <c r="AP100" s="112">
        <v>0</v>
      </c>
      <c r="AQ100" s="112">
        <v>0</v>
      </c>
      <c r="AR100" s="112">
        <v>833.25</v>
      </c>
      <c r="AS100" s="112">
        <v>833.25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833.25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833.25</v>
      </c>
      <c r="P101" s="112">
        <v>833.25</v>
      </c>
      <c r="Q101" s="112">
        <v>833.25</v>
      </c>
      <c r="R101" s="112">
        <v>0</v>
      </c>
      <c r="S101" s="112">
        <v>0</v>
      </c>
      <c r="T101" s="112">
        <v>937</v>
      </c>
      <c r="U101" s="112">
        <v>0</v>
      </c>
      <c r="V101" s="112">
        <v>937</v>
      </c>
      <c r="W101" s="112">
        <v>0</v>
      </c>
      <c r="X101" s="112">
        <v>937</v>
      </c>
      <c r="Y101" s="112">
        <v>0</v>
      </c>
      <c r="Z101" s="112">
        <v>937</v>
      </c>
      <c r="AA101" s="112">
        <v>937</v>
      </c>
      <c r="AB101" s="112">
        <v>0</v>
      </c>
      <c r="AC101" s="112">
        <v>0</v>
      </c>
      <c r="AD101" s="112">
        <v>0</v>
      </c>
      <c r="AE101" s="112">
        <v>833.25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833.25</v>
      </c>
      <c r="AN101" s="112">
        <v>833.25</v>
      </c>
      <c r="AO101" s="112">
        <v>0</v>
      </c>
      <c r="AP101" s="112">
        <v>0</v>
      </c>
      <c r="AQ101" s="112">
        <v>833.25</v>
      </c>
      <c r="AR101" s="112">
        <v>833.25</v>
      </c>
      <c r="AS101" s="112">
        <v>0</v>
      </c>
      <c r="AT101" s="112">
        <v>0</v>
      </c>
      <c r="AU101" s="112">
        <v>833.25</v>
      </c>
      <c r="AV101" s="112">
        <v>0</v>
      </c>
      <c r="AW101" s="112">
        <v>937</v>
      </c>
      <c r="AX101" s="112">
        <v>833.25</v>
      </c>
      <c r="AY101" s="112">
        <v>833.25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833.25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833.25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531.07499999999993</v>
      </c>
      <c r="J109" s="112">
        <v>249.97499999999999</v>
      </c>
      <c r="K109" s="112">
        <v>249.97499999999999</v>
      </c>
      <c r="L109" s="112">
        <v>249.97499999999999</v>
      </c>
      <c r="M109" s="112">
        <v>0</v>
      </c>
      <c r="N109" s="112">
        <v>374.8</v>
      </c>
      <c r="O109" s="112">
        <v>0</v>
      </c>
      <c r="P109" s="112">
        <v>333.3</v>
      </c>
      <c r="Q109" s="112">
        <v>166.65</v>
      </c>
      <c r="R109" s="112">
        <v>333.3</v>
      </c>
      <c r="S109" s="112">
        <v>187.4</v>
      </c>
      <c r="T109" s="112">
        <v>0</v>
      </c>
      <c r="U109" s="112">
        <v>562.19999999999993</v>
      </c>
      <c r="V109" s="112">
        <v>0</v>
      </c>
      <c r="W109" s="112">
        <v>562.19999999999993</v>
      </c>
      <c r="X109" s="112">
        <v>0</v>
      </c>
      <c r="Y109" s="112">
        <v>749.6</v>
      </c>
      <c r="Z109" s="112">
        <v>0</v>
      </c>
      <c r="AA109" s="112">
        <v>374.8</v>
      </c>
      <c r="AB109" s="112">
        <v>749.6</v>
      </c>
      <c r="AC109" s="112">
        <v>187.4</v>
      </c>
      <c r="AD109" s="112">
        <v>187.4</v>
      </c>
      <c r="AE109" s="112">
        <v>0</v>
      </c>
      <c r="AF109" s="112">
        <v>333.3</v>
      </c>
      <c r="AG109" s="112">
        <v>249.97499999999999</v>
      </c>
      <c r="AH109" s="112">
        <v>249.97499999999999</v>
      </c>
      <c r="AI109" s="112">
        <v>249.97499999999999</v>
      </c>
      <c r="AJ109" s="112">
        <v>0</v>
      </c>
      <c r="AK109" s="112">
        <v>333.3</v>
      </c>
      <c r="AL109" s="112">
        <v>666.6</v>
      </c>
      <c r="AM109" s="112">
        <v>0</v>
      </c>
      <c r="AN109" s="112">
        <v>333.3</v>
      </c>
      <c r="AO109" s="112">
        <v>333.3</v>
      </c>
      <c r="AP109" s="112">
        <v>166.65</v>
      </c>
      <c r="AQ109" s="112">
        <v>0</v>
      </c>
      <c r="AR109" s="112">
        <v>166.65</v>
      </c>
      <c r="AS109" s="112">
        <v>499.95</v>
      </c>
      <c r="AT109" s="112">
        <v>249.97499999999999</v>
      </c>
      <c r="AU109" s="112">
        <v>0</v>
      </c>
      <c r="AV109" s="112">
        <v>249.97499999999999</v>
      </c>
      <c r="AW109" s="112">
        <v>0</v>
      </c>
      <c r="AX109" s="112">
        <v>374.8</v>
      </c>
      <c r="AY109" s="112">
        <v>333.3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937</v>
      </c>
      <c r="I122" s="112">
        <v>833.25</v>
      </c>
      <c r="J122" s="112">
        <v>833.25</v>
      </c>
      <c r="K122" s="112">
        <v>833.25</v>
      </c>
      <c r="L122" s="112">
        <v>0</v>
      </c>
      <c r="M122" s="112">
        <v>937</v>
      </c>
      <c r="N122" s="112">
        <v>0</v>
      </c>
      <c r="O122" s="112">
        <v>0</v>
      </c>
      <c r="P122" s="112">
        <v>0</v>
      </c>
      <c r="Q122" s="112">
        <v>833.25</v>
      </c>
      <c r="R122" s="112">
        <v>937</v>
      </c>
      <c r="S122" s="112">
        <v>0</v>
      </c>
      <c r="T122" s="112">
        <v>937</v>
      </c>
      <c r="U122" s="112">
        <v>0</v>
      </c>
      <c r="V122" s="112">
        <v>937</v>
      </c>
      <c r="W122" s="112">
        <v>0</v>
      </c>
      <c r="X122" s="112">
        <v>937</v>
      </c>
      <c r="Y122" s="112">
        <v>0</v>
      </c>
      <c r="Z122" s="112">
        <v>0</v>
      </c>
      <c r="AA122" s="112">
        <v>937</v>
      </c>
      <c r="AB122" s="112">
        <v>937</v>
      </c>
      <c r="AC122" s="112">
        <v>937</v>
      </c>
      <c r="AD122" s="112">
        <v>0</v>
      </c>
      <c r="AE122" s="112">
        <v>833.25</v>
      </c>
      <c r="AF122" s="112">
        <v>833.25</v>
      </c>
      <c r="AG122" s="112">
        <v>833.25</v>
      </c>
      <c r="AH122" s="112">
        <v>833.25</v>
      </c>
      <c r="AI122" s="112">
        <v>0</v>
      </c>
      <c r="AJ122" s="112">
        <v>833.25</v>
      </c>
      <c r="AK122" s="112">
        <v>833.25</v>
      </c>
      <c r="AL122" s="112">
        <v>0</v>
      </c>
      <c r="AM122" s="112">
        <v>0</v>
      </c>
      <c r="AN122" s="112">
        <v>833.25</v>
      </c>
      <c r="AO122" s="112">
        <v>833.25</v>
      </c>
      <c r="AP122" s="112">
        <v>0</v>
      </c>
      <c r="AQ122" s="112">
        <v>0</v>
      </c>
      <c r="AR122" s="112">
        <v>833.25</v>
      </c>
      <c r="AS122" s="112">
        <v>833.25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833.25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833.25</v>
      </c>
      <c r="P123" s="112">
        <v>833.25</v>
      </c>
      <c r="Q123" s="112">
        <v>833.25</v>
      </c>
      <c r="R123" s="112">
        <v>0</v>
      </c>
      <c r="S123" s="112">
        <v>0</v>
      </c>
      <c r="T123" s="112">
        <v>937</v>
      </c>
      <c r="U123" s="112">
        <v>0</v>
      </c>
      <c r="V123" s="112">
        <v>937</v>
      </c>
      <c r="W123" s="112">
        <v>0</v>
      </c>
      <c r="X123" s="112">
        <v>937</v>
      </c>
      <c r="Y123" s="112">
        <v>0</v>
      </c>
      <c r="Z123" s="112">
        <v>937</v>
      </c>
      <c r="AA123" s="112">
        <v>937</v>
      </c>
      <c r="AB123" s="112">
        <v>0</v>
      </c>
      <c r="AC123" s="112">
        <v>0</v>
      </c>
      <c r="AD123" s="112">
        <v>0</v>
      </c>
      <c r="AE123" s="112">
        <v>833.25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833.25</v>
      </c>
      <c r="AN123" s="112">
        <v>833.25</v>
      </c>
      <c r="AO123" s="112">
        <v>0</v>
      </c>
      <c r="AP123" s="112">
        <v>0</v>
      </c>
      <c r="AQ123" s="112">
        <v>833.25</v>
      </c>
      <c r="AR123" s="112">
        <v>833.25</v>
      </c>
      <c r="AS123" s="112">
        <v>0</v>
      </c>
      <c r="AT123" s="112">
        <v>0</v>
      </c>
      <c r="AU123" s="112">
        <v>833.25</v>
      </c>
      <c r="AV123" s="112">
        <v>0</v>
      </c>
      <c r="AW123" s="112">
        <v>937</v>
      </c>
      <c r="AX123" s="112">
        <v>833.25</v>
      </c>
      <c r="AY123" s="112">
        <v>833.25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833.25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833.25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0.2</v>
      </c>
      <c r="E172" s="140">
        <v>0.2</v>
      </c>
      <c r="F172" s="140">
        <v>0.2</v>
      </c>
      <c r="G172" s="140">
        <v>0.2</v>
      </c>
      <c r="H172" s="140">
        <v>0.3</v>
      </c>
      <c r="I172" s="140">
        <v>0.3</v>
      </c>
      <c r="J172" s="140">
        <v>0.3</v>
      </c>
      <c r="K172" s="140">
        <v>0.3</v>
      </c>
      <c r="L172" s="140">
        <v>0.4</v>
      </c>
      <c r="M172" s="140">
        <v>0.4</v>
      </c>
      <c r="N172" s="140">
        <v>0.4</v>
      </c>
      <c r="O172" s="140">
        <v>0.4</v>
      </c>
      <c r="P172" s="140">
        <v>0.2</v>
      </c>
      <c r="Q172" s="140">
        <v>0.2</v>
      </c>
      <c r="R172" s="140">
        <v>0.2</v>
      </c>
      <c r="S172" s="140">
        <v>0.2</v>
      </c>
      <c r="T172" s="140">
        <v>0.3</v>
      </c>
      <c r="U172" s="140">
        <v>0.3</v>
      </c>
      <c r="V172" s="140">
        <v>0.3</v>
      </c>
      <c r="W172" s="140">
        <v>0.3</v>
      </c>
      <c r="X172" s="140">
        <v>0.4</v>
      </c>
      <c r="Y172" s="140">
        <v>0.4</v>
      </c>
      <c r="Z172" s="140">
        <v>0.4</v>
      </c>
      <c r="AA172" s="140">
        <v>0.4</v>
      </c>
      <c r="AB172" s="140">
        <v>0.2</v>
      </c>
      <c r="AC172" s="140">
        <v>0.2</v>
      </c>
      <c r="AD172" s="140">
        <v>0.2</v>
      </c>
      <c r="AE172" s="140">
        <v>0.2</v>
      </c>
      <c r="AF172" s="140">
        <v>0.3</v>
      </c>
      <c r="AG172" s="140">
        <v>0.3</v>
      </c>
      <c r="AH172" s="140">
        <v>0.3</v>
      </c>
      <c r="AI172" s="140">
        <v>0.3</v>
      </c>
      <c r="AJ172" s="140">
        <v>0.4</v>
      </c>
      <c r="AK172" s="140">
        <v>0.4</v>
      </c>
      <c r="AL172" s="140">
        <v>0.4</v>
      </c>
      <c r="AM172" s="140">
        <v>0.4</v>
      </c>
      <c r="AN172" s="140">
        <v>0.2</v>
      </c>
      <c r="AO172" s="140">
        <v>0.2</v>
      </c>
      <c r="AP172" s="140">
        <v>0.2</v>
      </c>
      <c r="AQ172" s="140">
        <v>0.2</v>
      </c>
      <c r="AR172" s="140">
        <v>0.3</v>
      </c>
      <c r="AS172" s="140">
        <v>0.3</v>
      </c>
      <c r="AT172" s="140">
        <v>0.3</v>
      </c>
      <c r="AU172" s="140">
        <v>0.3</v>
      </c>
      <c r="AV172" s="140">
        <v>0.4</v>
      </c>
      <c r="AW172" s="140">
        <v>0.4</v>
      </c>
      <c r="AX172" s="140">
        <v>0.4</v>
      </c>
      <c r="AY172" s="140">
        <v>0.4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3334.0000000000005</v>
      </c>
      <c r="E175" s="130">
        <f t="shared" si="1"/>
        <v>5257.0000000000009</v>
      </c>
      <c r="F175" s="130">
        <f t="shared" si="1"/>
        <v>7281.0000000000018</v>
      </c>
      <c r="G175" s="130">
        <f t="shared" si="1"/>
        <v>9073.0000000000018</v>
      </c>
      <c r="H175" s="130">
        <f t="shared" si="1"/>
        <v>10928.000000000004</v>
      </c>
      <c r="I175" s="130">
        <f t="shared" si="1"/>
        <v>11900.000000000004</v>
      </c>
      <c r="J175" s="130">
        <f t="shared" si="1"/>
        <v>12943.000000000004</v>
      </c>
      <c r="K175" s="130">
        <f t="shared" si="1"/>
        <v>13336.000000000002</v>
      </c>
      <c r="L175" s="130">
        <f t="shared" si="1"/>
        <v>13336.000000000002</v>
      </c>
      <c r="M175" s="130">
        <f t="shared" si="1"/>
        <v>6021.0000000000018</v>
      </c>
      <c r="N175" s="130">
        <f t="shared" si="1"/>
        <v>3334.0000000000005</v>
      </c>
      <c r="O175" s="130">
        <f t="shared" si="1"/>
        <v>3334.0000000000005</v>
      </c>
      <c r="P175" s="130">
        <f t="shared" si="1"/>
        <v>5001</v>
      </c>
      <c r="Q175" s="130">
        <f t="shared" si="1"/>
        <v>6082</v>
      </c>
      <c r="R175" s="130">
        <f t="shared" si="1"/>
        <v>6317</v>
      </c>
      <c r="S175" s="130">
        <f t="shared" si="1"/>
        <v>7390</v>
      </c>
      <c r="T175" s="130">
        <f t="shared" si="1"/>
        <v>8484</v>
      </c>
      <c r="U175" s="130">
        <f t="shared" si="1"/>
        <v>9831</v>
      </c>
      <c r="V175" s="130">
        <f t="shared" si="1"/>
        <v>11248</v>
      </c>
      <c r="W175" s="130">
        <f t="shared" si="1"/>
        <v>13527</v>
      </c>
      <c r="X175" s="130">
        <f t="shared" si="1"/>
        <v>14276.5</v>
      </c>
      <c r="Y175" s="130">
        <f t="shared" si="1"/>
        <v>15388</v>
      </c>
      <c r="Z175" s="130">
        <f t="shared" si="1"/>
        <v>15867.5</v>
      </c>
      <c r="AA175" s="130">
        <f t="shared" si="1"/>
        <v>16296</v>
      </c>
      <c r="AB175" s="130">
        <f t="shared" si="1"/>
        <v>15836.5</v>
      </c>
      <c r="AC175" s="130">
        <f t="shared" si="1"/>
        <v>15003</v>
      </c>
      <c r="AD175" s="130">
        <f t="shared" si="1"/>
        <v>14169.500000000002</v>
      </c>
      <c r="AE175" s="130">
        <f t="shared" si="1"/>
        <v>13336.000000000002</v>
      </c>
      <c r="AF175" s="130">
        <f t="shared" si="1"/>
        <v>13336.000000000002</v>
      </c>
      <c r="AG175" s="130">
        <f t="shared" si="1"/>
        <v>12814.000000000004</v>
      </c>
      <c r="AH175" s="130">
        <f t="shared" si="1"/>
        <v>12980.000000000004</v>
      </c>
      <c r="AI175" s="130">
        <f t="shared" si="1"/>
        <v>12722.000000000004</v>
      </c>
      <c r="AJ175" s="130">
        <f t="shared" si="1"/>
        <v>13078.000000000004</v>
      </c>
      <c r="AK175" s="130">
        <f t="shared" si="1"/>
        <v>12957.000000000004</v>
      </c>
      <c r="AL175" s="130">
        <f t="shared" si="1"/>
        <v>12507.000000000005</v>
      </c>
      <c r="AM175" s="130">
        <f t="shared" si="1"/>
        <v>11684.000000000005</v>
      </c>
      <c r="AN175" s="130">
        <f t="shared" si="1"/>
        <v>11054.000000000005</v>
      </c>
      <c r="AO175" s="130">
        <f t="shared" si="1"/>
        <v>3998.000000000005</v>
      </c>
      <c r="AP175" s="130">
        <f t="shared" si="1"/>
        <v>3334.0000000000005</v>
      </c>
      <c r="AQ175" s="130">
        <f t="shared" si="1"/>
        <v>3334.0000000000005</v>
      </c>
      <c r="AR175" s="130">
        <f t="shared" si="1"/>
        <v>3334.0000000000005</v>
      </c>
      <c r="AS175" s="130">
        <f t="shared" si="1"/>
        <v>3334.0000000000005</v>
      </c>
      <c r="AT175" s="130">
        <f t="shared" si="1"/>
        <v>3334.0000000000005</v>
      </c>
      <c r="AU175" s="130">
        <f t="shared" si="1"/>
        <v>3334.0000000000005</v>
      </c>
      <c r="AV175" s="130">
        <f t="shared" si="1"/>
        <v>3334.0000000000005</v>
      </c>
      <c r="AW175" s="130">
        <f t="shared" si="1"/>
        <v>4064.0000000000009</v>
      </c>
      <c r="AX175" s="130">
        <f t="shared" si="1"/>
        <v>4485.0000000000018</v>
      </c>
      <c r="AY175" s="130">
        <f t="shared" si="1"/>
        <v>5082.0000000000018</v>
      </c>
    </row>
    <row r="176" spans="1:52" x14ac:dyDescent="0.2">
      <c r="A176" s="131"/>
      <c r="B176" s="142" t="s">
        <v>298</v>
      </c>
      <c r="C176" s="131" t="s">
        <v>292</v>
      </c>
      <c r="D176" s="131">
        <v>1411</v>
      </c>
      <c r="E176" s="131">
        <v>1310</v>
      </c>
      <c r="F176" s="131">
        <v>1542</v>
      </c>
      <c r="G176" s="131">
        <v>1479</v>
      </c>
      <c r="H176" s="131">
        <v>2362</v>
      </c>
      <c r="I176" s="131">
        <v>2291</v>
      </c>
      <c r="J176" s="131">
        <v>2493</v>
      </c>
      <c r="K176" s="131">
        <v>2517</v>
      </c>
      <c r="L176" s="131">
        <v>10649</v>
      </c>
      <c r="M176" s="131">
        <v>6021.0000000000018</v>
      </c>
      <c r="N176" s="131">
        <v>3334.0000000000005</v>
      </c>
      <c r="O176" s="131">
        <v>3334.0000000000005</v>
      </c>
      <c r="P176" s="131">
        <v>3920</v>
      </c>
      <c r="Q176" s="131">
        <v>4766</v>
      </c>
      <c r="R176" s="131">
        <v>3928</v>
      </c>
      <c r="S176" s="131">
        <v>3907</v>
      </c>
      <c r="T176" s="131">
        <v>3654</v>
      </c>
      <c r="U176" s="131">
        <v>3584</v>
      </c>
      <c r="V176" s="131">
        <v>2722</v>
      </c>
      <c r="W176" s="131">
        <v>3418</v>
      </c>
      <c r="X176" s="131">
        <v>3056</v>
      </c>
      <c r="Y176" s="131">
        <v>3688</v>
      </c>
      <c r="Z176" s="131">
        <v>3739</v>
      </c>
      <c r="AA176" s="131">
        <v>3061</v>
      </c>
      <c r="AB176" s="131">
        <v>2734</v>
      </c>
      <c r="AC176" s="131">
        <v>2263</v>
      </c>
      <c r="AD176" s="131">
        <v>1522</v>
      </c>
      <c r="AE176" s="131">
        <v>2112</v>
      </c>
      <c r="AF176" s="131">
        <v>3856</v>
      </c>
      <c r="AG176" s="131">
        <v>3168</v>
      </c>
      <c r="AH176" s="131">
        <v>3592</v>
      </c>
      <c r="AI176" s="131">
        <v>2978</v>
      </c>
      <c r="AJ176" s="131">
        <v>3455</v>
      </c>
      <c r="AK176" s="131">
        <v>3784</v>
      </c>
      <c r="AL176" s="131">
        <v>4157</v>
      </c>
      <c r="AM176" s="131">
        <v>3964</v>
      </c>
      <c r="AN176" s="131">
        <v>10390</v>
      </c>
      <c r="AO176" s="131">
        <v>3998.000000000005</v>
      </c>
      <c r="AP176" s="131">
        <v>3334.0000000000005</v>
      </c>
      <c r="AQ176" s="131">
        <v>3334.0000000000005</v>
      </c>
      <c r="AR176" s="131">
        <v>3334.0000000000005</v>
      </c>
      <c r="AS176" s="131">
        <v>3334.0000000000005</v>
      </c>
      <c r="AT176" s="131">
        <v>3334.0000000000005</v>
      </c>
      <c r="AU176" s="131">
        <v>3334.0000000000005</v>
      </c>
      <c r="AV176" s="131">
        <v>2604</v>
      </c>
      <c r="AW176" s="131">
        <v>2913</v>
      </c>
      <c r="AX176" s="131">
        <v>2737</v>
      </c>
      <c r="AY176" s="131">
        <v>3234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1770.25</v>
      </c>
      <c r="I177" s="130">
        <f t="shared" si="2"/>
        <v>833.25</v>
      </c>
      <c r="J177" s="130">
        <f t="shared" si="2"/>
        <v>833.25</v>
      </c>
      <c r="K177" s="130">
        <f t="shared" si="2"/>
        <v>833.25</v>
      </c>
      <c r="L177" s="130">
        <f t="shared" si="2"/>
        <v>0</v>
      </c>
      <c r="M177" s="130">
        <f t="shared" si="2"/>
        <v>937</v>
      </c>
      <c r="N177" s="130">
        <f t="shared" si="2"/>
        <v>0</v>
      </c>
      <c r="O177" s="130">
        <f t="shared" si="2"/>
        <v>833.25</v>
      </c>
      <c r="P177" s="130">
        <f t="shared" si="2"/>
        <v>833.25</v>
      </c>
      <c r="Q177" s="130">
        <f t="shared" si="2"/>
        <v>1666.5</v>
      </c>
      <c r="R177" s="130">
        <f t="shared" si="2"/>
        <v>937</v>
      </c>
      <c r="S177" s="130">
        <f t="shared" si="2"/>
        <v>0</v>
      </c>
      <c r="T177" s="130">
        <f t="shared" si="2"/>
        <v>1874</v>
      </c>
      <c r="U177" s="130">
        <f t="shared" si="2"/>
        <v>0</v>
      </c>
      <c r="V177" s="130">
        <f t="shared" si="2"/>
        <v>1874</v>
      </c>
      <c r="W177" s="130">
        <f t="shared" si="2"/>
        <v>0</v>
      </c>
      <c r="X177" s="130">
        <f t="shared" si="2"/>
        <v>1874</v>
      </c>
      <c r="Y177" s="130">
        <f t="shared" si="2"/>
        <v>0</v>
      </c>
      <c r="Z177" s="130">
        <f t="shared" si="2"/>
        <v>937</v>
      </c>
      <c r="AA177" s="130">
        <f t="shared" si="2"/>
        <v>1874</v>
      </c>
      <c r="AB177" s="130">
        <f t="shared" si="2"/>
        <v>937</v>
      </c>
      <c r="AC177" s="130">
        <f t="shared" si="2"/>
        <v>937</v>
      </c>
      <c r="AD177" s="130">
        <f t="shared" si="2"/>
        <v>0</v>
      </c>
      <c r="AE177" s="130">
        <f t="shared" si="2"/>
        <v>1666.5</v>
      </c>
      <c r="AF177" s="130">
        <f t="shared" si="2"/>
        <v>833.25</v>
      </c>
      <c r="AG177" s="130">
        <f t="shared" si="2"/>
        <v>833.25</v>
      </c>
      <c r="AH177" s="130">
        <f t="shared" si="2"/>
        <v>833.25</v>
      </c>
      <c r="AI177" s="130">
        <f t="shared" si="2"/>
        <v>0</v>
      </c>
      <c r="AJ177" s="130">
        <f t="shared" si="2"/>
        <v>833.25</v>
      </c>
      <c r="AK177" s="130">
        <f t="shared" si="2"/>
        <v>1666.5</v>
      </c>
      <c r="AL177" s="130">
        <f t="shared" si="2"/>
        <v>0</v>
      </c>
      <c r="AM177" s="130">
        <f t="shared" si="2"/>
        <v>833.25</v>
      </c>
      <c r="AN177" s="130">
        <f t="shared" si="2"/>
        <v>1666.5</v>
      </c>
      <c r="AO177" s="130">
        <f t="shared" si="2"/>
        <v>833.25</v>
      </c>
      <c r="AP177" s="130">
        <f t="shared" si="2"/>
        <v>0</v>
      </c>
      <c r="AQ177" s="130">
        <f t="shared" si="2"/>
        <v>833.25</v>
      </c>
      <c r="AR177" s="130">
        <f t="shared" si="2"/>
        <v>1666.5</v>
      </c>
      <c r="AS177" s="130">
        <f t="shared" si="2"/>
        <v>833.25</v>
      </c>
      <c r="AT177" s="130">
        <f t="shared" si="2"/>
        <v>0</v>
      </c>
      <c r="AU177" s="130">
        <f t="shared" si="2"/>
        <v>833.25</v>
      </c>
      <c r="AV177" s="130">
        <f t="shared" si="2"/>
        <v>0</v>
      </c>
      <c r="AW177" s="130">
        <f t="shared" si="2"/>
        <v>937</v>
      </c>
      <c r="AX177" s="130">
        <f t="shared" si="2"/>
        <v>833.25</v>
      </c>
      <c r="AY177" s="130">
        <f t="shared" si="2"/>
        <v>1666.5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0</v>
      </c>
      <c r="G178" s="131">
        <v>0</v>
      </c>
      <c r="H178" s="131">
        <v>1770.25</v>
      </c>
      <c r="I178" s="131">
        <v>833.25</v>
      </c>
      <c r="J178" s="131">
        <v>833.25</v>
      </c>
      <c r="K178" s="131">
        <v>833.25</v>
      </c>
      <c r="L178" s="131">
        <v>0</v>
      </c>
      <c r="M178" s="131">
        <v>937</v>
      </c>
      <c r="N178" s="131">
        <v>0</v>
      </c>
      <c r="O178" s="131">
        <v>833.25</v>
      </c>
      <c r="P178" s="131">
        <v>833.25</v>
      </c>
      <c r="Q178" s="131">
        <v>1666.5</v>
      </c>
      <c r="R178" s="131">
        <v>937</v>
      </c>
      <c r="S178" s="131">
        <v>0</v>
      </c>
      <c r="T178" s="131">
        <v>1874</v>
      </c>
      <c r="U178" s="131">
        <v>0</v>
      </c>
      <c r="V178" s="131">
        <v>1874</v>
      </c>
      <c r="W178" s="131">
        <v>0</v>
      </c>
      <c r="X178" s="131">
        <v>1874</v>
      </c>
      <c r="Y178" s="131">
        <v>0</v>
      </c>
      <c r="Z178" s="131">
        <v>937</v>
      </c>
      <c r="AA178" s="131">
        <v>1874</v>
      </c>
      <c r="AB178" s="131">
        <v>937</v>
      </c>
      <c r="AC178" s="131">
        <v>937</v>
      </c>
      <c r="AD178" s="131">
        <v>0</v>
      </c>
      <c r="AE178" s="131">
        <v>1666.5</v>
      </c>
      <c r="AF178" s="131">
        <v>833.25</v>
      </c>
      <c r="AG178" s="131">
        <v>833.25</v>
      </c>
      <c r="AH178" s="131">
        <v>833.25</v>
      </c>
      <c r="AI178" s="131">
        <v>0</v>
      </c>
      <c r="AJ178" s="131">
        <v>833.25</v>
      </c>
      <c r="AK178" s="131">
        <v>1666.5</v>
      </c>
      <c r="AL178" s="131">
        <v>0</v>
      </c>
      <c r="AM178" s="131">
        <v>833.25</v>
      </c>
      <c r="AN178" s="131">
        <v>1666.5</v>
      </c>
      <c r="AO178" s="131">
        <v>833.25</v>
      </c>
      <c r="AP178" s="131">
        <v>0</v>
      </c>
      <c r="AQ178" s="131">
        <v>833.25</v>
      </c>
      <c r="AR178" s="131">
        <v>1666.5</v>
      </c>
      <c r="AS178" s="131">
        <v>833.25</v>
      </c>
      <c r="AT178" s="131">
        <v>0</v>
      </c>
      <c r="AU178" s="131">
        <v>833.25</v>
      </c>
      <c r="AV178" s="131">
        <v>0</v>
      </c>
      <c r="AW178" s="131">
        <v>937</v>
      </c>
      <c r="AX178" s="131">
        <v>833.25</v>
      </c>
      <c r="AY178" s="131">
        <v>1666.5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531.07499999999993</v>
      </c>
      <c r="J179" s="130">
        <f t="shared" si="3"/>
        <v>249.97499999999999</v>
      </c>
      <c r="K179" s="130">
        <f t="shared" si="3"/>
        <v>249.97499999999999</v>
      </c>
      <c r="L179" s="130">
        <f t="shared" si="3"/>
        <v>249.97499999999999</v>
      </c>
      <c r="M179" s="130">
        <f t="shared" si="3"/>
        <v>0</v>
      </c>
      <c r="N179" s="130">
        <f t="shared" si="3"/>
        <v>374.8</v>
      </c>
      <c r="O179" s="130">
        <f t="shared" si="3"/>
        <v>0</v>
      </c>
      <c r="P179" s="130">
        <f t="shared" si="3"/>
        <v>333.3</v>
      </c>
      <c r="Q179" s="130">
        <f t="shared" si="3"/>
        <v>166.65</v>
      </c>
      <c r="R179" s="130">
        <f t="shared" si="3"/>
        <v>333.3</v>
      </c>
      <c r="S179" s="130">
        <f t="shared" si="3"/>
        <v>187.4</v>
      </c>
      <c r="T179" s="130">
        <f t="shared" si="3"/>
        <v>0</v>
      </c>
      <c r="U179" s="130">
        <f t="shared" si="3"/>
        <v>562.19999999999993</v>
      </c>
      <c r="V179" s="130">
        <f t="shared" si="3"/>
        <v>0</v>
      </c>
      <c r="W179" s="130">
        <f t="shared" si="3"/>
        <v>562.19999999999993</v>
      </c>
      <c r="X179" s="130">
        <f t="shared" si="3"/>
        <v>0</v>
      </c>
      <c r="Y179" s="130">
        <f t="shared" si="3"/>
        <v>749.6</v>
      </c>
      <c r="Z179" s="130">
        <f t="shared" si="3"/>
        <v>0</v>
      </c>
      <c r="AA179" s="130">
        <f t="shared" si="3"/>
        <v>374.8</v>
      </c>
      <c r="AB179" s="130">
        <f t="shared" si="3"/>
        <v>749.6</v>
      </c>
      <c r="AC179" s="130">
        <f t="shared" si="3"/>
        <v>187.4</v>
      </c>
      <c r="AD179" s="130">
        <f t="shared" si="3"/>
        <v>187.4</v>
      </c>
      <c r="AE179" s="130">
        <f t="shared" si="3"/>
        <v>0</v>
      </c>
      <c r="AF179" s="130">
        <f t="shared" si="3"/>
        <v>333.3</v>
      </c>
      <c r="AG179" s="130">
        <f t="shared" si="3"/>
        <v>249.97499999999999</v>
      </c>
      <c r="AH179" s="130">
        <f t="shared" si="3"/>
        <v>249.97499999999999</v>
      </c>
      <c r="AI179" s="130">
        <f t="shared" si="3"/>
        <v>249.97499999999999</v>
      </c>
      <c r="AJ179" s="130">
        <f t="shared" si="3"/>
        <v>0</v>
      </c>
      <c r="AK179" s="130">
        <f t="shared" si="3"/>
        <v>333.3</v>
      </c>
      <c r="AL179" s="130">
        <f t="shared" si="3"/>
        <v>666.6</v>
      </c>
      <c r="AM179" s="130">
        <f t="shared" si="3"/>
        <v>0</v>
      </c>
      <c r="AN179" s="130">
        <f t="shared" si="3"/>
        <v>333.3</v>
      </c>
      <c r="AO179" s="130">
        <f t="shared" si="3"/>
        <v>333.3</v>
      </c>
      <c r="AP179" s="130">
        <f t="shared" si="3"/>
        <v>166.65</v>
      </c>
      <c r="AQ179" s="130">
        <f t="shared" si="3"/>
        <v>0</v>
      </c>
      <c r="AR179" s="130">
        <f t="shared" si="3"/>
        <v>166.65</v>
      </c>
      <c r="AS179" s="130">
        <f t="shared" si="3"/>
        <v>499.95</v>
      </c>
      <c r="AT179" s="130">
        <f t="shared" si="3"/>
        <v>249.97499999999999</v>
      </c>
      <c r="AU179" s="130">
        <f t="shared" si="3"/>
        <v>0</v>
      </c>
      <c r="AV179" s="130">
        <f t="shared" si="3"/>
        <v>249.97499999999999</v>
      </c>
      <c r="AW179" s="130">
        <f t="shared" si="3"/>
        <v>0</v>
      </c>
      <c r="AX179" s="130">
        <f t="shared" si="3"/>
        <v>374.8</v>
      </c>
      <c r="AY179" s="130">
        <f t="shared" si="3"/>
        <v>333.3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531.07499999999993</v>
      </c>
      <c r="J180" s="131">
        <v>249.97499999999999</v>
      </c>
      <c r="K180" s="131">
        <v>249.97499999999999</v>
      </c>
      <c r="L180" s="131">
        <v>249.97499999999999</v>
      </c>
      <c r="M180" s="131">
        <v>0</v>
      </c>
      <c r="N180" s="131">
        <v>374.8</v>
      </c>
      <c r="O180" s="131">
        <v>0</v>
      </c>
      <c r="P180" s="131">
        <v>333.3</v>
      </c>
      <c r="Q180" s="131">
        <v>166.65</v>
      </c>
      <c r="R180" s="131">
        <v>333.3</v>
      </c>
      <c r="S180" s="131">
        <v>187.4</v>
      </c>
      <c r="T180" s="131">
        <v>0</v>
      </c>
      <c r="U180" s="131">
        <v>562.19999999999993</v>
      </c>
      <c r="V180" s="131">
        <v>0</v>
      </c>
      <c r="W180" s="131">
        <v>562.19999999999993</v>
      </c>
      <c r="X180" s="131">
        <v>0</v>
      </c>
      <c r="Y180" s="131">
        <v>749.6</v>
      </c>
      <c r="Z180" s="131">
        <v>0</v>
      </c>
      <c r="AA180" s="131">
        <v>374.8</v>
      </c>
      <c r="AB180" s="131">
        <v>749.6</v>
      </c>
      <c r="AC180" s="131">
        <v>187.4</v>
      </c>
      <c r="AD180" s="131">
        <v>187.4</v>
      </c>
      <c r="AE180" s="131">
        <v>0</v>
      </c>
      <c r="AF180" s="131">
        <v>333.3</v>
      </c>
      <c r="AG180" s="131">
        <v>249.97499999999999</v>
      </c>
      <c r="AH180" s="131">
        <v>249.97499999999999</v>
      </c>
      <c r="AI180" s="131">
        <v>249.97499999999999</v>
      </c>
      <c r="AJ180" s="131">
        <v>0</v>
      </c>
      <c r="AK180" s="131">
        <v>333.3</v>
      </c>
      <c r="AL180" s="131">
        <v>666.6</v>
      </c>
      <c r="AM180" s="131">
        <v>0</v>
      </c>
      <c r="AN180" s="131">
        <v>333.3</v>
      </c>
      <c r="AO180" s="131">
        <v>333.3</v>
      </c>
      <c r="AP180" s="131">
        <v>166.65</v>
      </c>
      <c r="AQ180" s="131">
        <v>0</v>
      </c>
      <c r="AR180" s="131">
        <v>166.65</v>
      </c>
      <c r="AS180" s="131">
        <v>499.95</v>
      </c>
      <c r="AT180" s="131">
        <v>249.97499999999999</v>
      </c>
      <c r="AU180" s="131">
        <v>0</v>
      </c>
      <c r="AV180" s="131">
        <v>249.97499999999999</v>
      </c>
      <c r="AW180" s="131">
        <v>0</v>
      </c>
      <c r="AX180" s="131">
        <v>374.8</v>
      </c>
      <c r="AY180" s="131">
        <v>333.3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1239.175</v>
      </c>
      <c r="I181" s="130">
        <f t="shared" si="4"/>
        <v>583.27499999999998</v>
      </c>
      <c r="J181" s="130">
        <f t="shared" si="4"/>
        <v>583.27499999999998</v>
      </c>
      <c r="K181" s="130">
        <f t="shared" si="4"/>
        <v>583.27499999999998</v>
      </c>
      <c r="L181" s="130">
        <f t="shared" si="4"/>
        <v>0</v>
      </c>
      <c r="M181" s="130">
        <f t="shared" si="4"/>
        <v>562.19999999999993</v>
      </c>
      <c r="N181" s="130">
        <f t="shared" si="4"/>
        <v>0</v>
      </c>
      <c r="O181" s="130">
        <f t="shared" si="4"/>
        <v>499.95</v>
      </c>
      <c r="P181" s="130">
        <f t="shared" si="4"/>
        <v>666.6</v>
      </c>
      <c r="Q181" s="130">
        <f t="shared" si="4"/>
        <v>1333.2</v>
      </c>
      <c r="R181" s="130">
        <f t="shared" si="4"/>
        <v>749.6</v>
      </c>
      <c r="S181" s="130">
        <f t="shared" si="4"/>
        <v>0</v>
      </c>
      <c r="T181" s="130">
        <f t="shared" si="4"/>
        <v>1311.8</v>
      </c>
      <c r="U181" s="130">
        <f t="shared" si="4"/>
        <v>0</v>
      </c>
      <c r="V181" s="130">
        <f t="shared" si="4"/>
        <v>1311.8</v>
      </c>
      <c r="W181" s="130">
        <f t="shared" si="4"/>
        <v>0</v>
      </c>
      <c r="X181" s="130">
        <f t="shared" si="4"/>
        <v>1124.3999999999999</v>
      </c>
      <c r="Y181" s="130">
        <f t="shared" si="4"/>
        <v>0</v>
      </c>
      <c r="Z181" s="130">
        <f t="shared" si="4"/>
        <v>562.19999999999993</v>
      </c>
      <c r="AA181" s="130">
        <f t="shared" si="4"/>
        <v>1124.3999999999999</v>
      </c>
      <c r="AB181" s="130">
        <f t="shared" si="4"/>
        <v>749.6</v>
      </c>
      <c r="AC181" s="130">
        <f t="shared" si="4"/>
        <v>749.6</v>
      </c>
      <c r="AD181" s="130">
        <f t="shared" si="4"/>
        <v>0</v>
      </c>
      <c r="AE181" s="130">
        <f t="shared" si="4"/>
        <v>1333.2</v>
      </c>
      <c r="AF181" s="130">
        <f t="shared" si="4"/>
        <v>583.27499999999998</v>
      </c>
      <c r="AG181" s="130">
        <f t="shared" si="4"/>
        <v>583.27499999999998</v>
      </c>
      <c r="AH181" s="130">
        <f t="shared" si="4"/>
        <v>583.27499999999998</v>
      </c>
      <c r="AI181" s="130">
        <f t="shared" si="4"/>
        <v>0</v>
      </c>
      <c r="AJ181" s="130">
        <f t="shared" si="4"/>
        <v>499.95</v>
      </c>
      <c r="AK181" s="130">
        <f t="shared" si="4"/>
        <v>999.9</v>
      </c>
      <c r="AL181" s="130">
        <f t="shared" si="4"/>
        <v>0</v>
      </c>
      <c r="AM181" s="130">
        <f t="shared" si="4"/>
        <v>499.95</v>
      </c>
      <c r="AN181" s="130">
        <f t="shared" si="4"/>
        <v>1333.2</v>
      </c>
      <c r="AO181" s="130">
        <f t="shared" si="4"/>
        <v>666.6</v>
      </c>
      <c r="AP181" s="130">
        <f t="shared" si="4"/>
        <v>0</v>
      </c>
      <c r="AQ181" s="130">
        <f t="shared" si="4"/>
        <v>666.6</v>
      </c>
      <c r="AR181" s="130">
        <f t="shared" si="4"/>
        <v>1166.55</v>
      </c>
      <c r="AS181" s="130">
        <f t="shared" si="4"/>
        <v>583.27499999999998</v>
      </c>
      <c r="AT181" s="130">
        <f t="shared" si="4"/>
        <v>0</v>
      </c>
      <c r="AU181" s="130">
        <f t="shared" si="4"/>
        <v>583.27499999999998</v>
      </c>
      <c r="AV181" s="130">
        <f t="shared" si="4"/>
        <v>0</v>
      </c>
      <c r="AW181" s="130">
        <f t="shared" si="4"/>
        <v>562.19999999999993</v>
      </c>
      <c r="AX181" s="130">
        <f t="shared" si="4"/>
        <v>499.95</v>
      </c>
      <c r="AY181" s="130">
        <f t="shared" si="4"/>
        <v>999.9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1239.175</v>
      </c>
      <c r="I182" s="131">
        <v>583.27499999999998</v>
      </c>
      <c r="J182" s="131">
        <v>583.27499999999998</v>
      </c>
      <c r="K182" s="131">
        <v>583.27499999999998</v>
      </c>
      <c r="L182" s="131">
        <v>0</v>
      </c>
      <c r="M182" s="131">
        <v>562.19999999999993</v>
      </c>
      <c r="N182" s="131">
        <v>0</v>
      </c>
      <c r="O182" s="131">
        <v>499.95</v>
      </c>
      <c r="P182" s="131">
        <v>666.6</v>
      </c>
      <c r="Q182" s="131">
        <v>1333.2</v>
      </c>
      <c r="R182" s="131">
        <v>749.6</v>
      </c>
      <c r="S182" s="131">
        <v>0</v>
      </c>
      <c r="T182" s="131">
        <v>1311.8</v>
      </c>
      <c r="U182" s="131">
        <v>0</v>
      </c>
      <c r="V182" s="131">
        <v>1311.8</v>
      </c>
      <c r="W182" s="131">
        <v>0</v>
      </c>
      <c r="X182" s="131">
        <v>1124.3999999999999</v>
      </c>
      <c r="Y182" s="131">
        <v>0</v>
      </c>
      <c r="Z182" s="131">
        <v>562.19999999999993</v>
      </c>
      <c r="AA182" s="131">
        <v>1124.3999999999999</v>
      </c>
      <c r="AB182" s="131">
        <v>749.6</v>
      </c>
      <c r="AC182" s="131">
        <v>749.6</v>
      </c>
      <c r="AD182" s="131">
        <v>0</v>
      </c>
      <c r="AE182" s="131">
        <v>1333.2</v>
      </c>
      <c r="AF182" s="131">
        <v>583.27499999999998</v>
      </c>
      <c r="AG182" s="131">
        <v>583.27499999999998</v>
      </c>
      <c r="AH182" s="131">
        <v>583.27499999999998</v>
      </c>
      <c r="AI182" s="131">
        <v>0</v>
      </c>
      <c r="AJ182" s="131">
        <v>499.95</v>
      </c>
      <c r="AK182" s="131">
        <v>999.9</v>
      </c>
      <c r="AL182" s="131">
        <v>0</v>
      </c>
      <c r="AM182" s="131">
        <v>499.95</v>
      </c>
      <c r="AN182" s="131">
        <v>1333.2</v>
      </c>
      <c r="AO182" s="131">
        <v>666.6</v>
      </c>
      <c r="AP182" s="131">
        <v>0</v>
      </c>
      <c r="AQ182" s="131">
        <v>666.6</v>
      </c>
      <c r="AR182" s="131">
        <v>1166.55</v>
      </c>
      <c r="AS182" s="131">
        <v>583.27499999999998</v>
      </c>
      <c r="AT182" s="131">
        <v>0</v>
      </c>
      <c r="AU182" s="131">
        <v>583.27499999999998</v>
      </c>
      <c r="AV182" s="131">
        <v>0</v>
      </c>
      <c r="AW182" s="131">
        <v>562.19999999999993</v>
      </c>
      <c r="AX182" s="131">
        <v>499.95</v>
      </c>
      <c r="AY182" s="131">
        <v>999.9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1411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646.99999999999909</v>
      </c>
      <c r="M185" s="130">
        <v>3334.0000000000005</v>
      </c>
      <c r="N185" s="130">
        <v>3334.0000000000005</v>
      </c>
      <c r="O185" s="130">
        <v>3334.0000000000005</v>
      </c>
      <c r="P185" s="130">
        <v>3920</v>
      </c>
      <c r="Q185" s="130">
        <v>3685</v>
      </c>
      <c r="R185" s="130">
        <v>2612</v>
      </c>
      <c r="S185" s="130">
        <v>1518</v>
      </c>
      <c r="T185" s="130">
        <v>171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2669.9999999999959</v>
      </c>
      <c r="AO185" s="130">
        <v>3334.0000000000005</v>
      </c>
      <c r="AP185" s="130">
        <v>3334.0000000000005</v>
      </c>
      <c r="AQ185" s="130">
        <v>3334.0000000000005</v>
      </c>
      <c r="AR185" s="130">
        <v>3334.0000000000005</v>
      </c>
      <c r="AS185" s="130">
        <v>3334.0000000000005</v>
      </c>
      <c r="AT185" s="130">
        <v>3334.0000000000005</v>
      </c>
      <c r="AU185" s="130">
        <v>3334.0000000000005</v>
      </c>
      <c r="AV185" s="130">
        <v>2604</v>
      </c>
      <c r="AW185" s="130">
        <v>2182.9999999999995</v>
      </c>
      <c r="AX185" s="130">
        <v>1585.9999999999991</v>
      </c>
      <c r="AY185" s="130">
        <v>1485.9999999999986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1310</v>
      </c>
      <c r="F186" s="112">
        <v>928.99999999999955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3334.0000000000005</v>
      </c>
      <c r="M186" s="112">
        <v>2687.0000000000014</v>
      </c>
      <c r="N186" s="112">
        <v>0</v>
      </c>
      <c r="O186" s="112">
        <v>0</v>
      </c>
      <c r="P186" s="112">
        <v>0</v>
      </c>
      <c r="Q186" s="112">
        <v>1081</v>
      </c>
      <c r="R186" s="112">
        <v>1316</v>
      </c>
      <c r="S186" s="112">
        <v>2389</v>
      </c>
      <c r="T186" s="112">
        <v>3483</v>
      </c>
      <c r="U186" s="112">
        <v>3584</v>
      </c>
      <c r="V186" s="112">
        <v>1476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3334.0000000000005</v>
      </c>
      <c r="AO186" s="112">
        <v>664.00000000000455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730.00000000000045</v>
      </c>
      <c r="AX186" s="112">
        <v>1151.0000000000009</v>
      </c>
      <c r="AY186" s="112">
        <v>1748.0000000000014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613.00000000000045</v>
      </c>
      <c r="G187" s="112">
        <v>1479</v>
      </c>
      <c r="H187" s="112">
        <v>1435.9999999999991</v>
      </c>
      <c r="I187" s="112">
        <v>392.99999999999864</v>
      </c>
      <c r="J187" s="112">
        <v>0</v>
      </c>
      <c r="K187" s="112">
        <v>0</v>
      </c>
      <c r="L187" s="112">
        <v>3334.0000000000005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1246</v>
      </c>
      <c r="W187" s="112">
        <v>3418</v>
      </c>
      <c r="X187" s="112">
        <v>2949</v>
      </c>
      <c r="Y187" s="112">
        <v>1636</v>
      </c>
      <c r="Z187" s="112">
        <v>374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521.99999999999955</v>
      </c>
      <c r="AG187" s="112">
        <v>355.99999999999909</v>
      </c>
      <c r="AH187" s="112">
        <v>613.99999999999864</v>
      </c>
      <c r="AI187" s="112">
        <v>257.99999999999818</v>
      </c>
      <c r="AJ187" s="112">
        <v>378.99999999999773</v>
      </c>
      <c r="AK187" s="112">
        <v>828.99999999999727</v>
      </c>
      <c r="AL187" s="112">
        <v>1651.9999999999968</v>
      </c>
      <c r="AM187" s="112">
        <v>2281.9999999999964</v>
      </c>
      <c r="AN187" s="112">
        <v>3334.0000000000005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926.00000000000091</v>
      </c>
      <c r="I188" s="112">
        <v>1898.0000000000014</v>
      </c>
      <c r="J188" s="112">
        <v>2493</v>
      </c>
      <c r="K188" s="112">
        <v>2517</v>
      </c>
      <c r="L188" s="112">
        <v>3334.0000000000005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107</v>
      </c>
      <c r="Y188" s="112">
        <v>2052</v>
      </c>
      <c r="Z188" s="112">
        <v>3365</v>
      </c>
      <c r="AA188" s="112">
        <v>3061</v>
      </c>
      <c r="AB188" s="112">
        <v>2734</v>
      </c>
      <c r="AC188" s="112">
        <v>2263</v>
      </c>
      <c r="AD188" s="112">
        <v>1522</v>
      </c>
      <c r="AE188" s="112">
        <v>2112</v>
      </c>
      <c r="AF188" s="112">
        <v>3334.0000000000005</v>
      </c>
      <c r="AG188" s="112">
        <v>2812.0000000000009</v>
      </c>
      <c r="AH188" s="112">
        <v>2978.0000000000014</v>
      </c>
      <c r="AI188" s="112">
        <v>2720.0000000000018</v>
      </c>
      <c r="AJ188" s="112">
        <v>3076.0000000000023</v>
      </c>
      <c r="AK188" s="112">
        <v>2955.0000000000027</v>
      </c>
      <c r="AL188" s="112">
        <v>2505.0000000000032</v>
      </c>
      <c r="AM188" s="112">
        <v>1682.0000000000036</v>
      </c>
      <c r="AN188" s="112">
        <v>1052.0000000000041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0</v>
      </c>
      <c r="G189" s="130">
        <v>0</v>
      </c>
      <c r="H189" s="130">
        <v>937</v>
      </c>
      <c r="I189" s="130">
        <v>833.25</v>
      </c>
      <c r="J189" s="130">
        <v>833.25</v>
      </c>
      <c r="K189" s="130">
        <v>833.25</v>
      </c>
      <c r="L189" s="130">
        <v>0</v>
      </c>
      <c r="M189" s="130">
        <v>937</v>
      </c>
      <c r="N189" s="130">
        <v>0</v>
      </c>
      <c r="O189" s="130">
        <v>0</v>
      </c>
      <c r="P189" s="130">
        <v>0</v>
      </c>
      <c r="Q189" s="130">
        <v>833.25</v>
      </c>
      <c r="R189" s="130">
        <v>937</v>
      </c>
      <c r="S189" s="130">
        <v>0</v>
      </c>
      <c r="T189" s="130">
        <v>937</v>
      </c>
      <c r="U189" s="130">
        <v>0</v>
      </c>
      <c r="V189" s="130">
        <v>937</v>
      </c>
      <c r="W189" s="130">
        <v>0</v>
      </c>
      <c r="X189" s="130">
        <v>937</v>
      </c>
      <c r="Y189" s="130">
        <v>0</v>
      </c>
      <c r="Z189" s="130">
        <v>0</v>
      </c>
      <c r="AA189" s="130">
        <v>937</v>
      </c>
      <c r="AB189" s="130">
        <v>937</v>
      </c>
      <c r="AC189" s="130">
        <v>937</v>
      </c>
      <c r="AD189" s="130">
        <v>0</v>
      </c>
      <c r="AE189" s="130">
        <v>833.25</v>
      </c>
      <c r="AF189" s="130">
        <v>833.25</v>
      </c>
      <c r="AG189" s="130">
        <v>833.25</v>
      </c>
      <c r="AH189" s="130">
        <v>833.25</v>
      </c>
      <c r="AI189" s="130">
        <v>0</v>
      </c>
      <c r="AJ189" s="130">
        <v>833.25</v>
      </c>
      <c r="AK189" s="130">
        <v>833.25</v>
      </c>
      <c r="AL189" s="130">
        <v>0</v>
      </c>
      <c r="AM189" s="130">
        <v>0</v>
      </c>
      <c r="AN189" s="130">
        <v>833.25</v>
      </c>
      <c r="AO189" s="130">
        <v>833.25</v>
      </c>
      <c r="AP189" s="130">
        <v>0</v>
      </c>
      <c r="AQ189" s="130">
        <v>0</v>
      </c>
      <c r="AR189" s="130">
        <v>833.25</v>
      </c>
      <c r="AS189" s="130">
        <v>833.25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833.25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833.25</v>
      </c>
      <c r="P190" s="112">
        <v>833.25</v>
      </c>
      <c r="Q190" s="112">
        <v>833.25</v>
      </c>
      <c r="R190" s="112">
        <v>0</v>
      </c>
      <c r="S190" s="112">
        <v>0</v>
      </c>
      <c r="T190" s="112">
        <v>937</v>
      </c>
      <c r="U190" s="112">
        <v>0</v>
      </c>
      <c r="V190" s="112">
        <v>937</v>
      </c>
      <c r="W190" s="112">
        <v>0</v>
      </c>
      <c r="X190" s="112">
        <v>937</v>
      </c>
      <c r="Y190" s="112">
        <v>0</v>
      </c>
      <c r="Z190" s="112">
        <v>937</v>
      </c>
      <c r="AA190" s="112">
        <v>937</v>
      </c>
      <c r="AB190" s="112">
        <v>0</v>
      </c>
      <c r="AC190" s="112">
        <v>0</v>
      </c>
      <c r="AD190" s="112">
        <v>0</v>
      </c>
      <c r="AE190" s="112">
        <v>833.25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833.25</v>
      </c>
      <c r="AN190" s="112">
        <v>833.25</v>
      </c>
      <c r="AO190" s="112">
        <v>0</v>
      </c>
      <c r="AP190" s="112">
        <v>0</v>
      </c>
      <c r="AQ190" s="112">
        <v>833.25</v>
      </c>
      <c r="AR190" s="112">
        <v>833.25</v>
      </c>
      <c r="AS190" s="112">
        <v>0</v>
      </c>
      <c r="AT190" s="112">
        <v>0</v>
      </c>
      <c r="AU190" s="112">
        <v>833.25</v>
      </c>
      <c r="AV190" s="112">
        <v>0</v>
      </c>
      <c r="AW190" s="112">
        <v>937</v>
      </c>
      <c r="AX190" s="112">
        <v>833.25</v>
      </c>
      <c r="AY190" s="112">
        <v>833.25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833.25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833.25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531.07499999999993</v>
      </c>
      <c r="J197" s="112">
        <v>249.97499999999999</v>
      </c>
      <c r="K197" s="112">
        <v>249.97499999999999</v>
      </c>
      <c r="L197" s="112">
        <v>249.97499999999999</v>
      </c>
      <c r="M197" s="112">
        <v>0</v>
      </c>
      <c r="N197" s="112">
        <v>374.8</v>
      </c>
      <c r="O197" s="112">
        <v>0</v>
      </c>
      <c r="P197" s="112">
        <v>333.3</v>
      </c>
      <c r="Q197" s="112">
        <v>166.65</v>
      </c>
      <c r="R197" s="112">
        <v>333.3</v>
      </c>
      <c r="S197" s="112">
        <v>187.4</v>
      </c>
      <c r="T197" s="112">
        <v>0</v>
      </c>
      <c r="U197" s="112">
        <v>562.19999999999993</v>
      </c>
      <c r="V197" s="112">
        <v>0</v>
      </c>
      <c r="W197" s="112">
        <v>562.19999999999993</v>
      </c>
      <c r="X197" s="112">
        <v>0</v>
      </c>
      <c r="Y197" s="112">
        <v>749.6</v>
      </c>
      <c r="Z197" s="112">
        <v>0</v>
      </c>
      <c r="AA197" s="112">
        <v>374.8</v>
      </c>
      <c r="AB197" s="112">
        <v>749.6</v>
      </c>
      <c r="AC197" s="112">
        <v>187.4</v>
      </c>
      <c r="AD197" s="112">
        <v>187.4</v>
      </c>
      <c r="AE197" s="112">
        <v>0</v>
      </c>
      <c r="AF197" s="112">
        <v>333.3</v>
      </c>
      <c r="AG197" s="112">
        <v>249.97499999999999</v>
      </c>
      <c r="AH197" s="112">
        <v>249.97499999999999</v>
      </c>
      <c r="AI197" s="112">
        <v>249.97499999999999</v>
      </c>
      <c r="AJ197" s="112">
        <v>0</v>
      </c>
      <c r="AK197" s="112">
        <v>333.3</v>
      </c>
      <c r="AL197" s="112">
        <v>666.6</v>
      </c>
      <c r="AM197" s="112">
        <v>0</v>
      </c>
      <c r="AN197" s="112">
        <v>333.3</v>
      </c>
      <c r="AO197" s="112">
        <v>333.3</v>
      </c>
      <c r="AP197" s="112">
        <v>166.65</v>
      </c>
      <c r="AQ197" s="112">
        <v>0</v>
      </c>
      <c r="AR197" s="112">
        <v>166.65</v>
      </c>
      <c r="AS197" s="112">
        <v>499.95</v>
      </c>
      <c r="AT197" s="112">
        <v>249.97499999999999</v>
      </c>
      <c r="AU197" s="112">
        <v>0</v>
      </c>
      <c r="AV197" s="112">
        <v>249.97499999999999</v>
      </c>
      <c r="AW197" s="112">
        <v>0</v>
      </c>
      <c r="AX197" s="112">
        <v>374.8</v>
      </c>
      <c r="AY197" s="112">
        <v>333.3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655.9</v>
      </c>
      <c r="I209" s="130">
        <v>583.27499999999998</v>
      </c>
      <c r="J209" s="130">
        <v>583.27499999999998</v>
      </c>
      <c r="K209" s="130">
        <v>583.27499999999998</v>
      </c>
      <c r="L209" s="130">
        <v>0</v>
      </c>
      <c r="M209" s="130">
        <v>562.19999999999993</v>
      </c>
      <c r="N209" s="130">
        <v>0</v>
      </c>
      <c r="O209" s="130">
        <v>0</v>
      </c>
      <c r="P209" s="130">
        <v>0</v>
      </c>
      <c r="Q209" s="130">
        <v>666.6</v>
      </c>
      <c r="R209" s="130">
        <v>749.6</v>
      </c>
      <c r="S209" s="130">
        <v>0</v>
      </c>
      <c r="T209" s="130">
        <v>655.9</v>
      </c>
      <c r="U209" s="130">
        <v>0</v>
      </c>
      <c r="V209" s="130">
        <v>655.9</v>
      </c>
      <c r="W209" s="130">
        <v>0</v>
      </c>
      <c r="X209" s="130">
        <v>562.19999999999993</v>
      </c>
      <c r="Y209" s="130">
        <v>0</v>
      </c>
      <c r="Z209" s="130">
        <v>0</v>
      </c>
      <c r="AA209" s="130">
        <v>562.19999999999993</v>
      </c>
      <c r="AB209" s="130">
        <v>749.6</v>
      </c>
      <c r="AC209" s="130">
        <v>749.6</v>
      </c>
      <c r="AD209" s="130">
        <v>0</v>
      </c>
      <c r="AE209" s="130">
        <v>666.6</v>
      </c>
      <c r="AF209" s="130">
        <v>583.27499999999998</v>
      </c>
      <c r="AG209" s="130">
        <v>583.27499999999998</v>
      </c>
      <c r="AH209" s="130">
        <v>583.27499999999998</v>
      </c>
      <c r="AI209" s="130">
        <v>0</v>
      </c>
      <c r="AJ209" s="130">
        <v>499.95</v>
      </c>
      <c r="AK209" s="130">
        <v>499.95</v>
      </c>
      <c r="AL209" s="130">
        <v>0</v>
      </c>
      <c r="AM209" s="130">
        <v>0</v>
      </c>
      <c r="AN209" s="130">
        <v>666.6</v>
      </c>
      <c r="AO209" s="130">
        <v>666.6</v>
      </c>
      <c r="AP209" s="130">
        <v>0</v>
      </c>
      <c r="AQ209" s="130">
        <v>0</v>
      </c>
      <c r="AR209" s="130">
        <v>583.27499999999998</v>
      </c>
      <c r="AS209" s="130">
        <v>583.27499999999998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499.95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499.95</v>
      </c>
      <c r="P210" s="116">
        <v>666.6</v>
      </c>
      <c r="Q210" s="116">
        <v>666.6</v>
      </c>
      <c r="R210" s="116">
        <v>0</v>
      </c>
      <c r="S210" s="116">
        <v>0</v>
      </c>
      <c r="T210" s="116">
        <v>655.9</v>
      </c>
      <c r="U210" s="116">
        <v>0</v>
      </c>
      <c r="V210" s="116">
        <v>655.9</v>
      </c>
      <c r="W210" s="116">
        <v>0</v>
      </c>
      <c r="X210" s="116">
        <v>562.19999999999993</v>
      </c>
      <c r="Y210" s="116">
        <v>0</v>
      </c>
      <c r="Z210" s="116">
        <v>562.19999999999993</v>
      </c>
      <c r="AA210" s="116">
        <v>562.19999999999993</v>
      </c>
      <c r="AB210" s="116">
        <v>0</v>
      </c>
      <c r="AC210" s="116">
        <v>0</v>
      </c>
      <c r="AD210" s="116">
        <v>0</v>
      </c>
      <c r="AE210" s="116">
        <v>666.6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499.95</v>
      </c>
      <c r="AN210" s="116">
        <v>666.6</v>
      </c>
      <c r="AO210" s="116">
        <v>0</v>
      </c>
      <c r="AP210" s="116">
        <v>0</v>
      </c>
      <c r="AQ210" s="116">
        <v>666.6</v>
      </c>
      <c r="AR210" s="116">
        <v>583.27499999999998</v>
      </c>
      <c r="AS210" s="116">
        <v>0</v>
      </c>
      <c r="AT210" s="116">
        <v>0</v>
      </c>
      <c r="AU210" s="116">
        <v>583.27499999999998</v>
      </c>
      <c r="AV210" s="116">
        <v>0</v>
      </c>
      <c r="AW210" s="116">
        <v>562.19999999999993</v>
      </c>
      <c r="AX210" s="116">
        <v>499.95</v>
      </c>
      <c r="AY210" s="116">
        <v>499.95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583.27499999999998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499.95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345198.74999999994</v>
      </c>
      <c r="I259" s="130">
        <f t="shared" si="5"/>
        <v>162483.75</v>
      </c>
      <c r="J259" s="130">
        <f t="shared" si="5"/>
        <v>162483.75</v>
      </c>
      <c r="K259" s="130">
        <f t="shared" si="5"/>
        <v>162483.75</v>
      </c>
      <c r="L259" s="130">
        <f t="shared" si="5"/>
        <v>0</v>
      </c>
      <c r="M259" s="130">
        <f t="shared" si="5"/>
        <v>243620</v>
      </c>
      <c r="N259" s="130">
        <f t="shared" si="5"/>
        <v>0</v>
      </c>
      <c r="O259" s="130">
        <f t="shared" si="5"/>
        <v>216645</v>
      </c>
      <c r="P259" s="130">
        <f t="shared" si="5"/>
        <v>108322.5</v>
      </c>
      <c r="Q259" s="130">
        <f t="shared" si="5"/>
        <v>216645</v>
      </c>
      <c r="R259" s="130">
        <f t="shared" si="5"/>
        <v>121810</v>
      </c>
      <c r="S259" s="130">
        <f t="shared" si="5"/>
        <v>0</v>
      </c>
      <c r="T259" s="130">
        <f t="shared" si="5"/>
        <v>365429.99999999994</v>
      </c>
      <c r="U259" s="130">
        <f t="shared" si="5"/>
        <v>0</v>
      </c>
      <c r="V259" s="130">
        <f t="shared" si="5"/>
        <v>365429.99999999994</v>
      </c>
      <c r="W259" s="130">
        <f t="shared" si="5"/>
        <v>0</v>
      </c>
      <c r="X259" s="130">
        <f t="shared" si="5"/>
        <v>487240</v>
      </c>
      <c r="Y259" s="130">
        <f t="shared" si="5"/>
        <v>0</v>
      </c>
      <c r="Z259" s="130">
        <f t="shared" si="5"/>
        <v>243620</v>
      </c>
      <c r="AA259" s="130">
        <f t="shared" si="5"/>
        <v>487240</v>
      </c>
      <c r="AB259" s="130">
        <f t="shared" si="5"/>
        <v>121810</v>
      </c>
      <c r="AC259" s="130">
        <f t="shared" si="5"/>
        <v>121810</v>
      </c>
      <c r="AD259" s="130">
        <f t="shared" si="5"/>
        <v>0</v>
      </c>
      <c r="AE259" s="130">
        <f t="shared" si="5"/>
        <v>216645</v>
      </c>
      <c r="AF259" s="130">
        <f t="shared" si="5"/>
        <v>162483.75</v>
      </c>
      <c r="AG259" s="130">
        <f t="shared" si="5"/>
        <v>162483.75</v>
      </c>
      <c r="AH259" s="130">
        <f t="shared" si="5"/>
        <v>162483.75</v>
      </c>
      <c r="AI259" s="130">
        <f t="shared" si="5"/>
        <v>0</v>
      </c>
      <c r="AJ259" s="130">
        <f t="shared" si="5"/>
        <v>216645</v>
      </c>
      <c r="AK259" s="130">
        <f t="shared" si="5"/>
        <v>433290</v>
      </c>
      <c r="AL259" s="130">
        <f t="shared" si="5"/>
        <v>0</v>
      </c>
      <c r="AM259" s="130">
        <f t="shared" si="5"/>
        <v>216645</v>
      </c>
      <c r="AN259" s="130">
        <f t="shared" si="5"/>
        <v>216645</v>
      </c>
      <c r="AO259" s="130">
        <f t="shared" si="5"/>
        <v>108322.5</v>
      </c>
      <c r="AP259" s="130">
        <f t="shared" si="5"/>
        <v>0</v>
      </c>
      <c r="AQ259" s="130">
        <f t="shared" si="5"/>
        <v>108322.5</v>
      </c>
      <c r="AR259" s="130">
        <f t="shared" si="5"/>
        <v>324967.5</v>
      </c>
      <c r="AS259" s="130">
        <f t="shared" si="5"/>
        <v>162483.75</v>
      </c>
      <c r="AT259" s="130">
        <f t="shared" si="5"/>
        <v>0</v>
      </c>
      <c r="AU259" s="130">
        <f t="shared" si="5"/>
        <v>162483.75</v>
      </c>
      <c r="AV259" s="130">
        <f t="shared" si="5"/>
        <v>0</v>
      </c>
      <c r="AW259" s="130">
        <f t="shared" si="5"/>
        <v>243620</v>
      </c>
      <c r="AX259" s="130">
        <f t="shared" si="5"/>
        <v>216645</v>
      </c>
      <c r="AY259" s="130">
        <f>AZ$14*$B$259</f>
        <v>433290</v>
      </c>
      <c r="AZ259" s="145">
        <f>SUM($D259:$AY259)</f>
        <v>7479728.75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115380.00000000003</v>
      </c>
      <c r="E260" s="131">
        <f t="shared" ref="E260:AY260" si="6">(E$175-E$176+E$177-E$178+E$179-E$180+E$181-E$182)*$B$260</f>
        <v>236820.00000000006</v>
      </c>
      <c r="F260" s="131">
        <f t="shared" si="6"/>
        <v>344340.00000000012</v>
      </c>
      <c r="G260" s="131">
        <f t="shared" si="6"/>
        <v>455640.00000000012</v>
      </c>
      <c r="H260" s="131">
        <f t="shared" si="6"/>
        <v>513960.00000000023</v>
      </c>
      <c r="I260" s="131">
        <f t="shared" si="6"/>
        <v>576540.00000000023</v>
      </c>
      <c r="J260" s="131">
        <f t="shared" si="6"/>
        <v>627000.00000000023</v>
      </c>
      <c r="K260" s="131">
        <f t="shared" si="6"/>
        <v>649140.00000000012</v>
      </c>
      <c r="L260" s="131">
        <f t="shared" si="6"/>
        <v>161220.00000000012</v>
      </c>
      <c r="M260" s="131">
        <f t="shared" si="6"/>
        <v>0</v>
      </c>
      <c r="N260" s="131">
        <f t="shared" si="6"/>
        <v>0</v>
      </c>
      <c r="O260" s="131">
        <f t="shared" si="6"/>
        <v>0</v>
      </c>
      <c r="P260" s="131">
        <f t="shared" si="6"/>
        <v>64860</v>
      </c>
      <c r="Q260" s="131">
        <f t="shared" si="6"/>
        <v>78959.999999999985</v>
      </c>
      <c r="R260" s="131">
        <f t="shared" si="6"/>
        <v>143340</v>
      </c>
      <c r="S260" s="131">
        <f t="shared" si="6"/>
        <v>208980</v>
      </c>
      <c r="T260" s="131">
        <f t="shared" si="6"/>
        <v>289800</v>
      </c>
      <c r="U260" s="131">
        <f t="shared" si="6"/>
        <v>374820</v>
      </c>
      <c r="V260" s="131">
        <f t="shared" si="6"/>
        <v>511560</v>
      </c>
      <c r="W260" s="131">
        <f t="shared" si="6"/>
        <v>606540</v>
      </c>
      <c r="X260" s="131">
        <f t="shared" si="6"/>
        <v>673230</v>
      </c>
      <c r="Y260" s="131">
        <f t="shared" si="6"/>
        <v>702000</v>
      </c>
      <c r="Z260" s="131">
        <f t="shared" si="6"/>
        <v>727710</v>
      </c>
      <c r="AA260" s="131">
        <f t="shared" si="6"/>
        <v>794100</v>
      </c>
      <c r="AB260" s="131">
        <f t="shared" si="6"/>
        <v>786150</v>
      </c>
      <c r="AC260" s="131">
        <f t="shared" si="6"/>
        <v>764400</v>
      </c>
      <c r="AD260" s="131">
        <f t="shared" si="6"/>
        <v>758850.00000000012</v>
      </c>
      <c r="AE260" s="131">
        <f t="shared" si="6"/>
        <v>673440.00000000012</v>
      </c>
      <c r="AF260" s="131">
        <f t="shared" si="6"/>
        <v>568800.00000000012</v>
      </c>
      <c r="AG260" s="131">
        <f t="shared" si="6"/>
        <v>578760.00000000023</v>
      </c>
      <c r="AH260" s="131">
        <f t="shared" si="6"/>
        <v>563280.00000000023</v>
      </c>
      <c r="AI260" s="131">
        <f t="shared" si="6"/>
        <v>584640.00000000023</v>
      </c>
      <c r="AJ260" s="131">
        <f t="shared" si="6"/>
        <v>577380.00000000023</v>
      </c>
      <c r="AK260" s="131">
        <f t="shared" si="6"/>
        <v>550380.00000000023</v>
      </c>
      <c r="AL260" s="131">
        <f t="shared" si="6"/>
        <v>501000.00000000035</v>
      </c>
      <c r="AM260" s="131">
        <f t="shared" si="6"/>
        <v>463200.00000000041</v>
      </c>
      <c r="AN260" s="131">
        <f t="shared" si="6"/>
        <v>39840.000000000327</v>
      </c>
      <c r="AO260" s="131">
        <f t="shared" si="6"/>
        <v>0</v>
      </c>
      <c r="AP260" s="131">
        <f t="shared" si="6"/>
        <v>0</v>
      </c>
      <c r="AQ260" s="131">
        <f t="shared" si="6"/>
        <v>0</v>
      </c>
      <c r="AR260" s="131">
        <f t="shared" si="6"/>
        <v>0</v>
      </c>
      <c r="AS260" s="131">
        <f t="shared" si="6"/>
        <v>0</v>
      </c>
      <c r="AT260" s="131">
        <f t="shared" si="6"/>
        <v>0</v>
      </c>
      <c r="AU260" s="131">
        <f t="shared" si="6"/>
        <v>0</v>
      </c>
      <c r="AV260" s="131">
        <f t="shared" si="6"/>
        <v>43800.000000000029</v>
      </c>
      <c r="AW260" s="131">
        <f t="shared" si="6"/>
        <v>69060.000000000058</v>
      </c>
      <c r="AX260" s="131">
        <f t="shared" si="6"/>
        <v>104880.00000000012</v>
      </c>
      <c r="AY260" s="131">
        <f t="shared" si="6"/>
        <v>110880.00000000012</v>
      </c>
      <c r="AZ260" s="147">
        <f>SUM($D260:$AY260)</f>
        <v>16594680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11</v>
      </c>
      <c r="E6" s="106">
        <v>6362.4</v>
      </c>
      <c r="F6" s="106">
        <v>17</v>
      </c>
      <c r="G6" s="106">
        <v>9832.7999999999993</v>
      </c>
      <c r="H6" s="106">
        <v>15</v>
      </c>
      <c r="I6" s="106">
        <v>8676</v>
      </c>
      <c r="J6" s="106">
        <v>17</v>
      </c>
      <c r="K6" s="106">
        <v>9832.7999999999993</v>
      </c>
      <c r="L6" s="106">
        <v>19</v>
      </c>
      <c r="M6" s="106">
        <v>10989.6</v>
      </c>
      <c r="N6" s="106">
        <v>20</v>
      </c>
      <c r="O6" s="106">
        <v>11568</v>
      </c>
      <c r="P6" s="106">
        <v>17</v>
      </c>
      <c r="Q6" s="106">
        <v>9832.7999999999993</v>
      </c>
      <c r="R6" s="106">
        <v>18</v>
      </c>
      <c r="S6" s="106">
        <v>10411.199999999999</v>
      </c>
      <c r="T6" s="106">
        <v>62</v>
      </c>
      <c r="U6" s="106">
        <v>35860.799999999996</v>
      </c>
      <c r="V6" s="106">
        <v>31.583690987124474</v>
      </c>
      <c r="W6" s="106">
        <v>18268.006866952794</v>
      </c>
      <c r="X6" s="106">
        <v>13.394136250961624</v>
      </c>
      <c r="Y6" s="106">
        <v>7747.1684075562034</v>
      </c>
      <c r="Z6" s="106">
        <v>11.69171913604846</v>
      </c>
      <c r="AA6" s="106">
        <v>6762.4903482904292</v>
      </c>
      <c r="AB6" s="106">
        <v>84</v>
      </c>
      <c r="AC6" s="106">
        <v>48585.599999999999</v>
      </c>
      <c r="AD6" s="106">
        <v>130</v>
      </c>
      <c r="AE6" s="106">
        <v>75192</v>
      </c>
      <c r="AF6" s="106">
        <v>88</v>
      </c>
      <c r="AG6" s="106">
        <v>50899.199999999997</v>
      </c>
      <c r="AH6" s="106">
        <v>90</v>
      </c>
      <c r="AI6" s="106">
        <v>52056</v>
      </c>
      <c r="AJ6" s="106">
        <v>30</v>
      </c>
      <c r="AK6" s="106">
        <v>17352</v>
      </c>
      <c r="AL6" s="106">
        <v>53</v>
      </c>
      <c r="AM6" s="106">
        <v>30655.199999999997</v>
      </c>
      <c r="AN6" s="106">
        <v>34</v>
      </c>
      <c r="AO6" s="106">
        <v>19665.599999999999</v>
      </c>
      <c r="AP6" s="106">
        <v>45</v>
      </c>
      <c r="AQ6" s="106">
        <v>26028</v>
      </c>
      <c r="AR6" s="106">
        <v>66</v>
      </c>
      <c r="AS6" s="106">
        <v>38174.400000000001</v>
      </c>
      <c r="AT6" s="106">
        <v>67</v>
      </c>
      <c r="AU6" s="106">
        <v>38752.799999999996</v>
      </c>
      <c r="AV6" s="106">
        <v>59</v>
      </c>
      <c r="AW6" s="106">
        <v>34125.599999999999</v>
      </c>
      <c r="AX6" s="106">
        <v>47</v>
      </c>
      <c r="AY6" s="106">
        <v>27184.799999999999</v>
      </c>
      <c r="AZ6" s="106">
        <v>50</v>
      </c>
      <c r="BA6" s="106">
        <v>28920</v>
      </c>
      <c r="BB6" s="106">
        <v>43</v>
      </c>
      <c r="BC6" s="106">
        <v>24871.200000000001</v>
      </c>
      <c r="BD6" s="106">
        <v>30</v>
      </c>
      <c r="BE6" s="106">
        <v>17352</v>
      </c>
      <c r="BF6" s="106">
        <v>51</v>
      </c>
      <c r="BG6" s="106">
        <v>29498.399999999998</v>
      </c>
      <c r="BH6" s="106">
        <v>145</v>
      </c>
      <c r="BI6" s="106">
        <v>83868</v>
      </c>
      <c r="BJ6" s="106">
        <v>90</v>
      </c>
      <c r="BK6" s="106">
        <v>52056</v>
      </c>
      <c r="BL6" s="106">
        <v>141</v>
      </c>
      <c r="BM6" s="106">
        <v>81554.399999999994</v>
      </c>
      <c r="BN6" s="106">
        <v>115</v>
      </c>
      <c r="BO6" s="106">
        <v>66516</v>
      </c>
      <c r="BP6" s="106">
        <v>74</v>
      </c>
      <c r="BQ6" s="106">
        <v>42801.599999999999</v>
      </c>
      <c r="BR6" s="106">
        <v>85</v>
      </c>
      <c r="BS6" s="106">
        <v>49164</v>
      </c>
      <c r="BT6" s="106">
        <v>108</v>
      </c>
      <c r="BU6" s="106">
        <v>62467.199999999997</v>
      </c>
      <c r="BV6" s="106">
        <v>95</v>
      </c>
      <c r="BW6" s="106">
        <v>54948</v>
      </c>
      <c r="BX6" s="106">
        <v>60</v>
      </c>
      <c r="BY6" s="106">
        <v>34704</v>
      </c>
      <c r="BZ6" s="106">
        <v>31.381475667189989</v>
      </c>
      <c r="CA6" s="106">
        <v>18151.045525902689</v>
      </c>
      <c r="CB6" s="106">
        <v>18.883786790735311</v>
      </c>
      <c r="CC6" s="106">
        <v>10922.382279761303</v>
      </c>
      <c r="CD6" s="106">
        <v>18.796041092458033</v>
      </c>
      <c r="CE6" s="106">
        <v>10871.630167877725</v>
      </c>
      <c r="CF6" s="106">
        <v>6.1599507302481094</v>
      </c>
      <c r="CG6" s="106">
        <v>3562.9155023755061</v>
      </c>
      <c r="CH6" s="106">
        <v>5.5346306372775071</v>
      </c>
      <c r="CI6" s="106">
        <v>3201.2303606013102</v>
      </c>
      <c r="CJ6" s="106">
        <v>7.2755046372067653</v>
      </c>
      <c r="CK6" s="106">
        <v>4208.1518821603931</v>
      </c>
      <c r="CL6" s="106">
        <v>6.5804513859092086</v>
      </c>
      <c r="CM6" s="106">
        <v>3806.1330816098862</v>
      </c>
      <c r="CN6" s="106">
        <v>26</v>
      </c>
      <c r="CO6" s="106">
        <v>15038.4</v>
      </c>
      <c r="CP6" s="106">
        <v>34</v>
      </c>
      <c r="CQ6" s="106">
        <v>19665.599999999999</v>
      </c>
      <c r="CR6" s="106">
        <v>41</v>
      </c>
      <c r="CS6" s="106">
        <v>23714.399999999998</v>
      </c>
      <c r="CT6" s="106">
        <v>45</v>
      </c>
      <c r="CU6" s="106">
        <v>26028</v>
      </c>
    </row>
    <row r="7" spans="1:99" x14ac:dyDescent="0.2">
      <c r="C7" s="105" t="s">
        <v>172</v>
      </c>
      <c r="D7" s="106">
        <v>11</v>
      </c>
      <c r="E7" s="106">
        <v>8672.4</v>
      </c>
      <c r="F7" s="106">
        <v>14</v>
      </c>
      <c r="G7" s="106">
        <v>11037.6</v>
      </c>
      <c r="H7" s="106">
        <v>15</v>
      </c>
      <c r="I7" s="106">
        <v>11826</v>
      </c>
      <c r="J7" s="106">
        <v>18</v>
      </c>
      <c r="K7" s="106">
        <v>14191.199999999999</v>
      </c>
      <c r="L7" s="106">
        <v>20</v>
      </c>
      <c r="M7" s="106">
        <v>15768</v>
      </c>
      <c r="N7" s="106">
        <v>18</v>
      </c>
      <c r="O7" s="106">
        <v>14191.199999999999</v>
      </c>
      <c r="P7" s="106">
        <v>17</v>
      </c>
      <c r="Q7" s="106">
        <v>13402.8</v>
      </c>
      <c r="R7" s="106">
        <v>17</v>
      </c>
      <c r="S7" s="106">
        <v>13402.8</v>
      </c>
      <c r="T7" s="106">
        <v>55</v>
      </c>
      <c r="U7" s="106">
        <v>43362</v>
      </c>
      <c r="V7" s="106">
        <v>28.712446351931337</v>
      </c>
      <c r="W7" s="106">
        <v>22636.892703862664</v>
      </c>
      <c r="X7" s="106">
        <v>13.679117873322509</v>
      </c>
      <c r="Y7" s="106">
        <v>10784.616531327465</v>
      </c>
      <c r="Z7" s="106">
        <v>11.160277357137165</v>
      </c>
      <c r="AA7" s="106">
        <v>8798.7626683669405</v>
      </c>
      <c r="AB7" s="106">
        <v>80</v>
      </c>
      <c r="AC7" s="106">
        <v>63072</v>
      </c>
      <c r="AD7" s="106">
        <v>111</v>
      </c>
      <c r="AE7" s="106">
        <v>87512.4</v>
      </c>
      <c r="AF7" s="106">
        <v>80</v>
      </c>
      <c r="AG7" s="106">
        <v>63072</v>
      </c>
      <c r="AH7" s="106">
        <v>71</v>
      </c>
      <c r="AI7" s="106">
        <v>55976.4</v>
      </c>
      <c r="AJ7" s="106">
        <v>29</v>
      </c>
      <c r="AK7" s="106">
        <v>22863.599999999999</v>
      </c>
      <c r="AL7" s="106">
        <v>53</v>
      </c>
      <c r="AM7" s="106">
        <v>41785.199999999997</v>
      </c>
      <c r="AN7" s="106">
        <v>34</v>
      </c>
      <c r="AO7" s="106">
        <v>26805.599999999999</v>
      </c>
      <c r="AP7" s="106">
        <v>45</v>
      </c>
      <c r="AQ7" s="106">
        <v>35478</v>
      </c>
      <c r="AR7" s="106">
        <v>63</v>
      </c>
      <c r="AS7" s="106">
        <v>49669.2</v>
      </c>
      <c r="AT7" s="106">
        <v>71</v>
      </c>
      <c r="AU7" s="106">
        <v>55976.4</v>
      </c>
      <c r="AV7" s="106">
        <v>52</v>
      </c>
      <c r="AW7" s="106">
        <v>40996.799999999996</v>
      </c>
      <c r="AX7" s="106">
        <v>47</v>
      </c>
      <c r="AY7" s="106">
        <v>37054.799999999996</v>
      </c>
      <c r="AZ7" s="106">
        <v>53</v>
      </c>
      <c r="BA7" s="106">
        <v>41785.199999999997</v>
      </c>
      <c r="BB7" s="106">
        <v>47</v>
      </c>
      <c r="BC7" s="106">
        <v>37054.799999999996</v>
      </c>
      <c r="BD7" s="106">
        <v>27</v>
      </c>
      <c r="BE7" s="106">
        <v>21286.799999999999</v>
      </c>
      <c r="BF7" s="106">
        <v>44</v>
      </c>
      <c r="BG7" s="106">
        <v>34689.599999999999</v>
      </c>
      <c r="BH7" s="106">
        <v>131</v>
      </c>
      <c r="BI7" s="106">
        <v>103280.4</v>
      </c>
      <c r="BJ7" s="106">
        <v>100</v>
      </c>
      <c r="BK7" s="106">
        <v>78840</v>
      </c>
      <c r="BL7" s="106">
        <v>120</v>
      </c>
      <c r="BM7" s="106">
        <v>94608</v>
      </c>
      <c r="BN7" s="106">
        <v>92</v>
      </c>
      <c r="BO7" s="106">
        <v>72532.800000000003</v>
      </c>
      <c r="BP7" s="106">
        <v>78</v>
      </c>
      <c r="BQ7" s="106">
        <v>61495.199999999997</v>
      </c>
      <c r="BR7" s="106">
        <v>81</v>
      </c>
      <c r="BS7" s="106">
        <v>63860.4</v>
      </c>
      <c r="BT7" s="106">
        <v>116</v>
      </c>
      <c r="BU7" s="106">
        <v>91454.399999999994</v>
      </c>
      <c r="BV7" s="106">
        <v>88</v>
      </c>
      <c r="BW7" s="106">
        <v>69379.199999999997</v>
      </c>
      <c r="BX7" s="106">
        <v>57</v>
      </c>
      <c r="BY7" s="106">
        <v>44938.799999999996</v>
      </c>
      <c r="BZ7" s="106">
        <v>30.335426478283658</v>
      </c>
      <c r="CA7" s="106">
        <v>23916.450235478835</v>
      </c>
      <c r="CB7" s="106">
        <v>20.232628704359264</v>
      </c>
      <c r="CC7" s="106">
        <v>15951.404470516844</v>
      </c>
      <c r="CD7" s="106">
        <v>16.70759208218492</v>
      </c>
      <c r="CE7" s="106">
        <v>13172.265597594591</v>
      </c>
      <c r="CF7" s="106">
        <v>5.8666197430934375</v>
      </c>
      <c r="CG7" s="106">
        <v>4625.2430054548659</v>
      </c>
      <c r="CH7" s="106">
        <v>5.8421101171262571</v>
      </c>
      <c r="CI7" s="106">
        <v>4605.9196163423412</v>
      </c>
      <c r="CJ7" s="106">
        <v>6.9723586106564843</v>
      </c>
      <c r="CK7" s="106">
        <v>5497.0075286415722</v>
      </c>
      <c r="CL7" s="106">
        <v>6.866557967905262</v>
      </c>
      <c r="CM7" s="106">
        <v>5413.5943018965081</v>
      </c>
      <c r="CN7" s="106">
        <v>23</v>
      </c>
      <c r="CO7" s="106">
        <v>18133.2</v>
      </c>
      <c r="CP7" s="106">
        <v>36</v>
      </c>
      <c r="CQ7" s="106">
        <v>28382.399999999998</v>
      </c>
      <c r="CR7" s="106">
        <v>34</v>
      </c>
      <c r="CS7" s="106">
        <v>26805.599999999999</v>
      </c>
      <c r="CT7" s="106">
        <v>41</v>
      </c>
      <c r="CU7" s="106">
        <v>32324.399999999998</v>
      </c>
    </row>
    <row r="8" spans="1:99" x14ac:dyDescent="0.2">
      <c r="C8" s="105" t="s">
        <v>173</v>
      </c>
      <c r="D8" s="106">
        <v>14</v>
      </c>
      <c r="E8" s="106">
        <v>4334.3999999999996</v>
      </c>
      <c r="F8" s="106">
        <v>16</v>
      </c>
      <c r="G8" s="106">
        <v>4953.5999999999995</v>
      </c>
      <c r="H8" s="106">
        <v>15</v>
      </c>
      <c r="I8" s="106">
        <v>4643.9999999999991</v>
      </c>
      <c r="J8" s="106">
        <v>19</v>
      </c>
      <c r="K8" s="106">
        <v>5882.4</v>
      </c>
      <c r="L8" s="106">
        <v>20</v>
      </c>
      <c r="M8" s="106">
        <v>6191.9999999999991</v>
      </c>
      <c r="N8" s="106">
        <v>20</v>
      </c>
      <c r="O8" s="106">
        <v>6191.9999999999991</v>
      </c>
      <c r="P8" s="106">
        <v>19</v>
      </c>
      <c r="Q8" s="106">
        <v>5882.4</v>
      </c>
      <c r="R8" s="106">
        <v>20</v>
      </c>
      <c r="S8" s="106">
        <v>6191.9999999999991</v>
      </c>
      <c r="T8" s="106">
        <v>62</v>
      </c>
      <c r="U8" s="106">
        <v>19195.199999999997</v>
      </c>
      <c r="V8" s="106">
        <v>33.880686695278982</v>
      </c>
      <c r="W8" s="106">
        <v>10489.460600858372</v>
      </c>
      <c r="X8" s="106">
        <v>14.81904436276605</v>
      </c>
      <c r="Y8" s="106">
        <v>4587.9761347123685</v>
      </c>
      <c r="Z8" s="106">
        <v>13.28604447278234</v>
      </c>
      <c r="AA8" s="106">
        <v>4113.3593687734119</v>
      </c>
      <c r="AB8" s="106">
        <v>91</v>
      </c>
      <c r="AC8" s="106">
        <v>28173.599999999999</v>
      </c>
      <c r="AD8" s="106">
        <v>146</v>
      </c>
      <c r="AE8" s="106">
        <v>45201.599999999999</v>
      </c>
      <c r="AF8" s="106">
        <v>89</v>
      </c>
      <c r="AG8" s="106">
        <v>27554.399999999998</v>
      </c>
      <c r="AH8" s="106">
        <v>84</v>
      </c>
      <c r="AI8" s="106">
        <v>26006.399999999998</v>
      </c>
      <c r="AJ8" s="106">
        <v>30</v>
      </c>
      <c r="AK8" s="106">
        <v>9287.9999999999982</v>
      </c>
      <c r="AL8" s="106">
        <v>61</v>
      </c>
      <c r="AM8" s="106">
        <v>18885.599999999999</v>
      </c>
      <c r="AN8" s="106">
        <v>38</v>
      </c>
      <c r="AO8" s="106">
        <v>11764.8</v>
      </c>
      <c r="AP8" s="106">
        <v>54</v>
      </c>
      <c r="AQ8" s="106">
        <v>16718.399999999998</v>
      </c>
      <c r="AR8" s="106">
        <v>74</v>
      </c>
      <c r="AS8" s="106">
        <v>22910.399999999998</v>
      </c>
      <c r="AT8" s="106">
        <v>70</v>
      </c>
      <c r="AU8" s="106">
        <v>21671.999999999996</v>
      </c>
      <c r="AV8" s="106">
        <v>61</v>
      </c>
      <c r="AW8" s="106">
        <v>18885.599999999999</v>
      </c>
      <c r="AX8" s="106">
        <v>49</v>
      </c>
      <c r="AY8" s="106">
        <v>15170.399999999998</v>
      </c>
      <c r="AZ8" s="106">
        <v>59</v>
      </c>
      <c r="BA8" s="106">
        <v>18266.399999999998</v>
      </c>
      <c r="BB8" s="106">
        <v>54</v>
      </c>
      <c r="BC8" s="106">
        <v>16718.399999999998</v>
      </c>
      <c r="BD8" s="106">
        <v>29</v>
      </c>
      <c r="BE8" s="106">
        <v>8978.4</v>
      </c>
      <c r="BF8" s="106">
        <v>53</v>
      </c>
      <c r="BG8" s="106">
        <v>16408.8</v>
      </c>
      <c r="BH8" s="106">
        <v>163</v>
      </c>
      <c r="BI8" s="106">
        <v>50464.799999999996</v>
      </c>
      <c r="BJ8" s="106">
        <v>107</v>
      </c>
      <c r="BK8" s="106">
        <v>33127.199999999997</v>
      </c>
      <c r="BL8" s="106">
        <v>161</v>
      </c>
      <c r="BM8" s="106">
        <v>49845.599999999991</v>
      </c>
      <c r="BN8" s="106">
        <v>109</v>
      </c>
      <c r="BO8" s="106">
        <v>33746.399999999994</v>
      </c>
      <c r="BP8" s="106">
        <v>93</v>
      </c>
      <c r="BQ8" s="106">
        <v>28792.799999999996</v>
      </c>
      <c r="BR8" s="106">
        <v>95</v>
      </c>
      <c r="BS8" s="106">
        <v>29411.999999999996</v>
      </c>
      <c r="BT8" s="106">
        <v>120</v>
      </c>
      <c r="BU8" s="106">
        <v>37151.999999999993</v>
      </c>
      <c r="BV8" s="106">
        <v>101</v>
      </c>
      <c r="BW8" s="106">
        <v>31269.599999999995</v>
      </c>
      <c r="BX8" s="106">
        <v>65</v>
      </c>
      <c r="BY8" s="106">
        <v>20123.999999999996</v>
      </c>
      <c r="BZ8" s="106">
        <v>36.088697017268494</v>
      </c>
      <c r="CA8" s="106">
        <v>11173.060596546324</v>
      </c>
      <c r="CB8" s="106">
        <v>21.581470617983214</v>
      </c>
      <c r="CC8" s="106">
        <v>6681.6233033276021</v>
      </c>
      <c r="CD8" s="106">
        <v>19.631420696567279</v>
      </c>
      <c r="CE8" s="106">
        <v>6077.887847657229</v>
      </c>
      <c r="CF8" s="106">
        <v>6.7466127045574531</v>
      </c>
      <c r="CG8" s="106">
        <v>2088.7512933309872</v>
      </c>
      <c r="CH8" s="106">
        <v>5.5346306372775071</v>
      </c>
      <c r="CI8" s="106">
        <v>1713.521645301116</v>
      </c>
      <c r="CJ8" s="106">
        <v>6.9723586106564843</v>
      </c>
      <c r="CK8" s="106">
        <v>2158.6422258592474</v>
      </c>
      <c r="CL8" s="106">
        <v>7.7248777138934184</v>
      </c>
      <c r="CM8" s="106">
        <v>2391.6221402214019</v>
      </c>
      <c r="CN8" s="106">
        <v>27</v>
      </c>
      <c r="CO8" s="106">
        <v>8359.1999999999989</v>
      </c>
      <c r="CP8" s="106">
        <v>41</v>
      </c>
      <c r="CQ8" s="106">
        <v>12693.599999999999</v>
      </c>
      <c r="CR8" s="106">
        <v>42</v>
      </c>
      <c r="CS8" s="106">
        <v>13003.199999999999</v>
      </c>
      <c r="CT8" s="106">
        <v>48</v>
      </c>
      <c r="CU8" s="106">
        <v>14860.8</v>
      </c>
    </row>
    <row r="9" spans="1:99" x14ac:dyDescent="0.2">
      <c r="C9" s="105" t="s">
        <v>174</v>
      </c>
      <c r="D9" s="106">
        <v>11</v>
      </c>
      <c r="E9" s="106">
        <v>7722</v>
      </c>
      <c r="F9" s="106">
        <v>16</v>
      </c>
      <c r="G9" s="106">
        <v>11232</v>
      </c>
      <c r="H9" s="106">
        <v>14</v>
      </c>
      <c r="I9" s="106">
        <v>9828</v>
      </c>
      <c r="J9" s="106">
        <v>17</v>
      </c>
      <c r="K9" s="106">
        <v>11934</v>
      </c>
      <c r="L9" s="106">
        <v>20</v>
      </c>
      <c r="M9" s="106">
        <v>14040</v>
      </c>
      <c r="N9" s="106">
        <v>18</v>
      </c>
      <c r="O9" s="106">
        <v>12636</v>
      </c>
      <c r="P9" s="106">
        <v>20</v>
      </c>
      <c r="Q9" s="106">
        <v>14040</v>
      </c>
      <c r="R9" s="106">
        <v>20</v>
      </c>
      <c r="S9" s="106">
        <v>14040</v>
      </c>
      <c r="T9" s="106">
        <v>57</v>
      </c>
      <c r="U9" s="106">
        <v>40014</v>
      </c>
      <c r="V9" s="106">
        <v>31.009442060085846</v>
      </c>
      <c r="W9" s="106">
        <v>21768.628326180264</v>
      </c>
      <c r="X9" s="106">
        <v>13.109154628600736</v>
      </c>
      <c r="Y9" s="106">
        <v>9202.6265492777165</v>
      </c>
      <c r="Z9" s="106">
        <v>11.425998246592814</v>
      </c>
      <c r="AA9" s="106">
        <v>8021.0507691081548</v>
      </c>
      <c r="AB9" s="106">
        <v>86</v>
      </c>
      <c r="AC9" s="106">
        <v>60372</v>
      </c>
      <c r="AD9" s="106">
        <v>122</v>
      </c>
      <c r="AE9" s="106">
        <v>85644</v>
      </c>
      <c r="AF9" s="106">
        <v>80</v>
      </c>
      <c r="AG9" s="106">
        <v>56160</v>
      </c>
      <c r="AH9" s="106">
        <v>86</v>
      </c>
      <c r="AI9" s="106">
        <v>60372</v>
      </c>
      <c r="AJ9" s="106">
        <v>32</v>
      </c>
      <c r="AK9" s="106">
        <v>22464</v>
      </c>
      <c r="AL9" s="106">
        <v>53</v>
      </c>
      <c r="AM9" s="106">
        <v>37206</v>
      </c>
      <c r="AN9" s="106">
        <v>32</v>
      </c>
      <c r="AO9" s="106">
        <v>22464</v>
      </c>
      <c r="AP9" s="106">
        <v>52</v>
      </c>
      <c r="AQ9" s="106">
        <v>36504</v>
      </c>
      <c r="AR9" s="106">
        <v>60</v>
      </c>
      <c r="AS9" s="106">
        <v>42120</v>
      </c>
      <c r="AT9" s="106">
        <v>72</v>
      </c>
      <c r="AU9" s="106">
        <v>50544</v>
      </c>
      <c r="AV9" s="106">
        <v>53</v>
      </c>
      <c r="AW9" s="106">
        <v>37206</v>
      </c>
      <c r="AX9" s="106">
        <v>47</v>
      </c>
      <c r="AY9" s="106">
        <v>32994</v>
      </c>
      <c r="AZ9" s="106">
        <v>49</v>
      </c>
      <c r="BA9" s="106">
        <v>34398</v>
      </c>
      <c r="BB9" s="106">
        <v>50</v>
      </c>
      <c r="BC9" s="106">
        <v>35100</v>
      </c>
      <c r="BD9" s="106">
        <v>31</v>
      </c>
      <c r="BE9" s="106">
        <v>21762</v>
      </c>
      <c r="BF9" s="106">
        <v>48</v>
      </c>
      <c r="BG9" s="106">
        <v>33696</v>
      </c>
      <c r="BH9" s="106">
        <v>149</v>
      </c>
      <c r="BI9" s="106">
        <v>104598</v>
      </c>
      <c r="BJ9" s="106">
        <v>88</v>
      </c>
      <c r="BK9" s="106">
        <v>61776</v>
      </c>
      <c r="BL9" s="106">
        <v>142</v>
      </c>
      <c r="BM9" s="106">
        <v>99684</v>
      </c>
      <c r="BN9" s="106">
        <v>106</v>
      </c>
      <c r="BO9" s="106">
        <v>74412</v>
      </c>
      <c r="BP9" s="106">
        <v>73</v>
      </c>
      <c r="BQ9" s="106">
        <v>51246</v>
      </c>
      <c r="BR9" s="106">
        <v>89</v>
      </c>
      <c r="BS9" s="106">
        <v>62478</v>
      </c>
      <c r="BT9" s="106">
        <v>120</v>
      </c>
      <c r="BU9" s="106">
        <v>84240</v>
      </c>
      <c r="BV9" s="106">
        <v>86</v>
      </c>
      <c r="BW9" s="106">
        <v>60372</v>
      </c>
      <c r="BX9" s="106">
        <v>57</v>
      </c>
      <c r="BY9" s="106">
        <v>40014</v>
      </c>
      <c r="BZ9" s="106">
        <v>32.427524856096326</v>
      </c>
      <c r="CA9" s="106">
        <v>22764.122448979622</v>
      </c>
      <c r="CB9" s="106">
        <v>18.883786790735311</v>
      </c>
      <c r="CC9" s="106">
        <v>13256.418327096188</v>
      </c>
      <c r="CD9" s="106">
        <v>16.70759208218492</v>
      </c>
      <c r="CE9" s="106">
        <v>11728.729641693813</v>
      </c>
      <c r="CF9" s="106">
        <v>5.8666197430934375</v>
      </c>
      <c r="CG9" s="106">
        <v>4118.3670596515931</v>
      </c>
      <c r="CH9" s="106">
        <v>6.1495895969750078</v>
      </c>
      <c r="CI9" s="106">
        <v>4317.0118970764552</v>
      </c>
      <c r="CJ9" s="106">
        <v>7.2755046372067653</v>
      </c>
      <c r="CK9" s="106">
        <v>5107.4042553191493</v>
      </c>
      <c r="CL9" s="106">
        <v>6.5804513859092086</v>
      </c>
      <c r="CM9" s="106">
        <v>4619.4768729082643</v>
      </c>
      <c r="CN9" s="106">
        <v>26</v>
      </c>
      <c r="CO9" s="106">
        <v>18252</v>
      </c>
      <c r="CP9" s="106">
        <v>33</v>
      </c>
      <c r="CQ9" s="106">
        <v>23166</v>
      </c>
      <c r="CR9" s="106">
        <v>37</v>
      </c>
      <c r="CS9" s="106">
        <v>25974</v>
      </c>
      <c r="CT9" s="106">
        <v>38</v>
      </c>
      <c r="CU9" s="106">
        <v>26676</v>
      </c>
    </row>
    <row r="10" spans="1:99" x14ac:dyDescent="0.2">
      <c r="C10" s="105" t="s">
        <v>175</v>
      </c>
      <c r="D10" s="106">
        <v>12</v>
      </c>
      <c r="E10" s="106">
        <v>6537.5999999999995</v>
      </c>
      <c r="F10" s="106">
        <v>16</v>
      </c>
      <c r="G10" s="106">
        <v>8716.7999999999993</v>
      </c>
      <c r="H10" s="106">
        <v>14</v>
      </c>
      <c r="I10" s="106">
        <v>7627.1999999999989</v>
      </c>
      <c r="J10" s="106">
        <v>19</v>
      </c>
      <c r="K10" s="106">
        <v>10351.199999999999</v>
      </c>
      <c r="L10" s="106">
        <v>19</v>
      </c>
      <c r="M10" s="106">
        <v>10351.199999999999</v>
      </c>
      <c r="N10" s="106">
        <v>21</v>
      </c>
      <c r="O10" s="106">
        <v>11440.8</v>
      </c>
      <c r="P10" s="106">
        <v>17</v>
      </c>
      <c r="Q10" s="106">
        <v>9261.5999999999985</v>
      </c>
      <c r="R10" s="106">
        <v>20</v>
      </c>
      <c r="S10" s="106">
        <v>10896</v>
      </c>
      <c r="T10" s="106">
        <v>67</v>
      </c>
      <c r="U10" s="106">
        <v>36501.599999999999</v>
      </c>
      <c r="V10" s="106">
        <v>30.435193133047221</v>
      </c>
      <c r="W10" s="106">
        <v>16581.093218884125</v>
      </c>
      <c r="X10" s="106">
        <v>12.539191383878967</v>
      </c>
      <c r="Y10" s="106">
        <v>6831.3514659372604</v>
      </c>
      <c r="Z10" s="106">
        <v>10.628835578225871</v>
      </c>
      <c r="AA10" s="106">
        <v>5790.589623017454</v>
      </c>
      <c r="AB10" s="106">
        <v>83</v>
      </c>
      <c r="AC10" s="106">
        <v>45218.399999999994</v>
      </c>
      <c r="AD10" s="106">
        <v>119</v>
      </c>
      <c r="AE10" s="106">
        <v>64831.199999999997</v>
      </c>
      <c r="AF10" s="106">
        <v>77</v>
      </c>
      <c r="AG10" s="106">
        <v>41949.599999999999</v>
      </c>
      <c r="AH10" s="106">
        <v>76</v>
      </c>
      <c r="AI10" s="106">
        <v>41404.799999999996</v>
      </c>
      <c r="AJ10" s="106">
        <v>29</v>
      </c>
      <c r="AK10" s="106">
        <v>15799.199999999999</v>
      </c>
      <c r="AL10" s="106">
        <v>56</v>
      </c>
      <c r="AM10" s="106">
        <v>30508.799999999996</v>
      </c>
      <c r="AN10" s="106">
        <v>33</v>
      </c>
      <c r="AO10" s="106">
        <v>17978.399999999998</v>
      </c>
      <c r="AP10" s="106">
        <v>48</v>
      </c>
      <c r="AQ10" s="106">
        <v>26150.399999999998</v>
      </c>
      <c r="AR10" s="106">
        <v>61</v>
      </c>
      <c r="AS10" s="106">
        <v>33232.799999999996</v>
      </c>
      <c r="AT10" s="106">
        <v>71</v>
      </c>
      <c r="AU10" s="106">
        <v>38680.799999999996</v>
      </c>
      <c r="AV10" s="106">
        <v>58</v>
      </c>
      <c r="AW10" s="106">
        <v>31598.399999999998</v>
      </c>
      <c r="AX10" s="106">
        <v>45</v>
      </c>
      <c r="AY10" s="106">
        <v>24515.999999999996</v>
      </c>
      <c r="AZ10" s="106">
        <v>54</v>
      </c>
      <c r="BA10" s="106">
        <v>29419.199999999997</v>
      </c>
      <c r="BB10" s="106">
        <v>48</v>
      </c>
      <c r="BC10" s="106">
        <v>26150.399999999998</v>
      </c>
      <c r="BD10" s="106">
        <v>32</v>
      </c>
      <c r="BE10" s="106">
        <v>17433.599999999999</v>
      </c>
      <c r="BF10" s="106">
        <v>45</v>
      </c>
      <c r="BG10" s="106">
        <v>24515.999999999996</v>
      </c>
      <c r="BH10" s="106">
        <v>152</v>
      </c>
      <c r="BI10" s="106">
        <v>82809.599999999991</v>
      </c>
      <c r="BJ10" s="106">
        <v>99</v>
      </c>
      <c r="BK10" s="106">
        <v>53935.199999999997</v>
      </c>
      <c r="BL10" s="106">
        <v>149</v>
      </c>
      <c r="BM10" s="106">
        <v>81175.199999999997</v>
      </c>
      <c r="BN10" s="106">
        <v>98</v>
      </c>
      <c r="BO10" s="106">
        <v>53390.399999999994</v>
      </c>
      <c r="BP10" s="106">
        <v>79</v>
      </c>
      <c r="BQ10" s="106">
        <v>43039.199999999997</v>
      </c>
      <c r="BR10" s="106">
        <v>100</v>
      </c>
      <c r="BS10" s="106">
        <v>54479.999999999993</v>
      </c>
      <c r="BT10" s="106">
        <v>110</v>
      </c>
      <c r="BU10" s="106">
        <v>59927.999999999993</v>
      </c>
      <c r="BV10" s="106">
        <v>96</v>
      </c>
      <c r="BW10" s="106">
        <v>52300.799999999996</v>
      </c>
      <c r="BX10" s="106">
        <v>61</v>
      </c>
      <c r="BY10" s="106">
        <v>33232.799999999996</v>
      </c>
      <c r="BZ10" s="106">
        <v>29.289377289377327</v>
      </c>
      <c r="CA10" s="106">
        <v>15956.852747252766</v>
      </c>
      <c r="CB10" s="106">
        <v>18.546576312329321</v>
      </c>
      <c r="CC10" s="106">
        <v>10104.174774957013</v>
      </c>
      <c r="CD10" s="106">
        <v>16.70759208218492</v>
      </c>
      <c r="CE10" s="106">
        <v>9102.2961663743445</v>
      </c>
      <c r="CF10" s="106">
        <v>6.1599507302481094</v>
      </c>
      <c r="CG10" s="106">
        <v>3355.9411578391696</v>
      </c>
      <c r="CH10" s="106">
        <v>5.5346306372775071</v>
      </c>
      <c r="CI10" s="106">
        <v>3015.2667711887857</v>
      </c>
      <c r="CJ10" s="106">
        <v>7.8817966903073291</v>
      </c>
      <c r="CK10" s="106">
        <v>4294.0028368794328</v>
      </c>
      <c r="CL10" s="106">
        <v>6.866557967905262</v>
      </c>
      <c r="CM10" s="106">
        <v>3740.9007809147865</v>
      </c>
      <c r="CN10" s="106">
        <v>25</v>
      </c>
      <c r="CO10" s="106">
        <v>13619.999999999998</v>
      </c>
      <c r="CP10" s="106">
        <v>39</v>
      </c>
      <c r="CQ10" s="106">
        <v>21247.199999999997</v>
      </c>
      <c r="CR10" s="106">
        <v>41</v>
      </c>
      <c r="CS10" s="106">
        <v>22336.799999999999</v>
      </c>
      <c r="CT10" s="106">
        <v>43</v>
      </c>
      <c r="CU10" s="106">
        <v>23426.399999999998</v>
      </c>
    </row>
    <row r="11" spans="1:99" x14ac:dyDescent="0.2">
      <c r="C11" s="105" t="s">
        <v>176</v>
      </c>
      <c r="D11" s="106">
        <v>13</v>
      </c>
      <c r="E11" s="106">
        <v>6926.4</v>
      </c>
      <c r="F11" s="106">
        <v>17</v>
      </c>
      <c r="G11" s="106">
        <v>9057.5999999999985</v>
      </c>
      <c r="H11" s="106">
        <v>14</v>
      </c>
      <c r="I11" s="106">
        <v>7459.1999999999989</v>
      </c>
      <c r="J11" s="106">
        <v>18</v>
      </c>
      <c r="K11" s="106">
        <v>9590.4</v>
      </c>
      <c r="L11" s="106">
        <v>21</v>
      </c>
      <c r="M11" s="106">
        <v>11188.8</v>
      </c>
      <c r="N11" s="106">
        <v>20</v>
      </c>
      <c r="O11" s="106">
        <v>10656</v>
      </c>
      <c r="P11" s="106">
        <v>19</v>
      </c>
      <c r="Q11" s="106">
        <v>10123.199999999999</v>
      </c>
      <c r="R11" s="106">
        <v>17</v>
      </c>
      <c r="S11" s="106">
        <v>9057.5999999999985</v>
      </c>
      <c r="T11" s="106">
        <v>59</v>
      </c>
      <c r="U11" s="106">
        <v>31435.199999999997</v>
      </c>
      <c r="V11" s="106">
        <v>28.712446351931337</v>
      </c>
      <c r="W11" s="106">
        <v>15297.991416309014</v>
      </c>
      <c r="X11" s="106">
        <v>13.109154628600736</v>
      </c>
      <c r="Y11" s="106">
        <v>6984.5575861184716</v>
      </c>
      <c r="Z11" s="106">
        <v>12.488881804415399</v>
      </c>
      <c r="AA11" s="106">
        <v>6654.0762253925241</v>
      </c>
      <c r="AB11" s="106">
        <v>85</v>
      </c>
      <c r="AC11" s="106">
        <v>45287.999999999993</v>
      </c>
      <c r="AD11" s="106">
        <v>140</v>
      </c>
      <c r="AE11" s="106">
        <v>74592</v>
      </c>
      <c r="AF11" s="106">
        <v>87</v>
      </c>
      <c r="AG11" s="106">
        <v>46353.599999999999</v>
      </c>
      <c r="AH11" s="106">
        <v>82</v>
      </c>
      <c r="AI11" s="106">
        <v>43689.599999999999</v>
      </c>
      <c r="AJ11" s="106">
        <v>31</v>
      </c>
      <c r="AK11" s="106">
        <v>16516.8</v>
      </c>
      <c r="AL11" s="106">
        <v>56</v>
      </c>
      <c r="AM11" s="106">
        <v>29836.799999999996</v>
      </c>
      <c r="AN11" s="106">
        <v>35</v>
      </c>
      <c r="AO11" s="106">
        <v>18648</v>
      </c>
      <c r="AP11" s="106">
        <v>47</v>
      </c>
      <c r="AQ11" s="106">
        <v>25041.599999999999</v>
      </c>
      <c r="AR11" s="106">
        <v>71</v>
      </c>
      <c r="AS11" s="106">
        <v>37828.799999999996</v>
      </c>
      <c r="AT11" s="106">
        <v>74</v>
      </c>
      <c r="AU11" s="106">
        <v>39427.199999999997</v>
      </c>
      <c r="AV11" s="106">
        <v>66</v>
      </c>
      <c r="AW11" s="106">
        <v>35164.799999999996</v>
      </c>
      <c r="AX11" s="106">
        <v>51</v>
      </c>
      <c r="AY11" s="106">
        <v>27172.799999999999</v>
      </c>
      <c r="AZ11" s="106">
        <v>55</v>
      </c>
      <c r="BA11" s="106">
        <v>29303.999999999996</v>
      </c>
      <c r="BB11" s="106">
        <v>46</v>
      </c>
      <c r="BC11" s="106">
        <v>24508.799999999999</v>
      </c>
      <c r="BD11" s="106">
        <v>28</v>
      </c>
      <c r="BE11" s="106">
        <v>14918.399999999998</v>
      </c>
      <c r="BF11" s="106">
        <v>49</v>
      </c>
      <c r="BG11" s="106">
        <v>26107.199999999997</v>
      </c>
      <c r="BH11" s="106">
        <v>146</v>
      </c>
      <c r="BI11" s="106">
        <v>77788.799999999988</v>
      </c>
      <c r="BJ11" s="106">
        <v>103</v>
      </c>
      <c r="BK11" s="106">
        <v>54878.399999999994</v>
      </c>
      <c r="BL11" s="106">
        <v>126</v>
      </c>
      <c r="BM11" s="106">
        <v>67132.799999999988</v>
      </c>
      <c r="BN11" s="106">
        <v>98</v>
      </c>
      <c r="BO11" s="106">
        <v>52214.399999999994</v>
      </c>
      <c r="BP11" s="106">
        <v>86</v>
      </c>
      <c r="BQ11" s="106">
        <v>45820.799999999996</v>
      </c>
      <c r="BR11" s="106">
        <v>86</v>
      </c>
      <c r="BS11" s="106">
        <v>45820.799999999996</v>
      </c>
      <c r="BT11" s="106">
        <v>126</v>
      </c>
      <c r="BU11" s="106">
        <v>67132.799999999988</v>
      </c>
      <c r="BV11" s="106">
        <v>90</v>
      </c>
      <c r="BW11" s="106">
        <v>47951.999999999993</v>
      </c>
      <c r="BX11" s="106">
        <v>55</v>
      </c>
      <c r="BY11" s="106">
        <v>29303.999999999996</v>
      </c>
      <c r="BZ11" s="106">
        <v>30.858451072736827</v>
      </c>
      <c r="CA11" s="106">
        <v>16441.382731554178</v>
      </c>
      <c r="CB11" s="106">
        <v>21.244260139577225</v>
      </c>
      <c r="CC11" s="106">
        <v>11318.941802366744</v>
      </c>
      <c r="CD11" s="106">
        <v>15.872212478075671</v>
      </c>
      <c r="CE11" s="106">
        <v>8456.7148083187167</v>
      </c>
      <c r="CF11" s="106">
        <v>6.4532817174027812</v>
      </c>
      <c r="CG11" s="106">
        <v>3438.3084990322013</v>
      </c>
      <c r="CH11" s="106">
        <v>5.5346306372775071</v>
      </c>
      <c r="CI11" s="106">
        <v>2948.8512035414556</v>
      </c>
      <c r="CJ11" s="106">
        <v>7.5786506637570472</v>
      </c>
      <c r="CK11" s="106">
        <v>4037.9050736497543</v>
      </c>
      <c r="CL11" s="106">
        <v>6.5804513859092086</v>
      </c>
      <c r="CM11" s="106">
        <v>3506.064498412426</v>
      </c>
      <c r="CN11" s="106">
        <v>23</v>
      </c>
      <c r="CO11" s="106">
        <v>12254.4</v>
      </c>
      <c r="CP11" s="106">
        <v>35</v>
      </c>
      <c r="CQ11" s="106">
        <v>18648</v>
      </c>
      <c r="CR11" s="106">
        <v>41</v>
      </c>
      <c r="CS11" s="106">
        <v>21844.799999999999</v>
      </c>
      <c r="CT11" s="106">
        <v>39</v>
      </c>
      <c r="CU11" s="106">
        <v>20779.199999999997</v>
      </c>
    </row>
    <row r="12" spans="1:99" x14ac:dyDescent="0.2">
      <c r="C12" s="105" t="s">
        <v>177</v>
      </c>
      <c r="D12" s="106">
        <v>12</v>
      </c>
      <c r="E12" s="106">
        <v>6753.5999999999995</v>
      </c>
      <c r="F12" s="106">
        <v>17</v>
      </c>
      <c r="G12" s="106">
        <v>9567.5999999999985</v>
      </c>
      <c r="H12" s="106">
        <v>15</v>
      </c>
      <c r="I12" s="106">
        <v>8442</v>
      </c>
      <c r="J12" s="106">
        <v>16</v>
      </c>
      <c r="K12" s="106">
        <v>9004.7999999999993</v>
      </c>
      <c r="L12" s="106">
        <v>21</v>
      </c>
      <c r="M12" s="106">
        <v>11818.8</v>
      </c>
      <c r="N12" s="106">
        <v>19</v>
      </c>
      <c r="O12" s="106">
        <v>10693.199999999999</v>
      </c>
      <c r="P12" s="106">
        <v>19</v>
      </c>
      <c r="Q12" s="106">
        <v>10693.199999999999</v>
      </c>
      <c r="R12" s="106">
        <v>18</v>
      </c>
      <c r="S12" s="106">
        <v>10130.4</v>
      </c>
      <c r="T12" s="106">
        <v>63</v>
      </c>
      <c r="U12" s="106">
        <v>35456.399999999994</v>
      </c>
      <c r="V12" s="106">
        <v>30.435193133047221</v>
      </c>
      <c r="W12" s="106">
        <v>17128.926695278973</v>
      </c>
      <c r="X12" s="106">
        <v>14.534062740405165</v>
      </c>
      <c r="Y12" s="106">
        <v>8179.7705103000262</v>
      </c>
      <c r="Z12" s="106">
        <v>12.223160914959752</v>
      </c>
      <c r="AA12" s="106">
        <v>6879.1949629393484</v>
      </c>
      <c r="AB12" s="106">
        <v>79</v>
      </c>
      <c r="AC12" s="106">
        <v>44461.2</v>
      </c>
      <c r="AD12" s="106">
        <v>125</v>
      </c>
      <c r="AE12" s="106">
        <v>70350</v>
      </c>
      <c r="AF12" s="106">
        <v>92</v>
      </c>
      <c r="AG12" s="106">
        <v>51777.599999999999</v>
      </c>
      <c r="AH12" s="106">
        <v>80</v>
      </c>
      <c r="AI12" s="106">
        <v>45024</v>
      </c>
      <c r="AJ12" s="106">
        <v>31</v>
      </c>
      <c r="AK12" s="106">
        <v>17446.8</v>
      </c>
      <c r="AL12" s="106">
        <v>63</v>
      </c>
      <c r="AM12" s="106">
        <v>35456.399999999994</v>
      </c>
      <c r="AN12" s="106">
        <v>31</v>
      </c>
      <c r="AO12" s="106">
        <v>17446.8</v>
      </c>
      <c r="AP12" s="106">
        <v>49</v>
      </c>
      <c r="AQ12" s="106">
        <v>27577.199999999997</v>
      </c>
      <c r="AR12" s="106">
        <v>72</v>
      </c>
      <c r="AS12" s="106">
        <v>40521.599999999999</v>
      </c>
      <c r="AT12" s="106">
        <v>63</v>
      </c>
      <c r="AU12" s="106">
        <v>35456.399999999994</v>
      </c>
      <c r="AV12" s="106">
        <v>55</v>
      </c>
      <c r="AW12" s="106">
        <v>30953.999999999996</v>
      </c>
      <c r="AX12" s="106">
        <v>51</v>
      </c>
      <c r="AY12" s="106">
        <v>28702.799999999999</v>
      </c>
      <c r="AZ12" s="106">
        <v>59</v>
      </c>
      <c r="BA12" s="106">
        <v>33205.199999999997</v>
      </c>
      <c r="BB12" s="106">
        <v>44</v>
      </c>
      <c r="BC12" s="106">
        <v>24763.199999999997</v>
      </c>
      <c r="BD12" s="106">
        <v>32</v>
      </c>
      <c r="BE12" s="106">
        <v>18009.599999999999</v>
      </c>
      <c r="BF12" s="106">
        <v>49</v>
      </c>
      <c r="BG12" s="106">
        <v>27577.199999999997</v>
      </c>
      <c r="BH12" s="106">
        <v>140</v>
      </c>
      <c r="BI12" s="106">
        <v>78792</v>
      </c>
      <c r="BJ12" s="106">
        <v>100</v>
      </c>
      <c r="BK12" s="106">
        <v>56279.999999999993</v>
      </c>
      <c r="BL12" s="106">
        <v>149</v>
      </c>
      <c r="BM12" s="106">
        <v>83857.2</v>
      </c>
      <c r="BN12" s="106">
        <v>105</v>
      </c>
      <c r="BO12" s="106">
        <v>59093.999999999993</v>
      </c>
      <c r="BP12" s="106">
        <v>74</v>
      </c>
      <c r="BQ12" s="106">
        <v>41647.199999999997</v>
      </c>
      <c r="BR12" s="106">
        <v>92</v>
      </c>
      <c r="BS12" s="106">
        <v>51777.599999999999</v>
      </c>
      <c r="BT12" s="106">
        <v>126</v>
      </c>
      <c r="BU12" s="106">
        <v>70912.799999999988</v>
      </c>
      <c r="BV12" s="106">
        <v>82</v>
      </c>
      <c r="BW12" s="106">
        <v>46149.599999999999</v>
      </c>
      <c r="BX12" s="106">
        <v>58</v>
      </c>
      <c r="BY12" s="106">
        <v>32642.399999999998</v>
      </c>
      <c r="BZ12" s="106">
        <v>34.519623233908987</v>
      </c>
      <c r="CA12" s="106">
        <v>19427.643956043976</v>
      </c>
      <c r="CB12" s="106">
        <v>20.232628704359264</v>
      </c>
      <c r="CC12" s="106">
        <v>11386.923434813392</v>
      </c>
      <c r="CD12" s="106">
        <v>15.454522676021048</v>
      </c>
      <c r="CE12" s="106">
        <v>8697.8053620646442</v>
      </c>
      <c r="CF12" s="106">
        <v>5.5732887559387656</v>
      </c>
      <c r="CG12" s="106">
        <v>3136.646911842337</v>
      </c>
      <c r="CH12" s="106">
        <v>5.2271511574287564</v>
      </c>
      <c r="CI12" s="106">
        <v>2941.8406714009038</v>
      </c>
      <c r="CJ12" s="106">
        <v>7.8817966903073291</v>
      </c>
      <c r="CK12" s="106">
        <v>4435.8751773049644</v>
      </c>
      <c r="CL12" s="106">
        <v>6.866557967905262</v>
      </c>
      <c r="CM12" s="106">
        <v>3864.4988243370813</v>
      </c>
      <c r="CN12" s="106">
        <v>23</v>
      </c>
      <c r="CO12" s="106">
        <v>12944.4</v>
      </c>
      <c r="CP12" s="106">
        <v>37</v>
      </c>
      <c r="CQ12" s="106">
        <v>20823.599999999999</v>
      </c>
      <c r="CR12" s="106">
        <v>35</v>
      </c>
      <c r="CS12" s="106">
        <v>19698</v>
      </c>
      <c r="CT12" s="106">
        <v>40</v>
      </c>
      <c r="CU12" s="106">
        <v>22512</v>
      </c>
    </row>
    <row r="13" spans="1:99" x14ac:dyDescent="0.2">
      <c r="C13" s="105" t="s">
        <v>178</v>
      </c>
      <c r="D13" s="106">
        <v>15</v>
      </c>
      <c r="E13" s="106">
        <v>1278</v>
      </c>
      <c r="F13" s="106">
        <v>15</v>
      </c>
      <c r="G13" s="106">
        <v>1278</v>
      </c>
      <c r="H13" s="106">
        <v>15</v>
      </c>
      <c r="I13" s="106">
        <v>1278</v>
      </c>
      <c r="J13" s="106">
        <v>20</v>
      </c>
      <c r="K13" s="106">
        <v>1704</v>
      </c>
      <c r="L13" s="106">
        <v>22</v>
      </c>
      <c r="M13" s="106">
        <v>1874.4</v>
      </c>
      <c r="N13" s="106">
        <v>22</v>
      </c>
      <c r="O13" s="106">
        <v>1874.4</v>
      </c>
      <c r="P13" s="106">
        <v>20</v>
      </c>
      <c r="Q13" s="106">
        <v>1704</v>
      </c>
      <c r="R13" s="106">
        <v>21</v>
      </c>
      <c r="S13" s="106">
        <v>1789.2</v>
      </c>
      <c r="T13" s="106">
        <v>75</v>
      </c>
      <c r="U13" s="106">
        <v>6390</v>
      </c>
      <c r="V13" s="106">
        <v>33.880686695278982</v>
      </c>
      <c r="W13" s="106">
        <v>2886.6345064377692</v>
      </c>
      <c r="X13" s="106">
        <v>15.104025985126937</v>
      </c>
      <c r="Y13" s="106">
        <v>1286.863013932815</v>
      </c>
      <c r="Z13" s="106">
        <v>14.083207141149279</v>
      </c>
      <c r="AA13" s="106">
        <v>1199.8892484259186</v>
      </c>
      <c r="AB13" s="106">
        <v>106</v>
      </c>
      <c r="AC13" s="106">
        <v>9031.2000000000007</v>
      </c>
      <c r="AD13" s="106">
        <v>134</v>
      </c>
      <c r="AE13" s="106">
        <v>11416.800000000001</v>
      </c>
      <c r="AF13" s="106">
        <v>100</v>
      </c>
      <c r="AG13" s="106">
        <v>8520</v>
      </c>
      <c r="AH13" s="106">
        <v>96</v>
      </c>
      <c r="AI13" s="106">
        <v>8179.2000000000007</v>
      </c>
      <c r="AJ13" s="106">
        <v>36</v>
      </c>
      <c r="AK13" s="106">
        <v>3067.2000000000003</v>
      </c>
      <c r="AL13" s="106">
        <v>67</v>
      </c>
      <c r="AM13" s="106">
        <v>5708.4000000000005</v>
      </c>
      <c r="AN13" s="106">
        <v>37</v>
      </c>
      <c r="AO13" s="106">
        <v>3152.4</v>
      </c>
      <c r="AP13" s="106">
        <v>53</v>
      </c>
      <c r="AQ13" s="106">
        <v>4515.6000000000004</v>
      </c>
      <c r="AR13" s="106">
        <v>74</v>
      </c>
      <c r="AS13" s="106">
        <v>6304.8</v>
      </c>
      <c r="AT13" s="106">
        <v>70</v>
      </c>
      <c r="AU13" s="106">
        <v>5964</v>
      </c>
      <c r="AV13" s="106">
        <v>66</v>
      </c>
      <c r="AW13" s="106">
        <v>5623.2</v>
      </c>
      <c r="AX13" s="106">
        <v>53</v>
      </c>
      <c r="AY13" s="106">
        <v>4515.6000000000004</v>
      </c>
      <c r="AZ13" s="106">
        <v>66</v>
      </c>
      <c r="BA13" s="106">
        <v>5623.2</v>
      </c>
      <c r="BB13" s="106">
        <v>48</v>
      </c>
      <c r="BC13" s="106">
        <v>4089.6000000000004</v>
      </c>
      <c r="BD13" s="106">
        <v>34</v>
      </c>
      <c r="BE13" s="106">
        <v>2896.8</v>
      </c>
      <c r="BF13" s="106">
        <v>56</v>
      </c>
      <c r="BG13" s="106">
        <v>4771.2</v>
      </c>
      <c r="BH13" s="106">
        <v>182</v>
      </c>
      <c r="BI13" s="106">
        <v>15506.4</v>
      </c>
      <c r="BJ13" s="106">
        <v>107</v>
      </c>
      <c r="BK13" s="106">
        <v>9116.4</v>
      </c>
      <c r="BL13" s="106">
        <v>156</v>
      </c>
      <c r="BM13" s="106">
        <v>13291.2</v>
      </c>
      <c r="BN13" s="106">
        <v>111</v>
      </c>
      <c r="BO13" s="106">
        <v>9457.2000000000007</v>
      </c>
      <c r="BP13" s="106">
        <v>90</v>
      </c>
      <c r="BQ13" s="106">
        <v>7668</v>
      </c>
      <c r="BR13" s="106">
        <v>112</v>
      </c>
      <c r="BS13" s="106">
        <v>9542.4</v>
      </c>
      <c r="BT13" s="106">
        <v>145</v>
      </c>
      <c r="BU13" s="106">
        <v>12354</v>
      </c>
      <c r="BV13" s="106">
        <v>103</v>
      </c>
      <c r="BW13" s="106">
        <v>8775.6</v>
      </c>
      <c r="BX13" s="106">
        <v>68</v>
      </c>
      <c r="BY13" s="106">
        <v>5793.6</v>
      </c>
      <c r="BZ13" s="106">
        <v>36.088697017268494</v>
      </c>
      <c r="CA13" s="106">
        <v>3074.7569858712759</v>
      </c>
      <c r="CB13" s="106">
        <v>20.907049661171239</v>
      </c>
      <c r="CC13" s="106">
        <v>1781.2806311317897</v>
      </c>
      <c r="CD13" s="106">
        <v>20.466800300676525</v>
      </c>
      <c r="CE13" s="106">
        <v>1743.7713856176399</v>
      </c>
      <c r="CF13" s="106">
        <v>7.039943691712125</v>
      </c>
      <c r="CG13" s="106">
        <v>599.8032025338731</v>
      </c>
      <c r="CH13" s="106">
        <v>6.7645485566725077</v>
      </c>
      <c r="CI13" s="106">
        <v>576.33953702849772</v>
      </c>
      <c r="CJ13" s="106">
        <v>7.2755046372067653</v>
      </c>
      <c r="CK13" s="106">
        <v>619.87299509001639</v>
      </c>
      <c r="CL13" s="106">
        <v>6.866557967905262</v>
      </c>
      <c r="CM13" s="106">
        <v>585.03073886552829</v>
      </c>
      <c r="CN13" s="106">
        <v>27</v>
      </c>
      <c r="CO13" s="106">
        <v>2300.4</v>
      </c>
      <c r="CP13" s="106">
        <v>36</v>
      </c>
      <c r="CQ13" s="106">
        <v>3067.2000000000003</v>
      </c>
      <c r="CR13" s="106">
        <v>43</v>
      </c>
      <c r="CS13" s="106">
        <v>3663.6</v>
      </c>
      <c r="CT13" s="106">
        <v>44</v>
      </c>
      <c r="CU13" s="106">
        <v>3748.8</v>
      </c>
    </row>
    <row r="14" spans="1:99" x14ac:dyDescent="0.2">
      <c r="C14" s="105" t="s">
        <v>179</v>
      </c>
      <c r="D14" s="106">
        <v>12</v>
      </c>
      <c r="E14" s="106">
        <v>5860.7999999999993</v>
      </c>
      <c r="F14" s="106">
        <v>15</v>
      </c>
      <c r="G14" s="106">
        <v>7326</v>
      </c>
      <c r="H14" s="106">
        <v>13</v>
      </c>
      <c r="I14" s="106">
        <v>6349.2</v>
      </c>
      <c r="J14" s="106">
        <v>19</v>
      </c>
      <c r="K14" s="106">
        <v>9279.6</v>
      </c>
      <c r="L14" s="106">
        <v>20</v>
      </c>
      <c r="M14" s="106">
        <v>9768</v>
      </c>
      <c r="N14" s="106">
        <v>19</v>
      </c>
      <c r="O14" s="106">
        <v>9279.6</v>
      </c>
      <c r="P14" s="106">
        <v>20</v>
      </c>
      <c r="Q14" s="106">
        <v>9768</v>
      </c>
      <c r="R14" s="106">
        <v>20</v>
      </c>
      <c r="S14" s="106">
        <v>9768</v>
      </c>
      <c r="T14" s="106">
        <v>70</v>
      </c>
      <c r="U14" s="106">
        <v>34188</v>
      </c>
      <c r="V14" s="106">
        <v>29.860944206008593</v>
      </c>
      <c r="W14" s="106">
        <v>14584.085150214596</v>
      </c>
      <c r="X14" s="106">
        <v>13.109154628600736</v>
      </c>
      <c r="Y14" s="106">
        <v>6402.5111206085994</v>
      </c>
      <c r="Z14" s="106">
        <v>11.69171913604846</v>
      </c>
      <c r="AA14" s="106">
        <v>5710.2356260460674</v>
      </c>
      <c r="AB14" s="106">
        <v>81</v>
      </c>
      <c r="AC14" s="106">
        <v>39560.400000000001</v>
      </c>
      <c r="AD14" s="106">
        <v>141</v>
      </c>
      <c r="AE14" s="106">
        <v>68864.399999999994</v>
      </c>
      <c r="AF14" s="106">
        <v>79</v>
      </c>
      <c r="AG14" s="106">
        <v>38583.599999999999</v>
      </c>
      <c r="AH14" s="106">
        <v>87</v>
      </c>
      <c r="AI14" s="106">
        <v>42490.799999999996</v>
      </c>
      <c r="AJ14" s="106">
        <v>28</v>
      </c>
      <c r="AK14" s="106">
        <v>13675.199999999999</v>
      </c>
      <c r="AL14" s="106">
        <v>61</v>
      </c>
      <c r="AM14" s="106">
        <v>29792.399999999998</v>
      </c>
      <c r="AN14" s="106">
        <v>35</v>
      </c>
      <c r="AO14" s="106">
        <v>17094</v>
      </c>
      <c r="AP14" s="106">
        <v>45</v>
      </c>
      <c r="AQ14" s="106">
        <v>21978</v>
      </c>
      <c r="AR14" s="106">
        <v>70</v>
      </c>
      <c r="AS14" s="106">
        <v>34188</v>
      </c>
      <c r="AT14" s="106">
        <v>68</v>
      </c>
      <c r="AU14" s="106">
        <v>33211.199999999997</v>
      </c>
      <c r="AV14" s="106">
        <v>62</v>
      </c>
      <c r="AW14" s="106">
        <v>30280.799999999999</v>
      </c>
      <c r="AX14" s="106">
        <v>50</v>
      </c>
      <c r="AY14" s="106">
        <v>24420</v>
      </c>
      <c r="AZ14" s="106">
        <v>50</v>
      </c>
      <c r="BA14" s="106">
        <v>24420</v>
      </c>
      <c r="BB14" s="106">
        <v>46</v>
      </c>
      <c r="BC14" s="106">
        <v>22466.399999999998</v>
      </c>
      <c r="BD14" s="106">
        <v>29</v>
      </c>
      <c r="BE14" s="106">
        <v>14163.599999999999</v>
      </c>
      <c r="BF14" s="106">
        <v>49</v>
      </c>
      <c r="BG14" s="106">
        <v>23931.599999999999</v>
      </c>
      <c r="BH14" s="106">
        <v>152</v>
      </c>
      <c r="BI14" s="106">
        <v>74236.800000000003</v>
      </c>
      <c r="BJ14" s="106">
        <v>110</v>
      </c>
      <c r="BK14" s="106">
        <v>53724</v>
      </c>
      <c r="BL14" s="106">
        <v>154</v>
      </c>
      <c r="BM14" s="106">
        <v>75213.599999999991</v>
      </c>
      <c r="BN14" s="106">
        <v>107</v>
      </c>
      <c r="BO14" s="106">
        <v>52258.799999999996</v>
      </c>
      <c r="BP14" s="106">
        <v>76</v>
      </c>
      <c r="BQ14" s="106">
        <v>37118.400000000001</v>
      </c>
      <c r="BR14" s="106">
        <v>93</v>
      </c>
      <c r="BS14" s="106">
        <v>45421.2</v>
      </c>
      <c r="BT14" s="106">
        <v>127</v>
      </c>
      <c r="BU14" s="106">
        <v>62026.799999999996</v>
      </c>
      <c r="BV14" s="106">
        <v>100</v>
      </c>
      <c r="BW14" s="106">
        <v>48840</v>
      </c>
      <c r="BX14" s="106">
        <v>66</v>
      </c>
      <c r="BY14" s="106">
        <v>32234.399999999998</v>
      </c>
      <c r="BZ14" s="106">
        <v>31.381475667189989</v>
      </c>
      <c r="CA14" s="106">
        <v>15326.71271585559</v>
      </c>
      <c r="CB14" s="106">
        <v>20.232628704359264</v>
      </c>
      <c r="CC14" s="106">
        <v>9881.6158592090651</v>
      </c>
      <c r="CD14" s="106">
        <v>18.378351290403412</v>
      </c>
      <c r="CE14" s="106">
        <v>8975.9867702330266</v>
      </c>
      <c r="CF14" s="106">
        <v>6.4532817174027812</v>
      </c>
      <c r="CG14" s="106">
        <v>3151.7827907795181</v>
      </c>
      <c r="CH14" s="106">
        <v>5.5346306372775071</v>
      </c>
      <c r="CI14" s="106">
        <v>2703.1136032463342</v>
      </c>
      <c r="CJ14" s="106">
        <v>7.8817966903073291</v>
      </c>
      <c r="CK14" s="106">
        <v>3849.4695035460995</v>
      </c>
      <c r="CL14" s="106">
        <v>7.4387711318973668</v>
      </c>
      <c r="CM14" s="106">
        <v>3633.0958208186739</v>
      </c>
      <c r="CN14" s="106">
        <v>25</v>
      </c>
      <c r="CO14" s="106">
        <v>12210</v>
      </c>
      <c r="CP14" s="106">
        <v>39</v>
      </c>
      <c r="CQ14" s="106">
        <v>19047.599999999999</v>
      </c>
      <c r="CR14" s="106">
        <v>36</v>
      </c>
      <c r="CS14" s="106">
        <v>17582.399999999998</v>
      </c>
      <c r="CT14" s="106">
        <v>41</v>
      </c>
      <c r="CU14" s="106">
        <v>20024.399999999998</v>
      </c>
    </row>
    <row r="15" spans="1:99" x14ac:dyDescent="0.2">
      <c r="C15" s="105" t="s">
        <v>180</v>
      </c>
      <c r="D15" s="106">
        <v>13</v>
      </c>
      <c r="E15" s="106">
        <v>9921.5999999999985</v>
      </c>
      <c r="F15" s="106">
        <v>15</v>
      </c>
      <c r="G15" s="106">
        <v>11447.999999999998</v>
      </c>
      <c r="H15" s="106">
        <v>14</v>
      </c>
      <c r="I15" s="106">
        <v>10684.8</v>
      </c>
      <c r="J15" s="106">
        <v>19</v>
      </c>
      <c r="K15" s="106">
        <v>14500.8</v>
      </c>
      <c r="L15" s="106">
        <v>17</v>
      </c>
      <c r="M15" s="106">
        <v>12974.4</v>
      </c>
      <c r="N15" s="106">
        <v>20</v>
      </c>
      <c r="O15" s="106">
        <v>15263.999999999998</v>
      </c>
      <c r="P15" s="106">
        <v>19</v>
      </c>
      <c r="Q15" s="106">
        <v>14500.8</v>
      </c>
      <c r="R15" s="106">
        <v>17</v>
      </c>
      <c r="S15" s="106">
        <v>12974.4</v>
      </c>
      <c r="T15" s="106">
        <v>60</v>
      </c>
      <c r="U15" s="106">
        <v>45791.999999999993</v>
      </c>
      <c r="V15" s="106">
        <v>26.415450643776833</v>
      </c>
      <c r="W15" s="106">
        <v>20160.271931330477</v>
      </c>
      <c r="X15" s="106">
        <v>12.25420976151808</v>
      </c>
      <c r="Y15" s="106">
        <v>9352.4128899905973</v>
      </c>
      <c r="Z15" s="106">
        <v>11.425998246592814</v>
      </c>
      <c r="AA15" s="106">
        <v>8720.3218617996354</v>
      </c>
      <c r="AB15" s="106">
        <v>86</v>
      </c>
      <c r="AC15" s="106">
        <v>65635.199999999997</v>
      </c>
      <c r="AD15" s="106">
        <v>128</v>
      </c>
      <c r="AE15" s="106">
        <v>97689.599999999991</v>
      </c>
      <c r="AF15" s="106">
        <v>75</v>
      </c>
      <c r="AG15" s="106">
        <v>57239.999999999993</v>
      </c>
      <c r="AH15" s="106">
        <v>82</v>
      </c>
      <c r="AI15" s="106">
        <v>62582.399999999994</v>
      </c>
      <c r="AJ15" s="106">
        <v>29</v>
      </c>
      <c r="AK15" s="106">
        <v>22132.799999999999</v>
      </c>
      <c r="AL15" s="106">
        <v>61</v>
      </c>
      <c r="AM15" s="106">
        <v>46555.199999999997</v>
      </c>
      <c r="AN15" s="106">
        <v>30</v>
      </c>
      <c r="AO15" s="106">
        <v>22895.999999999996</v>
      </c>
      <c r="AP15" s="106">
        <v>48</v>
      </c>
      <c r="AQ15" s="106">
        <v>36633.599999999999</v>
      </c>
      <c r="AR15" s="106">
        <v>65</v>
      </c>
      <c r="AS15" s="106">
        <v>49607.999999999993</v>
      </c>
      <c r="AT15" s="106">
        <v>70</v>
      </c>
      <c r="AU15" s="106">
        <v>53423.999999999993</v>
      </c>
      <c r="AV15" s="106">
        <v>62</v>
      </c>
      <c r="AW15" s="106">
        <v>47318.399999999994</v>
      </c>
      <c r="AX15" s="106">
        <v>43</v>
      </c>
      <c r="AY15" s="106">
        <v>32817.599999999999</v>
      </c>
      <c r="AZ15" s="106">
        <v>51</v>
      </c>
      <c r="BA15" s="106">
        <v>38923.199999999997</v>
      </c>
      <c r="BB15" s="106">
        <v>48</v>
      </c>
      <c r="BC15" s="106">
        <v>36633.599999999999</v>
      </c>
      <c r="BD15" s="106">
        <v>28</v>
      </c>
      <c r="BE15" s="106">
        <v>21369.599999999999</v>
      </c>
      <c r="BF15" s="106">
        <v>48</v>
      </c>
      <c r="BG15" s="106">
        <v>36633.599999999999</v>
      </c>
      <c r="BH15" s="106">
        <v>136</v>
      </c>
      <c r="BI15" s="106">
        <v>103795.2</v>
      </c>
      <c r="BJ15" s="106">
        <v>98</v>
      </c>
      <c r="BK15" s="106">
        <v>74793.599999999991</v>
      </c>
      <c r="BL15" s="106">
        <v>117</v>
      </c>
      <c r="BM15" s="106">
        <v>89294.399999999994</v>
      </c>
      <c r="BN15" s="106">
        <v>99</v>
      </c>
      <c r="BO15" s="106">
        <v>75556.799999999988</v>
      </c>
      <c r="BP15" s="106">
        <v>71</v>
      </c>
      <c r="BQ15" s="106">
        <v>54187.199999999997</v>
      </c>
      <c r="BR15" s="106">
        <v>93</v>
      </c>
      <c r="BS15" s="106">
        <v>70977.599999999991</v>
      </c>
      <c r="BT15" s="106">
        <v>120</v>
      </c>
      <c r="BU15" s="106">
        <v>91583.999999999985</v>
      </c>
      <c r="BV15" s="106">
        <v>93</v>
      </c>
      <c r="BW15" s="106">
        <v>70977.599999999991</v>
      </c>
      <c r="BX15" s="106">
        <v>51</v>
      </c>
      <c r="BY15" s="106">
        <v>38923.199999999997</v>
      </c>
      <c r="BZ15" s="106">
        <v>29.289377289377327</v>
      </c>
      <c r="CA15" s="106">
        <v>22353.652747252774</v>
      </c>
      <c r="CB15" s="106">
        <v>19.558207747547289</v>
      </c>
      <c r="CC15" s="106">
        <v>14926.824152928089</v>
      </c>
      <c r="CD15" s="106">
        <v>16.289902280130296</v>
      </c>
      <c r="CE15" s="106">
        <v>12432.453420195441</v>
      </c>
      <c r="CF15" s="106">
        <v>6.4532817174027812</v>
      </c>
      <c r="CG15" s="106">
        <v>4925.1446067218021</v>
      </c>
      <c r="CH15" s="106">
        <v>5.8421101171262571</v>
      </c>
      <c r="CI15" s="106">
        <v>4458.6984413907594</v>
      </c>
      <c r="CJ15" s="106">
        <v>7.2755046372067653</v>
      </c>
      <c r="CK15" s="106">
        <v>5552.6651391162031</v>
      </c>
      <c r="CL15" s="106">
        <v>6.866557967905262</v>
      </c>
      <c r="CM15" s="106">
        <v>5240.5570411052959</v>
      </c>
      <c r="CN15" s="106">
        <v>27</v>
      </c>
      <c r="CO15" s="106">
        <v>20606.399999999998</v>
      </c>
      <c r="CP15" s="106">
        <v>38</v>
      </c>
      <c r="CQ15" s="106">
        <v>29001.599999999999</v>
      </c>
      <c r="CR15" s="106">
        <v>37</v>
      </c>
      <c r="CS15" s="106">
        <v>28238.399999999998</v>
      </c>
      <c r="CT15" s="106">
        <v>36</v>
      </c>
      <c r="CU15" s="106">
        <v>27475.199999999997</v>
      </c>
    </row>
    <row r="16" spans="1:99" x14ac:dyDescent="0.2">
      <c r="C16" s="105" t="s">
        <v>181</v>
      </c>
      <c r="D16" s="106">
        <v>14</v>
      </c>
      <c r="E16" s="106">
        <v>4771.2</v>
      </c>
      <c r="F16" s="106">
        <v>17</v>
      </c>
      <c r="G16" s="106">
        <v>5793.6</v>
      </c>
      <c r="H16" s="106">
        <v>16</v>
      </c>
      <c r="I16" s="106">
        <v>5452.8</v>
      </c>
      <c r="J16" s="106">
        <v>18</v>
      </c>
      <c r="K16" s="106">
        <v>6134.4000000000005</v>
      </c>
      <c r="L16" s="106">
        <v>21</v>
      </c>
      <c r="M16" s="106">
        <v>7156.8</v>
      </c>
      <c r="N16" s="106">
        <v>19</v>
      </c>
      <c r="O16" s="106">
        <v>6475.2</v>
      </c>
      <c r="P16" s="106">
        <v>19</v>
      </c>
      <c r="Q16" s="106">
        <v>6475.2</v>
      </c>
      <c r="R16" s="106">
        <v>21</v>
      </c>
      <c r="S16" s="106">
        <v>7156.8</v>
      </c>
      <c r="T16" s="106">
        <v>66</v>
      </c>
      <c r="U16" s="106">
        <v>22492.799999999999</v>
      </c>
      <c r="V16" s="106">
        <v>29.860944206008593</v>
      </c>
      <c r="W16" s="106">
        <v>10176.609785407729</v>
      </c>
      <c r="X16" s="106">
        <v>13.679117873322509</v>
      </c>
      <c r="Y16" s="106">
        <v>4661.8433712283113</v>
      </c>
      <c r="Z16" s="106">
        <v>13.020323583326693</v>
      </c>
      <c r="AA16" s="106">
        <v>4437.326277197737</v>
      </c>
      <c r="AB16" s="106">
        <v>90</v>
      </c>
      <c r="AC16" s="106">
        <v>30672</v>
      </c>
      <c r="AD16" s="106">
        <v>142</v>
      </c>
      <c r="AE16" s="106">
        <v>48393.599999999999</v>
      </c>
      <c r="AF16" s="106">
        <v>83</v>
      </c>
      <c r="AG16" s="106">
        <v>28286.400000000001</v>
      </c>
      <c r="AH16" s="106">
        <v>92</v>
      </c>
      <c r="AI16" s="106">
        <v>31353.600000000002</v>
      </c>
      <c r="AJ16" s="106">
        <v>33</v>
      </c>
      <c r="AK16" s="106">
        <v>11246.4</v>
      </c>
      <c r="AL16" s="106">
        <v>67</v>
      </c>
      <c r="AM16" s="106">
        <v>22833.600000000002</v>
      </c>
      <c r="AN16" s="106">
        <v>37</v>
      </c>
      <c r="AO16" s="106">
        <v>12609.6</v>
      </c>
      <c r="AP16" s="106">
        <v>50</v>
      </c>
      <c r="AQ16" s="106">
        <v>17040</v>
      </c>
      <c r="AR16" s="106">
        <v>73</v>
      </c>
      <c r="AS16" s="106">
        <v>24878.400000000001</v>
      </c>
      <c r="AT16" s="106">
        <v>79</v>
      </c>
      <c r="AU16" s="106">
        <v>26923.200000000001</v>
      </c>
      <c r="AV16" s="106">
        <v>67</v>
      </c>
      <c r="AW16" s="106">
        <v>22833.600000000002</v>
      </c>
      <c r="AX16" s="106">
        <v>47</v>
      </c>
      <c r="AY16" s="106">
        <v>16017.6</v>
      </c>
      <c r="AZ16" s="106">
        <v>56</v>
      </c>
      <c r="BA16" s="106">
        <v>19084.8</v>
      </c>
      <c r="BB16" s="106">
        <v>46</v>
      </c>
      <c r="BC16" s="106">
        <v>15676.800000000001</v>
      </c>
      <c r="BD16" s="106">
        <v>34</v>
      </c>
      <c r="BE16" s="106">
        <v>11587.2</v>
      </c>
      <c r="BF16" s="106">
        <v>48</v>
      </c>
      <c r="BG16" s="106">
        <v>16358.400000000001</v>
      </c>
      <c r="BH16" s="106">
        <v>154</v>
      </c>
      <c r="BI16" s="106">
        <v>52483.200000000004</v>
      </c>
      <c r="BJ16" s="106">
        <v>101</v>
      </c>
      <c r="BK16" s="106">
        <v>34420.800000000003</v>
      </c>
      <c r="BL16" s="106">
        <v>144</v>
      </c>
      <c r="BM16" s="106">
        <v>49075.200000000004</v>
      </c>
      <c r="BN16" s="106">
        <v>109</v>
      </c>
      <c r="BO16" s="106">
        <v>37147.200000000004</v>
      </c>
      <c r="BP16" s="106">
        <v>85</v>
      </c>
      <c r="BQ16" s="106">
        <v>28968</v>
      </c>
      <c r="BR16" s="106">
        <v>105</v>
      </c>
      <c r="BS16" s="106">
        <v>35784</v>
      </c>
      <c r="BT16" s="106">
        <v>130</v>
      </c>
      <c r="BU16" s="106">
        <v>44304</v>
      </c>
      <c r="BV16" s="106">
        <v>96</v>
      </c>
      <c r="BW16" s="106">
        <v>32716.800000000003</v>
      </c>
      <c r="BX16" s="106">
        <v>66</v>
      </c>
      <c r="BY16" s="106">
        <v>22492.799999999999</v>
      </c>
      <c r="BZ16" s="106">
        <v>32.427524856096326</v>
      </c>
      <c r="CA16" s="106">
        <v>11051.300470957629</v>
      </c>
      <c r="CB16" s="106">
        <v>21.581470617983214</v>
      </c>
      <c r="CC16" s="106">
        <v>7354.9651866086797</v>
      </c>
      <c r="CD16" s="106">
        <v>18.378351290403412</v>
      </c>
      <c r="CE16" s="106">
        <v>6263.3421197694834</v>
      </c>
      <c r="CF16" s="106">
        <v>6.7466127045574531</v>
      </c>
      <c r="CG16" s="106">
        <v>2299.2456097131799</v>
      </c>
      <c r="CH16" s="106">
        <v>5.8421101171262571</v>
      </c>
      <c r="CI16" s="106">
        <v>1990.9911279166286</v>
      </c>
      <c r="CJ16" s="106">
        <v>7.8817966903073291</v>
      </c>
      <c r="CK16" s="106">
        <v>2686.116312056738</v>
      </c>
      <c r="CL16" s="106">
        <v>7.7248777138934184</v>
      </c>
      <c r="CM16" s="106">
        <v>2632.6383248948769</v>
      </c>
      <c r="CN16" s="106">
        <v>24</v>
      </c>
      <c r="CO16" s="106">
        <v>8179.2000000000007</v>
      </c>
      <c r="CP16" s="106">
        <v>39</v>
      </c>
      <c r="CQ16" s="106">
        <v>13291.2</v>
      </c>
      <c r="CR16" s="106">
        <v>36</v>
      </c>
      <c r="CS16" s="106">
        <v>12268.800000000001</v>
      </c>
      <c r="CT16" s="106">
        <v>44</v>
      </c>
      <c r="CU16" s="106">
        <v>14995.2</v>
      </c>
    </row>
    <row r="17" spans="2:99" x14ac:dyDescent="0.2">
      <c r="C17" s="105" t="s">
        <v>182</v>
      </c>
      <c r="D17" s="106">
        <v>12</v>
      </c>
      <c r="E17" s="106">
        <v>5068.7999999999993</v>
      </c>
      <c r="F17" s="106">
        <v>14</v>
      </c>
      <c r="G17" s="106">
        <v>5913.5999999999995</v>
      </c>
      <c r="H17" s="106">
        <v>14</v>
      </c>
      <c r="I17" s="106">
        <v>5913.5999999999995</v>
      </c>
      <c r="J17" s="106">
        <v>18</v>
      </c>
      <c r="K17" s="106">
        <v>7603.2</v>
      </c>
      <c r="L17" s="106">
        <v>19</v>
      </c>
      <c r="M17" s="106">
        <v>8025.5999999999995</v>
      </c>
      <c r="N17" s="106">
        <v>22</v>
      </c>
      <c r="O17" s="106">
        <v>9292.7999999999993</v>
      </c>
      <c r="P17" s="106">
        <v>20</v>
      </c>
      <c r="Q17" s="106">
        <v>8448</v>
      </c>
      <c r="R17" s="106">
        <v>20</v>
      </c>
      <c r="S17" s="106">
        <v>8448</v>
      </c>
      <c r="T17" s="106">
        <v>65</v>
      </c>
      <c r="U17" s="106">
        <v>27456</v>
      </c>
      <c r="V17" s="106">
        <v>27.563948497854089</v>
      </c>
      <c r="W17" s="106">
        <v>11643.011845493565</v>
      </c>
      <c r="X17" s="106">
        <v>13.394136250961624</v>
      </c>
      <c r="Y17" s="106">
        <v>5657.6831524061899</v>
      </c>
      <c r="Z17" s="106">
        <v>13.020323583326693</v>
      </c>
      <c r="AA17" s="106">
        <v>5499.7846815971952</v>
      </c>
      <c r="AB17" s="106">
        <v>80</v>
      </c>
      <c r="AC17" s="106">
        <v>33792</v>
      </c>
      <c r="AD17" s="106">
        <v>136</v>
      </c>
      <c r="AE17" s="106">
        <v>57446.399999999994</v>
      </c>
      <c r="AF17" s="106">
        <v>92</v>
      </c>
      <c r="AG17" s="106">
        <v>38860.799999999996</v>
      </c>
      <c r="AH17" s="106">
        <v>93</v>
      </c>
      <c r="AI17" s="106">
        <v>39283.199999999997</v>
      </c>
      <c r="AJ17" s="106">
        <v>31</v>
      </c>
      <c r="AK17" s="106">
        <v>13094.4</v>
      </c>
      <c r="AL17" s="106">
        <v>60</v>
      </c>
      <c r="AM17" s="106">
        <v>25344</v>
      </c>
      <c r="AN17" s="106">
        <v>30</v>
      </c>
      <c r="AO17" s="106">
        <v>12672</v>
      </c>
      <c r="AP17" s="106">
        <v>50</v>
      </c>
      <c r="AQ17" s="106">
        <v>21120</v>
      </c>
      <c r="AR17" s="106">
        <v>68</v>
      </c>
      <c r="AS17" s="106">
        <v>28723.199999999997</v>
      </c>
      <c r="AT17" s="106">
        <v>67</v>
      </c>
      <c r="AU17" s="106">
        <v>28300.799999999999</v>
      </c>
      <c r="AV17" s="106">
        <v>65</v>
      </c>
      <c r="AW17" s="106">
        <v>27456</v>
      </c>
      <c r="AX17" s="106">
        <v>46</v>
      </c>
      <c r="AY17" s="106">
        <v>19430.399999999998</v>
      </c>
      <c r="AZ17" s="106">
        <v>56</v>
      </c>
      <c r="BA17" s="106">
        <v>23654.399999999998</v>
      </c>
      <c r="BB17" s="106">
        <v>53</v>
      </c>
      <c r="BC17" s="106">
        <v>22387.199999999997</v>
      </c>
      <c r="BD17" s="106">
        <v>32</v>
      </c>
      <c r="BE17" s="106">
        <v>13516.8</v>
      </c>
      <c r="BF17" s="106">
        <v>48</v>
      </c>
      <c r="BG17" s="106">
        <v>20275.199999999997</v>
      </c>
      <c r="BH17" s="106">
        <v>149</v>
      </c>
      <c r="BI17" s="106">
        <v>62937.599999999999</v>
      </c>
      <c r="BJ17" s="106">
        <v>96</v>
      </c>
      <c r="BK17" s="106">
        <v>40550.399999999994</v>
      </c>
      <c r="BL17" s="106">
        <v>156</v>
      </c>
      <c r="BM17" s="106">
        <v>65894.399999999994</v>
      </c>
      <c r="BN17" s="106">
        <v>118</v>
      </c>
      <c r="BO17" s="106">
        <v>49843.199999999997</v>
      </c>
      <c r="BP17" s="106">
        <v>77</v>
      </c>
      <c r="BQ17" s="106">
        <v>32524.799999999999</v>
      </c>
      <c r="BR17" s="106">
        <v>100</v>
      </c>
      <c r="BS17" s="106">
        <v>42240</v>
      </c>
      <c r="BT17" s="106">
        <v>117</v>
      </c>
      <c r="BU17" s="106">
        <v>49420.799999999996</v>
      </c>
      <c r="BV17" s="106">
        <v>103</v>
      </c>
      <c r="BW17" s="106">
        <v>43507.199999999997</v>
      </c>
      <c r="BX17" s="106">
        <v>57</v>
      </c>
      <c r="BY17" s="106">
        <v>24076.799999999999</v>
      </c>
      <c r="BZ17" s="106">
        <v>29.812401883830493</v>
      </c>
      <c r="CA17" s="106">
        <v>12592.758555729999</v>
      </c>
      <c r="CB17" s="106">
        <v>20.232628704359264</v>
      </c>
      <c r="CC17" s="106">
        <v>8546.2623647213532</v>
      </c>
      <c r="CD17" s="106">
        <v>17.542971686294166</v>
      </c>
      <c r="CE17" s="106">
        <v>7410.1512402906556</v>
      </c>
      <c r="CF17" s="106">
        <v>5.8666197430934375</v>
      </c>
      <c r="CG17" s="106">
        <v>2478.060179482668</v>
      </c>
      <c r="CH17" s="106">
        <v>5.5346306372775071</v>
      </c>
      <c r="CI17" s="106">
        <v>2337.8279811860189</v>
      </c>
      <c r="CJ17" s="106">
        <v>7.2755046372067653</v>
      </c>
      <c r="CK17" s="106">
        <v>3073.1731587561376</v>
      </c>
      <c r="CL17" s="106">
        <v>6.5804513859092086</v>
      </c>
      <c r="CM17" s="106">
        <v>2779.5826654080497</v>
      </c>
      <c r="CN17" s="106">
        <v>24</v>
      </c>
      <c r="CO17" s="106">
        <v>10137.599999999999</v>
      </c>
      <c r="CP17" s="106">
        <v>41</v>
      </c>
      <c r="CQ17" s="106">
        <v>17318.399999999998</v>
      </c>
      <c r="CR17" s="106">
        <v>37</v>
      </c>
      <c r="CS17" s="106">
        <v>15628.8</v>
      </c>
      <c r="CT17" s="106">
        <v>44</v>
      </c>
      <c r="CU17" s="106">
        <v>18585.599999999999</v>
      </c>
    </row>
    <row r="18" spans="2:99" x14ac:dyDescent="0.2">
      <c r="C18" s="105" t="s">
        <v>183</v>
      </c>
      <c r="D18" s="106">
        <v>13</v>
      </c>
      <c r="E18" s="106">
        <v>8486.4</v>
      </c>
      <c r="F18" s="106">
        <v>15</v>
      </c>
      <c r="G18" s="106">
        <v>9792</v>
      </c>
      <c r="H18" s="106">
        <v>13</v>
      </c>
      <c r="I18" s="106">
        <v>8486.4</v>
      </c>
      <c r="J18" s="106">
        <v>18</v>
      </c>
      <c r="K18" s="106">
        <v>11750.4</v>
      </c>
      <c r="L18" s="106">
        <v>18</v>
      </c>
      <c r="M18" s="106">
        <v>11750.4</v>
      </c>
      <c r="N18" s="106">
        <v>20</v>
      </c>
      <c r="O18" s="106">
        <v>13056</v>
      </c>
      <c r="P18" s="106">
        <v>17</v>
      </c>
      <c r="Q18" s="106">
        <v>11097.599999999999</v>
      </c>
      <c r="R18" s="106">
        <v>17</v>
      </c>
      <c r="S18" s="106">
        <v>11097.599999999999</v>
      </c>
      <c r="T18" s="106">
        <v>58</v>
      </c>
      <c r="U18" s="106">
        <v>37862.399999999994</v>
      </c>
      <c r="V18" s="106">
        <v>27.563948497854089</v>
      </c>
      <c r="W18" s="106">
        <v>17993.745579399147</v>
      </c>
      <c r="X18" s="106">
        <v>12.25420976151808</v>
      </c>
      <c r="Y18" s="106">
        <v>7999.5481323190024</v>
      </c>
      <c r="Z18" s="106">
        <v>11.425998246592814</v>
      </c>
      <c r="AA18" s="106">
        <v>7458.8916553757881</v>
      </c>
      <c r="AB18" s="106">
        <v>81</v>
      </c>
      <c r="AC18" s="106">
        <v>52876.799999999996</v>
      </c>
      <c r="AD18" s="106">
        <v>133</v>
      </c>
      <c r="AE18" s="106">
        <v>86822.399999999994</v>
      </c>
      <c r="AF18" s="106">
        <v>79</v>
      </c>
      <c r="AG18" s="106">
        <v>51571.199999999997</v>
      </c>
      <c r="AH18" s="106">
        <v>77</v>
      </c>
      <c r="AI18" s="106">
        <v>50265.599999999999</v>
      </c>
      <c r="AJ18" s="106">
        <v>29</v>
      </c>
      <c r="AK18" s="106">
        <v>18931.199999999997</v>
      </c>
      <c r="AL18" s="106">
        <v>59</v>
      </c>
      <c r="AM18" s="106">
        <v>38515.199999999997</v>
      </c>
      <c r="AN18" s="106">
        <v>34</v>
      </c>
      <c r="AO18" s="106">
        <v>22195.199999999997</v>
      </c>
      <c r="AP18" s="106">
        <v>52</v>
      </c>
      <c r="AQ18" s="106">
        <v>33945.599999999999</v>
      </c>
      <c r="AR18" s="106">
        <v>68</v>
      </c>
      <c r="AS18" s="106">
        <v>44390.399999999994</v>
      </c>
      <c r="AT18" s="106">
        <v>61</v>
      </c>
      <c r="AU18" s="106">
        <v>39820.799999999996</v>
      </c>
      <c r="AV18" s="106">
        <v>56</v>
      </c>
      <c r="AW18" s="106">
        <v>36556.799999999996</v>
      </c>
      <c r="AX18" s="106">
        <v>45</v>
      </c>
      <c r="AY18" s="106">
        <v>29375.999999999996</v>
      </c>
      <c r="AZ18" s="106">
        <v>49</v>
      </c>
      <c r="BA18" s="106">
        <v>31987.199999999997</v>
      </c>
      <c r="BB18" s="106">
        <v>46</v>
      </c>
      <c r="BC18" s="106">
        <v>30028.799999999999</v>
      </c>
      <c r="BD18" s="106">
        <v>31</v>
      </c>
      <c r="BE18" s="106">
        <v>20236.8</v>
      </c>
      <c r="BF18" s="106">
        <v>54</v>
      </c>
      <c r="BG18" s="106">
        <v>35251.199999999997</v>
      </c>
      <c r="BH18" s="106">
        <v>142</v>
      </c>
      <c r="BI18" s="106">
        <v>92697.599999999991</v>
      </c>
      <c r="BJ18" s="106">
        <v>99</v>
      </c>
      <c r="BK18" s="106">
        <v>64627.199999999997</v>
      </c>
      <c r="BL18" s="106">
        <v>145</v>
      </c>
      <c r="BM18" s="106">
        <v>94656</v>
      </c>
      <c r="BN18" s="106">
        <v>101</v>
      </c>
      <c r="BO18" s="106">
        <v>65932.799999999988</v>
      </c>
      <c r="BP18" s="106">
        <v>70</v>
      </c>
      <c r="BQ18" s="106">
        <v>45696</v>
      </c>
      <c r="BR18" s="106">
        <v>86</v>
      </c>
      <c r="BS18" s="106">
        <v>56140.799999999996</v>
      </c>
      <c r="BT18" s="106">
        <v>105</v>
      </c>
      <c r="BU18" s="106">
        <v>68544</v>
      </c>
      <c r="BV18" s="106">
        <v>83</v>
      </c>
      <c r="BW18" s="106">
        <v>54182.399999999994</v>
      </c>
      <c r="BX18" s="106">
        <v>63</v>
      </c>
      <c r="BY18" s="106">
        <v>41126.399999999994</v>
      </c>
      <c r="BZ18" s="106">
        <v>32.427524856096326</v>
      </c>
      <c r="CA18" s="106">
        <v>21168.688226059679</v>
      </c>
      <c r="CB18" s="106">
        <v>17.534944877111361</v>
      </c>
      <c r="CC18" s="106">
        <v>11446.812015778296</v>
      </c>
      <c r="CD18" s="106">
        <v>15.454522676021048</v>
      </c>
      <c r="CE18" s="106">
        <v>10088.71240290654</v>
      </c>
      <c r="CF18" s="106">
        <v>5.8666197430934375</v>
      </c>
      <c r="CG18" s="106">
        <v>3829.7293682913955</v>
      </c>
      <c r="CH18" s="106">
        <v>5.2271511574287564</v>
      </c>
      <c r="CI18" s="106">
        <v>3412.2842755694919</v>
      </c>
      <c r="CJ18" s="106">
        <v>7.8817966903073291</v>
      </c>
      <c r="CK18" s="106">
        <v>5145.2368794326239</v>
      </c>
      <c r="CL18" s="106">
        <v>6.5804513859092086</v>
      </c>
      <c r="CM18" s="106">
        <v>4295.7186647215312</v>
      </c>
      <c r="CN18" s="106">
        <v>26</v>
      </c>
      <c r="CO18" s="106">
        <v>16972.8</v>
      </c>
      <c r="CP18" s="106">
        <v>39</v>
      </c>
      <c r="CQ18" s="106">
        <v>25459.199999999997</v>
      </c>
      <c r="CR18" s="106">
        <v>41</v>
      </c>
      <c r="CS18" s="106">
        <v>26764.799999999999</v>
      </c>
      <c r="CT18" s="106">
        <v>39</v>
      </c>
      <c r="CU18" s="106">
        <v>25459.199999999997</v>
      </c>
    </row>
    <row r="19" spans="2:99" x14ac:dyDescent="0.2">
      <c r="C19" s="105" t="s">
        <v>184</v>
      </c>
      <c r="D19" s="106">
        <v>14</v>
      </c>
      <c r="E19" s="106">
        <v>4620</v>
      </c>
      <c r="F19" s="106">
        <v>17</v>
      </c>
      <c r="G19" s="106">
        <v>5610</v>
      </c>
      <c r="H19" s="106">
        <v>14</v>
      </c>
      <c r="I19" s="106">
        <v>4620</v>
      </c>
      <c r="J19" s="106">
        <v>18</v>
      </c>
      <c r="K19" s="106">
        <v>5940</v>
      </c>
      <c r="L19" s="106">
        <v>18</v>
      </c>
      <c r="M19" s="106">
        <v>5940</v>
      </c>
      <c r="N19" s="106">
        <v>21</v>
      </c>
      <c r="O19" s="106">
        <v>6930</v>
      </c>
      <c r="P19" s="106">
        <v>19</v>
      </c>
      <c r="Q19" s="106">
        <v>6270</v>
      </c>
      <c r="R19" s="106">
        <v>18</v>
      </c>
      <c r="S19" s="106">
        <v>5940</v>
      </c>
      <c r="T19" s="106">
        <v>63</v>
      </c>
      <c r="U19" s="106">
        <v>20790</v>
      </c>
      <c r="V19" s="106">
        <v>31.009442060085846</v>
      </c>
      <c r="W19" s="106">
        <v>10233.115879828329</v>
      </c>
      <c r="X19" s="106">
        <v>13.679117873322509</v>
      </c>
      <c r="Y19" s="106">
        <v>4514.1088981964276</v>
      </c>
      <c r="Z19" s="106">
        <v>13.28604447278234</v>
      </c>
      <c r="AA19" s="106">
        <v>4384.3946760181725</v>
      </c>
      <c r="AB19" s="106">
        <v>87</v>
      </c>
      <c r="AC19" s="106">
        <v>28710</v>
      </c>
      <c r="AD19" s="106">
        <v>125</v>
      </c>
      <c r="AE19" s="106">
        <v>41250</v>
      </c>
      <c r="AF19" s="106">
        <v>96</v>
      </c>
      <c r="AG19" s="106">
        <v>31680</v>
      </c>
      <c r="AH19" s="106">
        <v>96</v>
      </c>
      <c r="AI19" s="106">
        <v>31680</v>
      </c>
      <c r="AJ19" s="106">
        <v>31</v>
      </c>
      <c r="AK19" s="106">
        <v>10230</v>
      </c>
      <c r="AL19" s="106">
        <v>66</v>
      </c>
      <c r="AM19" s="106">
        <v>21780</v>
      </c>
      <c r="AN19" s="106">
        <v>33</v>
      </c>
      <c r="AO19" s="106">
        <v>10890</v>
      </c>
      <c r="AP19" s="106">
        <v>46</v>
      </c>
      <c r="AQ19" s="106">
        <v>15180</v>
      </c>
      <c r="AR19" s="106">
        <v>75</v>
      </c>
      <c r="AS19" s="106">
        <v>24750</v>
      </c>
      <c r="AT19" s="106">
        <v>77</v>
      </c>
      <c r="AU19" s="106">
        <v>25410</v>
      </c>
      <c r="AV19" s="106">
        <v>65</v>
      </c>
      <c r="AW19" s="106">
        <v>21450</v>
      </c>
      <c r="AX19" s="106">
        <v>53</v>
      </c>
      <c r="AY19" s="106">
        <v>17490</v>
      </c>
      <c r="AZ19" s="106">
        <v>61</v>
      </c>
      <c r="BA19" s="106">
        <v>20130</v>
      </c>
      <c r="BB19" s="106">
        <v>54</v>
      </c>
      <c r="BC19" s="106">
        <v>17820</v>
      </c>
      <c r="BD19" s="106">
        <v>33</v>
      </c>
      <c r="BE19" s="106">
        <v>10890</v>
      </c>
      <c r="BF19" s="106">
        <v>48</v>
      </c>
      <c r="BG19" s="106">
        <v>15840</v>
      </c>
      <c r="BH19" s="106">
        <v>156</v>
      </c>
      <c r="BI19" s="106">
        <v>51480</v>
      </c>
      <c r="BJ19" s="106">
        <v>112</v>
      </c>
      <c r="BK19" s="106">
        <v>36960</v>
      </c>
      <c r="BL19" s="106">
        <v>154</v>
      </c>
      <c r="BM19" s="106">
        <v>50820</v>
      </c>
      <c r="BN19" s="106">
        <v>123</v>
      </c>
      <c r="BO19" s="106">
        <v>40590</v>
      </c>
      <c r="BP19" s="106">
        <v>77</v>
      </c>
      <c r="BQ19" s="106">
        <v>25410</v>
      </c>
      <c r="BR19" s="106">
        <v>105</v>
      </c>
      <c r="BS19" s="106">
        <v>34650</v>
      </c>
      <c r="BT19" s="106">
        <v>126</v>
      </c>
      <c r="BU19" s="106">
        <v>41580</v>
      </c>
      <c r="BV19" s="106">
        <v>99</v>
      </c>
      <c r="BW19" s="106">
        <v>32670</v>
      </c>
      <c r="BX19" s="106">
        <v>64</v>
      </c>
      <c r="BY19" s="106">
        <v>21120</v>
      </c>
      <c r="BZ19" s="106">
        <v>35.565672422815325</v>
      </c>
      <c r="CA19" s="106">
        <v>11736.671899529058</v>
      </c>
      <c r="CB19" s="106">
        <v>22.255891574795189</v>
      </c>
      <c r="CC19" s="106">
        <v>7344.444219682412</v>
      </c>
      <c r="CD19" s="106">
        <v>18.796041092458033</v>
      </c>
      <c r="CE19" s="106">
        <v>6202.6935605111512</v>
      </c>
      <c r="CF19" s="106">
        <v>5.8666197430934375</v>
      </c>
      <c r="CG19" s="106">
        <v>1935.9845152208343</v>
      </c>
      <c r="CH19" s="106">
        <v>5.8421101171262571</v>
      </c>
      <c r="CI19" s="106">
        <v>1927.8963386516648</v>
      </c>
      <c r="CJ19" s="106">
        <v>8.184942716857611</v>
      </c>
      <c r="CK19" s="106">
        <v>2701.0310965630115</v>
      </c>
      <c r="CL19" s="106">
        <v>6.866557967905262</v>
      </c>
      <c r="CM19" s="106">
        <v>2265.9641294087364</v>
      </c>
      <c r="CN19" s="106">
        <v>29</v>
      </c>
      <c r="CO19" s="106">
        <v>9570</v>
      </c>
      <c r="CP19" s="106">
        <v>41</v>
      </c>
      <c r="CQ19" s="106">
        <v>13530</v>
      </c>
      <c r="CR19" s="106">
        <v>36</v>
      </c>
      <c r="CS19" s="106">
        <v>11880</v>
      </c>
      <c r="CT19" s="106">
        <v>45</v>
      </c>
      <c r="CU19" s="106">
        <v>14850</v>
      </c>
    </row>
    <row r="20" spans="2:99" x14ac:dyDescent="0.2">
      <c r="B20" s="105" t="s">
        <v>127</v>
      </c>
      <c r="C20" s="105" t="s">
        <v>185</v>
      </c>
      <c r="D20" s="106">
        <v>39</v>
      </c>
      <c r="E20" s="106">
        <v>11185.2</v>
      </c>
      <c r="F20" s="106">
        <v>33</v>
      </c>
      <c r="G20" s="106">
        <v>9464.4</v>
      </c>
      <c r="H20" s="106">
        <v>43</v>
      </c>
      <c r="I20" s="106">
        <v>12332.4</v>
      </c>
      <c r="J20" s="106">
        <v>32</v>
      </c>
      <c r="K20" s="106">
        <v>9177.6</v>
      </c>
      <c r="L20" s="106">
        <v>45</v>
      </c>
      <c r="M20" s="106">
        <v>12906</v>
      </c>
      <c r="N20" s="106">
        <v>48</v>
      </c>
      <c r="O20" s="106">
        <v>13766.400000000001</v>
      </c>
      <c r="P20" s="106">
        <v>60</v>
      </c>
      <c r="Q20" s="106">
        <v>17208</v>
      </c>
      <c r="R20" s="106">
        <v>57</v>
      </c>
      <c r="S20" s="106">
        <v>16347.6</v>
      </c>
      <c r="T20" s="106">
        <v>302</v>
      </c>
      <c r="U20" s="106">
        <v>86613.6</v>
      </c>
      <c r="V20" s="106">
        <v>168.82918454935626</v>
      </c>
      <c r="W20" s="106">
        <v>48420.210128755374</v>
      </c>
      <c r="X20" s="106">
        <v>108.86297974185828</v>
      </c>
      <c r="Y20" s="106">
        <v>31221.902589964957</v>
      </c>
      <c r="Z20" s="106">
        <v>107.08551845062567</v>
      </c>
      <c r="AA20" s="106">
        <v>30712.126691639445</v>
      </c>
      <c r="AB20" s="106">
        <v>37</v>
      </c>
      <c r="AC20" s="106">
        <v>10611.6</v>
      </c>
      <c r="AD20" s="106">
        <v>68</v>
      </c>
      <c r="AE20" s="106">
        <v>19502.400000000001</v>
      </c>
      <c r="AF20" s="106">
        <v>56</v>
      </c>
      <c r="AG20" s="106">
        <v>16060.800000000001</v>
      </c>
      <c r="AH20" s="106">
        <v>43</v>
      </c>
      <c r="AI20" s="106">
        <v>12332.4</v>
      </c>
      <c r="AJ20" s="106">
        <v>73</v>
      </c>
      <c r="AK20" s="106">
        <v>20936.400000000001</v>
      </c>
      <c r="AL20" s="106">
        <v>78</v>
      </c>
      <c r="AM20" s="106">
        <v>22370.400000000001</v>
      </c>
      <c r="AN20" s="106">
        <v>49</v>
      </c>
      <c r="AO20" s="106">
        <v>14053.2</v>
      </c>
      <c r="AP20" s="106">
        <v>68</v>
      </c>
      <c r="AQ20" s="106">
        <v>19502.400000000001</v>
      </c>
      <c r="AR20" s="106">
        <v>31</v>
      </c>
      <c r="AS20" s="106">
        <v>8890.8000000000011</v>
      </c>
      <c r="AT20" s="106">
        <v>29</v>
      </c>
      <c r="AU20" s="106">
        <v>8317.2000000000007</v>
      </c>
      <c r="AV20" s="106">
        <v>38</v>
      </c>
      <c r="AW20" s="106">
        <v>10898.4</v>
      </c>
      <c r="AX20" s="106">
        <v>51</v>
      </c>
      <c r="AY20" s="106">
        <v>14626.800000000001</v>
      </c>
      <c r="AZ20" s="106">
        <v>47</v>
      </c>
      <c r="BA20" s="106">
        <v>13479.6</v>
      </c>
      <c r="BB20" s="106">
        <v>45</v>
      </c>
      <c r="BC20" s="106">
        <v>12906</v>
      </c>
      <c r="BD20" s="106">
        <v>26</v>
      </c>
      <c r="BE20" s="106">
        <v>7456.8</v>
      </c>
      <c r="BF20" s="106">
        <v>26</v>
      </c>
      <c r="BG20" s="106">
        <v>7456.8</v>
      </c>
      <c r="BH20" s="106">
        <v>21</v>
      </c>
      <c r="BI20" s="106">
        <v>6022.8</v>
      </c>
      <c r="BJ20" s="106">
        <v>39</v>
      </c>
      <c r="BK20" s="106">
        <v>11185.2</v>
      </c>
      <c r="BL20" s="106">
        <v>20</v>
      </c>
      <c r="BM20" s="106">
        <v>5736</v>
      </c>
      <c r="BN20" s="106">
        <v>29</v>
      </c>
      <c r="BO20" s="106">
        <v>8317.2000000000007</v>
      </c>
      <c r="BP20" s="106">
        <v>60</v>
      </c>
      <c r="BQ20" s="106">
        <v>17208</v>
      </c>
      <c r="BR20" s="106">
        <v>71</v>
      </c>
      <c r="BS20" s="106">
        <v>20362.8</v>
      </c>
      <c r="BT20" s="106">
        <v>66</v>
      </c>
      <c r="BU20" s="106">
        <v>18928.8</v>
      </c>
      <c r="BV20" s="106">
        <v>75</v>
      </c>
      <c r="BW20" s="106">
        <v>21510</v>
      </c>
      <c r="BX20" s="106">
        <v>560</v>
      </c>
      <c r="BY20" s="106">
        <v>160608</v>
      </c>
      <c r="BZ20" s="106">
        <v>213.39403453689195</v>
      </c>
      <c r="CA20" s="106">
        <v>61201.409105180617</v>
      </c>
      <c r="CB20" s="106">
        <v>189.5122888641651</v>
      </c>
      <c r="CC20" s="106">
        <v>54352.124446242553</v>
      </c>
      <c r="CD20" s="106">
        <v>173.75895765472316</v>
      </c>
      <c r="CE20" s="106">
        <v>49834.069055374603</v>
      </c>
      <c r="CF20" s="106">
        <v>119.9723737462608</v>
      </c>
      <c r="CG20" s="106">
        <v>34408.0767904276</v>
      </c>
      <c r="CH20" s="106">
        <v>76.869869962187593</v>
      </c>
      <c r="CI20" s="106">
        <v>22046.278705155404</v>
      </c>
      <c r="CJ20" s="106">
        <v>108.52627750500092</v>
      </c>
      <c r="CK20" s="106">
        <v>31125.336388434265</v>
      </c>
      <c r="CL20" s="106">
        <v>117.87591178237366</v>
      </c>
      <c r="CM20" s="106">
        <v>33806.811499184769</v>
      </c>
      <c r="CN20" s="106">
        <v>61</v>
      </c>
      <c r="CO20" s="106">
        <v>17494.8</v>
      </c>
      <c r="CP20" s="106">
        <v>50</v>
      </c>
      <c r="CQ20" s="106">
        <v>14340</v>
      </c>
      <c r="CR20" s="106">
        <v>47</v>
      </c>
      <c r="CS20" s="106">
        <v>13479.6</v>
      </c>
      <c r="CT20" s="106">
        <v>48</v>
      </c>
      <c r="CU20" s="106">
        <v>13766.400000000001</v>
      </c>
    </row>
    <row r="21" spans="2:99" x14ac:dyDescent="0.2">
      <c r="C21" s="105" t="s">
        <v>186</v>
      </c>
      <c r="D21" s="106">
        <v>34</v>
      </c>
      <c r="E21" s="106">
        <v>2121.6</v>
      </c>
      <c r="F21" s="106">
        <v>37</v>
      </c>
      <c r="G21" s="106">
        <v>2308.7999999999997</v>
      </c>
      <c r="H21" s="106">
        <v>39</v>
      </c>
      <c r="I21" s="106">
        <v>2433.6</v>
      </c>
      <c r="J21" s="106">
        <v>38</v>
      </c>
      <c r="K21" s="106">
        <v>2371.1999999999998</v>
      </c>
      <c r="L21" s="106">
        <v>50</v>
      </c>
      <c r="M21" s="106">
        <v>3120</v>
      </c>
      <c r="N21" s="106">
        <v>49</v>
      </c>
      <c r="O21" s="106">
        <v>3057.6</v>
      </c>
      <c r="P21" s="106">
        <v>62</v>
      </c>
      <c r="Q21" s="106">
        <v>3868.7999999999997</v>
      </c>
      <c r="R21" s="106">
        <v>62</v>
      </c>
      <c r="S21" s="106">
        <v>3868.7999999999997</v>
      </c>
      <c r="T21" s="106">
        <v>347</v>
      </c>
      <c r="U21" s="106">
        <v>21652.799999999999</v>
      </c>
      <c r="V21" s="106">
        <v>189.50214592274685</v>
      </c>
      <c r="W21" s="106">
        <v>11824.933905579403</v>
      </c>
      <c r="X21" s="106">
        <v>121.97213437045903</v>
      </c>
      <c r="Y21" s="106">
        <v>7611.0611847166438</v>
      </c>
      <c r="Z21" s="106">
        <v>103.63114688770226</v>
      </c>
      <c r="AA21" s="106">
        <v>6466.5835657926209</v>
      </c>
      <c r="AB21" s="106">
        <v>41</v>
      </c>
      <c r="AC21" s="106">
        <v>2558.4</v>
      </c>
      <c r="AD21" s="106">
        <v>62</v>
      </c>
      <c r="AE21" s="106">
        <v>3868.7999999999997</v>
      </c>
      <c r="AF21" s="106">
        <v>55</v>
      </c>
      <c r="AG21" s="106">
        <v>3432</v>
      </c>
      <c r="AH21" s="106">
        <v>40</v>
      </c>
      <c r="AI21" s="106">
        <v>2496</v>
      </c>
      <c r="AJ21" s="106">
        <v>72</v>
      </c>
      <c r="AK21" s="106">
        <v>4492.8</v>
      </c>
      <c r="AL21" s="106">
        <v>77</v>
      </c>
      <c r="AM21" s="106">
        <v>4804.8</v>
      </c>
      <c r="AN21" s="106">
        <v>44</v>
      </c>
      <c r="AO21" s="106">
        <v>2745.6</v>
      </c>
      <c r="AP21" s="106">
        <v>73</v>
      </c>
      <c r="AQ21" s="106">
        <v>4555.2</v>
      </c>
      <c r="AR21" s="106">
        <v>34</v>
      </c>
      <c r="AS21" s="106">
        <v>2121.6</v>
      </c>
      <c r="AT21" s="106">
        <v>33</v>
      </c>
      <c r="AU21" s="106">
        <v>2059.1999999999998</v>
      </c>
      <c r="AV21" s="106">
        <v>40</v>
      </c>
      <c r="AW21" s="106">
        <v>2496</v>
      </c>
      <c r="AX21" s="106">
        <v>54</v>
      </c>
      <c r="AY21" s="106">
        <v>3369.6</v>
      </c>
      <c r="AZ21" s="106">
        <v>57</v>
      </c>
      <c r="BA21" s="106">
        <v>3556.7999999999997</v>
      </c>
      <c r="BB21" s="106">
        <v>43</v>
      </c>
      <c r="BC21" s="106">
        <v>2683.2</v>
      </c>
      <c r="BD21" s="106">
        <v>25</v>
      </c>
      <c r="BE21" s="106">
        <v>1560</v>
      </c>
      <c r="BF21" s="106">
        <v>31</v>
      </c>
      <c r="BG21" s="106">
        <v>1934.3999999999999</v>
      </c>
      <c r="BH21" s="106">
        <v>22</v>
      </c>
      <c r="BI21" s="106">
        <v>1372.8</v>
      </c>
      <c r="BJ21" s="106">
        <v>41</v>
      </c>
      <c r="BK21" s="106">
        <v>2558.4</v>
      </c>
      <c r="BL21" s="106">
        <v>23</v>
      </c>
      <c r="BM21" s="106">
        <v>1435.2</v>
      </c>
      <c r="BN21" s="106">
        <v>34</v>
      </c>
      <c r="BO21" s="106">
        <v>2121.6</v>
      </c>
      <c r="BP21" s="106">
        <v>56</v>
      </c>
      <c r="BQ21" s="106">
        <v>3494.4</v>
      </c>
      <c r="BR21" s="106">
        <v>81</v>
      </c>
      <c r="BS21" s="106">
        <v>5054.3999999999996</v>
      </c>
      <c r="BT21" s="106">
        <v>66</v>
      </c>
      <c r="BU21" s="106">
        <v>4118.3999999999996</v>
      </c>
      <c r="BV21" s="106">
        <v>74</v>
      </c>
      <c r="BW21" s="106">
        <v>4617.5999999999995</v>
      </c>
      <c r="BX21" s="106">
        <v>623</v>
      </c>
      <c r="BY21" s="106">
        <v>38875.199999999997</v>
      </c>
      <c r="BZ21" s="106">
        <v>224.37755102040845</v>
      </c>
      <c r="CA21" s="106">
        <v>14001.159183673486</v>
      </c>
      <c r="CB21" s="106">
        <v>180.7448164256094</v>
      </c>
      <c r="CC21" s="106">
        <v>11278.476544958026</v>
      </c>
      <c r="CD21" s="106">
        <v>218.03407667251321</v>
      </c>
      <c r="CE21" s="106">
        <v>13605.326384364824</v>
      </c>
      <c r="CF21" s="106">
        <v>124.66566954073555</v>
      </c>
      <c r="CG21" s="106">
        <v>7779.1377793418978</v>
      </c>
      <c r="CH21" s="106">
        <v>82.404500599465109</v>
      </c>
      <c r="CI21" s="106">
        <v>5142.0408374066228</v>
      </c>
      <c r="CJ21" s="106">
        <v>117.92380432805966</v>
      </c>
      <c r="CK21" s="106">
        <v>7358.4453900709223</v>
      </c>
      <c r="CL21" s="106">
        <v>132.46734746417232</v>
      </c>
      <c r="CM21" s="106">
        <v>8265.9624817643526</v>
      </c>
      <c r="CN21" s="106">
        <v>59</v>
      </c>
      <c r="CO21" s="106">
        <v>3681.6</v>
      </c>
      <c r="CP21" s="106">
        <v>50</v>
      </c>
      <c r="CQ21" s="106">
        <v>3120</v>
      </c>
      <c r="CR21" s="106">
        <v>44</v>
      </c>
      <c r="CS21" s="106">
        <v>2745.6</v>
      </c>
      <c r="CT21" s="106">
        <v>53</v>
      </c>
      <c r="CU21" s="106">
        <v>3307.2</v>
      </c>
    </row>
    <row r="22" spans="2:99" x14ac:dyDescent="0.2">
      <c r="C22" s="105" t="s">
        <v>187</v>
      </c>
      <c r="D22" s="106">
        <v>34</v>
      </c>
      <c r="E22" s="106">
        <v>6364.7999999999993</v>
      </c>
      <c r="F22" s="106">
        <v>32</v>
      </c>
      <c r="G22" s="106">
        <v>5990.4</v>
      </c>
      <c r="H22" s="106">
        <v>40</v>
      </c>
      <c r="I22" s="106">
        <v>7488</v>
      </c>
      <c r="J22" s="106">
        <v>37</v>
      </c>
      <c r="K22" s="106">
        <v>6926.4</v>
      </c>
      <c r="L22" s="106">
        <v>49</v>
      </c>
      <c r="M22" s="106">
        <v>9172.7999999999993</v>
      </c>
      <c r="N22" s="106">
        <v>48</v>
      </c>
      <c r="O22" s="106">
        <v>8985.5999999999985</v>
      </c>
      <c r="P22" s="106">
        <v>62</v>
      </c>
      <c r="Q22" s="106">
        <v>11606.4</v>
      </c>
      <c r="R22" s="106">
        <v>51</v>
      </c>
      <c r="S22" s="106">
        <v>9547.1999999999989</v>
      </c>
      <c r="T22" s="106">
        <v>317</v>
      </c>
      <c r="U22" s="106">
        <v>59342.399999999994</v>
      </c>
      <c r="V22" s="106">
        <v>167.68068669527901</v>
      </c>
      <c r="W22" s="106">
        <v>31389.824549356228</v>
      </c>
      <c r="X22" s="106">
        <v>111.99777758782804</v>
      </c>
      <c r="Y22" s="106">
        <v>20965.983964441406</v>
      </c>
      <c r="Z22" s="106">
        <v>117.71435402885155</v>
      </c>
      <c r="AA22" s="106">
        <v>22036.127074201009</v>
      </c>
      <c r="AB22" s="106">
        <v>41</v>
      </c>
      <c r="AC22" s="106">
        <v>7675.2</v>
      </c>
      <c r="AD22" s="106">
        <v>68</v>
      </c>
      <c r="AE22" s="106">
        <v>12729.599999999999</v>
      </c>
      <c r="AF22" s="106">
        <v>53</v>
      </c>
      <c r="AG22" s="106">
        <v>9921.5999999999985</v>
      </c>
      <c r="AH22" s="106">
        <v>42</v>
      </c>
      <c r="AI22" s="106">
        <v>7862.4</v>
      </c>
      <c r="AJ22" s="106">
        <v>78</v>
      </c>
      <c r="AK22" s="106">
        <v>14601.599999999999</v>
      </c>
      <c r="AL22" s="106">
        <v>79</v>
      </c>
      <c r="AM22" s="106">
        <v>14788.8</v>
      </c>
      <c r="AN22" s="106">
        <v>51</v>
      </c>
      <c r="AO22" s="106">
        <v>9547.1999999999989</v>
      </c>
      <c r="AP22" s="106">
        <v>72</v>
      </c>
      <c r="AQ22" s="106">
        <v>13478.4</v>
      </c>
      <c r="AR22" s="106">
        <v>34</v>
      </c>
      <c r="AS22" s="106">
        <v>6364.7999999999993</v>
      </c>
      <c r="AT22" s="106">
        <v>29</v>
      </c>
      <c r="AU22" s="106">
        <v>5428.7999999999993</v>
      </c>
      <c r="AV22" s="106">
        <v>37</v>
      </c>
      <c r="AW22" s="106">
        <v>6926.4</v>
      </c>
      <c r="AX22" s="106">
        <v>54</v>
      </c>
      <c r="AY22" s="106">
        <v>10108.799999999999</v>
      </c>
      <c r="AZ22" s="106">
        <v>49</v>
      </c>
      <c r="BA22" s="106">
        <v>9172.7999999999993</v>
      </c>
      <c r="BB22" s="106">
        <v>43</v>
      </c>
      <c r="BC22" s="106">
        <v>8049.5999999999995</v>
      </c>
      <c r="BD22" s="106">
        <v>27</v>
      </c>
      <c r="BE22" s="106">
        <v>5054.3999999999996</v>
      </c>
      <c r="BF22" s="106">
        <v>26</v>
      </c>
      <c r="BG22" s="106">
        <v>4867.2</v>
      </c>
      <c r="BH22" s="106">
        <v>26</v>
      </c>
      <c r="BI22" s="106">
        <v>4867.2</v>
      </c>
      <c r="BJ22" s="106">
        <v>43</v>
      </c>
      <c r="BK22" s="106">
        <v>8049.5999999999995</v>
      </c>
      <c r="BL22" s="106">
        <v>20</v>
      </c>
      <c r="BM22" s="106">
        <v>3744</v>
      </c>
      <c r="BN22" s="106">
        <v>28</v>
      </c>
      <c r="BO22" s="106">
        <v>5241.5999999999995</v>
      </c>
      <c r="BP22" s="106">
        <v>60</v>
      </c>
      <c r="BQ22" s="106">
        <v>11232</v>
      </c>
      <c r="BR22" s="106">
        <v>70</v>
      </c>
      <c r="BS22" s="106">
        <v>13104</v>
      </c>
      <c r="BT22" s="106">
        <v>61</v>
      </c>
      <c r="BU22" s="106">
        <v>11419.199999999999</v>
      </c>
      <c r="BV22" s="106">
        <v>76</v>
      </c>
      <c r="BW22" s="106">
        <v>14227.199999999999</v>
      </c>
      <c r="BX22" s="106">
        <v>596</v>
      </c>
      <c r="BY22" s="106">
        <v>111571.2</v>
      </c>
      <c r="BZ22" s="106">
        <v>206.07169021454763</v>
      </c>
      <c r="CA22" s="106">
        <v>38576.620408163311</v>
      </c>
      <c r="CB22" s="106">
        <v>202.32628704359263</v>
      </c>
      <c r="CC22" s="106">
        <v>37875.480934560539</v>
      </c>
      <c r="CD22" s="106">
        <v>194.64344775745431</v>
      </c>
      <c r="CE22" s="106">
        <v>36437.253420195448</v>
      </c>
      <c r="CF22" s="106">
        <v>122.0256906563435</v>
      </c>
      <c r="CG22" s="106">
        <v>22843.2092908675</v>
      </c>
      <c r="CH22" s="106">
        <v>76.869869962187593</v>
      </c>
      <c r="CI22" s="106">
        <v>14390.039656921517</v>
      </c>
      <c r="CJ22" s="106">
        <v>107.01054737224952</v>
      </c>
      <c r="CK22" s="106">
        <v>20032.374468085109</v>
      </c>
      <c r="CL22" s="106">
        <v>118.73423152836182</v>
      </c>
      <c r="CM22" s="106">
        <v>22227.048142109332</v>
      </c>
      <c r="CN22" s="106">
        <v>67</v>
      </c>
      <c r="CO22" s="106">
        <v>12542.4</v>
      </c>
      <c r="CP22" s="106">
        <v>45</v>
      </c>
      <c r="CQ22" s="106">
        <v>8424</v>
      </c>
      <c r="CR22" s="106">
        <v>43</v>
      </c>
      <c r="CS22" s="106">
        <v>8049.5999999999995</v>
      </c>
      <c r="CT22" s="106">
        <v>57</v>
      </c>
      <c r="CU22" s="106">
        <v>10670.4</v>
      </c>
    </row>
    <row r="23" spans="2:99" x14ac:dyDescent="0.2">
      <c r="C23" s="105" t="s">
        <v>188</v>
      </c>
      <c r="D23" s="106">
        <v>36</v>
      </c>
      <c r="E23" s="106">
        <v>10584</v>
      </c>
      <c r="F23" s="106">
        <v>31</v>
      </c>
      <c r="G23" s="106">
        <v>9114</v>
      </c>
      <c r="H23" s="106">
        <v>43</v>
      </c>
      <c r="I23" s="106">
        <v>12642</v>
      </c>
      <c r="J23" s="106">
        <v>31</v>
      </c>
      <c r="K23" s="106">
        <v>9114</v>
      </c>
      <c r="L23" s="106">
        <v>40</v>
      </c>
      <c r="M23" s="106">
        <v>11760</v>
      </c>
      <c r="N23" s="106">
        <v>48</v>
      </c>
      <c r="O23" s="106">
        <v>14112</v>
      </c>
      <c r="P23" s="106">
        <v>59</v>
      </c>
      <c r="Q23" s="106">
        <v>17346</v>
      </c>
      <c r="R23" s="106">
        <v>58</v>
      </c>
      <c r="S23" s="106">
        <v>17052</v>
      </c>
      <c r="T23" s="106">
        <v>279</v>
      </c>
      <c r="U23" s="106">
        <v>82026</v>
      </c>
      <c r="V23" s="106">
        <v>170.55193133047217</v>
      </c>
      <c r="W23" s="106">
        <v>50142.267811158817</v>
      </c>
      <c r="X23" s="106">
        <v>110.28788785366271</v>
      </c>
      <c r="Y23" s="106">
        <v>32424.639028976835</v>
      </c>
      <c r="Z23" s="106">
        <v>112.39993623973861</v>
      </c>
      <c r="AA23" s="106">
        <v>33045.58125448315</v>
      </c>
      <c r="AB23" s="106">
        <v>36</v>
      </c>
      <c r="AC23" s="106">
        <v>10584</v>
      </c>
      <c r="AD23" s="106">
        <v>71</v>
      </c>
      <c r="AE23" s="106">
        <v>20874</v>
      </c>
      <c r="AF23" s="106">
        <v>53</v>
      </c>
      <c r="AG23" s="106">
        <v>15582</v>
      </c>
      <c r="AH23" s="106">
        <v>42</v>
      </c>
      <c r="AI23" s="106">
        <v>12348</v>
      </c>
      <c r="AJ23" s="106">
        <v>70</v>
      </c>
      <c r="AK23" s="106">
        <v>20580</v>
      </c>
      <c r="AL23" s="106">
        <v>82</v>
      </c>
      <c r="AM23" s="106">
        <v>24108</v>
      </c>
      <c r="AN23" s="106">
        <v>50</v>
      </c>
      <c r="AO23" s="106">
        <v>14700</v>
      </c>
      <c r="AP23" s="106">
        <v>72</v>
      </c>
      <c r="AQ23" s="106">
        <v>21168</v>
      </c>
      <c r="AR23" s="106">
        <v>31</v>
      </c>
      <c r="AS23" s="106">
        <v>9114</v>
      </c>
      <c r="AT23" s="106">
        <v>29</v>
      </c>
      <c r="AU23" s="106">
        <v>8526</v>
      </c>
      <c r="AV23" s="106">
        <v>37</v>
      </c>
      <c r="AW23" s="106">
        <v>10878</v>
      </c>
      <c r="AX23" s="106">
        <v>56</v>
      </c>
      <c r="AY23" s="106">
        <v>16464</v>
      </c>
      <c r="AZ23" s="106">
        <v>54</v>
      </c>
      <c r="BA23" s="106">
        <v>15876</v>
      </c>
      <c r="BB23" s="106">
        <v>44</v>
      </c>
      <c r="BC23" s="106">
        <v>12936</v>
      </c>
      <c r="BD23" s="106">
        <v>28</v>
      </c>
      <c r="BE23" s="106">
        <v>8232</v>
      </c>
      <c r="BF23" s="106">
        <v>25</v>
      </c>
      <c r="BG23" s="106">
        <v>7350</v>
      </c>
      <c r="BH23" s="106">
        <v>25</v>
      </c>
      <c r="BI23" s="106">
        <v>7350</v>
      </c>
      <c r="BJ23" s="106">
        <v>40</v>
      </c>
      <c r="BK23" s="106">
        <v>11760</v>
      </c>
      <c r="BL23" s="106">
        <v>23</v>
      </c>
      <c r="BM23" s="106">
        <v>6762</v>
      </c>
      <c r="BN23" s="106">
        <v>28</v>
      </c>
      <c r="BO23" s="106">
        <v>8232</v>
      </c>
      <c r="BP23" s="106">
        <v>58</v>
      </c>
      <c r="BQ23" s="106">
        <v>17052</v>
      </c>
      <c r="BR23" s="106">
        <v>69</v>
      </c>
      <c r="BS23" s="106">
        <v>20286</v>
      </c>
      <c r="BT23" s="106">
        <v>62</v>
      </c>
      <c r="BU23" s="106">
        <v>18228</v>
      </c>
      <c r="BV23" s="106">
        <v>79</v>
      </c>
      <c r="BW23" s="106">
        <v>23226</v>
      </c>
      <c r="BX23" s="106">
        <v>545</v>
      </c>
      <c r="BY23" s="106">
        <v>160230</v>
      </c>
      <c r="BZ23" s="106">
        <v>215.4861329147046</v>
      </c>
      <c r="CA23" s="106">
        <v>63352.923076923151</v>
      </c>
      <c r="CB23" s="106">
        <v>171.64013350864775</v>
      </c>
      <c r="CC23" s="106">
        <v>50462.199251542435</v>
      </c>
      <c r="CD23" s="106">
        <v>172.50588824855927</v>
      </c>
      <c r="CE23" s="106">
        <v>50716.731145076425</v>
      </c>
      <c r="CF23" s="106">
        <v>112.93243005454868</v>
      </c>
      <c r="CG23" s="106">
        <v>33202.134436037311</v>
      </c>
      <c r="CH23" s="106">
        <v>81.174582680070102</v>
      </c>
      <c r="CI23" s="106">
        <v>23865.32730794061</v>
      </c>
      <c r="CJ23" s="106">
        <v>113.982905982906</v>
      </c>
      <c r="CK23" s="106">
        <v>33510.974358974367</v>
      </c>
      <c r="CL23" s="106">
        <v>117.87591178237366</v>
      </c>
      <c r="CM23" s="106">
        <v>34655.518064017859</v>
      </c>
      <c r="CN23" s="106">
        <v>64</v>
      </c>
      <c r="CO23" s="106">
        <v>18816</v>
      </c>
      <c r="CP23" s="106">
        <v>44</v>
      </c>
      <c r="CQ23" s="106">
        <v>12936</v>
      </c>
      <c r="CR23" s="106">
        <v>48</v>
      </c>
      <c r="CS23" s="106">
        <v>14112</v>
      </c>
      <c r="CT23" s="106">
        <v>48</v>
      </c>
      <c r="CU23" s="106">
        <v>14112</v>
      </c>
    </row>
    <row r="24" spans="2:99" x14ac:dyDescent="0.2">
      <c r="C24" s="105" t="s">
        <v>189</v>
      </c>
      <c r="D24" s="106">
        <v>39</v>
      </c>
      <c r="E24" s="106">
        <v>14320.8</v>
      </c>
      <c r="F24" s="106">
        <v>36</v>
      </c>
      <c r="G24" s="106">
        <v>13219.199999999999</v>
      </c>
      <c r="H24" s="106">
        <v>38</v>
      </c>
      <c r="I24" s="106">
        <v>13953.6</v>
      </c>
      <c r="J24" s="106">
        <v>36</v>
      </c>
      <c r="K24" s="106">
        <v>13219.199999999999</v>
      </c>
      <c r="L24" s="106">
        <v>48</v>
      </c>
      <c r="M24" s="106">
        <v>17625.599999999999</v>
      </c>
      <c r="N24" s="106">
        <v>45</v>
      </c>
      <c r="O24" s="106">
        <v>16524</v>
      </c>
      <c r="P24" s="106">
        <v>60</v>
      </c>
      <c r="Q24" s="106">
        <v>22032</v>
      </c>
      <c r="R24" s="106">
        <v>52</v>
      </c>
      <c r="S24" s="106">
        <v>19094.399999999998</v>
      </c>
      <c r="T24" s="106">
        <v>311</v>
      </c>
      <c r="U24" s="106">
        <v>114199.2</v>
      </c>
      <c r="V24" s="106">
        <v>183.75965665236058</v>
      </c>
      <c r="W24" s="106">
        <v>67476.545922746795</v>
      </c>
      <c r="X24" s="106">
        <v>121.68715274809814</v>
      </c>
      <c r="Y24" s="106">
        <v>44683.522489101633</v>
      </c>
      <c r="Z24" s="106">
        <v>103.89686777715789</v>
      </c>
      <c r="AA24" s="106">
        <v>38150.929847772379</v>
      </c>
      <c r="AB24" s="106">
        <v>39</v>
      </c>
      <c r="AC24" s="106">
        <v>14320.8</v>
      </c>
      <c r="AD24" s="106">
        <v>66</v>
      </c>
      <c r="AE24" s="106">
        <v>24235.200000000001</v>
      </c>
      <c r="AF24" s="106">
        <v>62</v>
      </c>
      <c r="AG24" s="106">
        <v>22766.399999999998</v>
      </c>
      <c r="AH24" s="106">
        <v>38</v>
      </c>
      <c r="AI24" s="106">
        <v>13953.6</v>
      </c>
      <c r="AJ24" s="106">
        <v>80</v>
      </c>
      <c r="AK24" s="106">
        <v>29376</v>
      </c>
      <c r="AL24" s="106">
        <v>69</v>
      </c>
      <c r="AM24" s="106">
        <v>25336.799999999999</v>
      </c>
      <c r="AN24" s="106">
        <v>48</v>
      </c>
      <c r="AO24" s="106">
        <v>17625.599999999999</v>
      </c>
      <c r="AP24" s="106">
        <v>73</v>
      </c>
      <c r="AQ24" s="106">
        <v>26805.599999999999</v>
      </c>
      <c r="AR24" s="106">
        <v>29</v>
      </c>
      <c r="AS24" s="106">
        <v>10648.8</v>
      </c>
      <c r="AT24" s="106">
        <v>26</v>
      </c>
      <c r="AU24" s="106">
        <v>9547.1999999999989</v>
      </c>
      <c r="AV24" s="106">
        <v>40</v>
      </c>
      <c r="AW24" s="106">
        <v>14688</v>
      </c>
      <c r="AX24" s="106">
        <v>50</v>
      </c>
      <c r="AY24" s="106">
        <v>18360</v>
      </c>
      <c r="AZ24" s="106">
        <v>49</v>
      </c>
      <c r="BA24" s="106">
        <v>17992.8</v>
      </c>
      <c r="BB24" s="106">
        <v>41</v>
      </c>
      <c r="BC24" s="106">
        <v>15055.199999999999</v>
      </c>
      <c r="BD24" s="106">
        <v>27</v>
      </c>
      <c r="BE24" s="106">
        <v>9914.4</v>
      </c>
      <c r="BF24" s="106">
        <v>27</v>
      </c>
      <c r="BG24" s="106">
        <v>9914.4</v>
      </c>
      <c r="BH24" s="106">
        <v>23</v>
      </c>
      <c r="BI24" s="106">
        <v>8445.6</v>
      </c>
      <c r="BJ24" s="106">
        <v>36</v>
      </c>
      <c r="BK24" s="106">
        <v>13219.199999999999</v>
      </c>
      <c r="BL24" s="106">
        <v>20</v>
      </c>
      <c r="BM24" s="106">
        <v>7344</v>
      </c>
      <c r="BN24" s="106">
        <v>32</v>
      </c>
      <c r="BO24" s="106">
        <v>11750.4</v>
      </c>
      <c r="BP24" s="106">
        <v>61</v>
      </c>
      <c r="BQ24" s="106">
        <v>22399.200000000001</v>
      </c>
      <c r="BR24" s="106">
        <v>71</v>
      </c>
      <c r="BS24" s="106">
        <v>26071.200000000001</v>
      </c>
      <c r="BT24" s="106">
        <v>64</v>
      </c>
      <c r="BU24" s="106">
        <v>23500.799999999999</v>
      </c>
      <c r="BV24" s="106">
        <v>81</v>
      </c>
      <c r="BW24" s="106">
        <v>29743.200000000001</v>
      </c>
      <c r="BX24" s="106">
        <v>570</v>
      </c>
      <c r="BY24" s="106">
        <v>209304</v>
      </c>
      <c r="BZ24" s="106">
        <v>203.45656724228181</v>
      </c>
      <c r="CA24" s="106">
        <v>74709.251491365882</v>
      </c>
      <c r="CB24" s="106">
        <v>177.03550116314352</v>
      </c>
      <c r="CC24" s="106">
        <v>65007.436027106298</v>
      </c>
      <c r="CD24" s="106">
        <v>162.0636431971937</v>
      </c>
      <c r="CE24" s="106">
        <v>59509.769782009527</v>
      </c>
      <c r="CF24" s="106">
        <v>100.02586661974311</v>
      </c>
      <c r="CG24" s="106">
        <v>36729.498222769667</v>
      </c>
      <c r="CH24" s="106">
        <v>72.565157244305098</v>
      </c>
      <c r="CI24" s="106">
        <v>26645.925740108833</v>
      </c>
      <c r="CJ24" s="106">
        <v>115.19549008910712</v>
      </c>
      <c r="CK24" s="106">
        <v>42299.783960720131</v>
      </c>
      <c r="CL24" s="106">
        <v>109.00660774049604</v>
      </c>
      <c r="CM24" s="106">
        <v>40027.226362310146</v>
      </c>
      <c r="CN24" s="106">
        <v>61</v>
      </c>
      <c r="CO24" s="106">
        <v>22399.200000000001</v>
      </c>
      <c r="CP24" s="106">
        <v>47</v>
      </c>
      <c r="CQ24" s="106">
        <v>17258.399999999998</v>
      </c>
      <c r="CR24" s="106">
        <v>44</v>
      </c>
      <c r="CS24" s="106">
        <v>16156.8</v>
      </c>
      <c r="CT24" s="106">
        <v>49</v>
      </c>
      <c r="CU24" s="106">
        <v>17992.8</v>
      </c>
    </row>
    <row r="25" spans="2:99" x14ac:dyDescent="0.2">
      <c r="C25" s="105" t="s">
        <v>190</v>
      </c>
      <c r="D25" s="106">
        <v>34</v>
      </c>
      <c r="E25" s="106">
        <v>18033.599999999999</v>
      </c>
      <c r="F25" s="106">
        <v>32</v>
      </c>
      <c r="G25" s="106">
        <v>16972.8</v>
      </c>
      <c r="H25" s="106">
        <v>39</v>
      </c>
      <c r="I25" s="106">
        <v>20685.599999999999</v>
      </c>
      <c r="J25" s="106">
        <v>34</v>
      </c>
      <c r="K25" s="106">
        <v>18033.599999999999</v>
      </c>
      <c r="L25" s="106">
        <v>45</v>
      </c>
      <c r="M25" s="106">
        <v>23868</v>
      </c>
      <c r="N25" s="106">
        <v>45</v>
      </c>
      <c r="O25" s="106">
        <v>23868</v>
      </c>
      <c r="P25" s="106">
        <v>54</v>
      </c>
      <c r="Q25" s="106">
        <v>28641.599999999999</v>
      </c>
      <c r="R25" s="106">
        <v>55</v>
      </c>
      <c r="S25" s="106">
        <v>29172</v>
      </c>
      <c r="T25" s="106">
        <v>255</v>
      </c>
      <c r="U25" s="106">
        <v>135252</v>
      </c>
      <c r="V25" s="106">
        <v>163.08669527897001</v>
      </c>
      <c r="W25" s="106">
        <v>86501.183175965692</v>
      </c>
      <c r="X25" s="106">
        <v>98.603641336866403</v>
      </c>
      <c r="Y25" s="106">
        <v>52299.371365073937</v>
      </c>
      <c r="Z25" s="106">
        <v>90.876544193831208</v>
      </c>
      <c r="AA25" s="106">
        <v>48200.919040408073</v>
      </c>
      <c r="AB25" s="106">
        <v>38</v>
      </c>
      <c r="AC25" s="106">
        <v>20155.2</v>
      </c>
      <c r="AD25" s="106">
        <v>61</v>
      </c>
      <c r="AE25" s="106">
        <v>32354.399999999998</v>
      </c>
      <c r="AF25" s="106">
        <v>59</v>
      </c>
      <c r="AG25" s="106">
        <v>31293.599999999999</v>
      </c>
      <c r="AH25" s="106">
        <v>35</v>
      </c>
      <c r="AI25" s="106">
        <v>18564</v>
      </c>
      <c r="AJ25" s="106">
        <v>68</v>
      </c>
      <c r="AK25" s="106">
        <v>36067.199999999997</v>
      </c>
      <c r="AL25" s="106">
        <v>68</v>
      </c>
      <c r="AM25" s="106">
        <v>36067.199999999997</v>
      </c>
      <c r="AN25" s="106">
        <v>41</v>
      </c>
      <c r="AO25" s="106">
        <v>21746.399999999998</v>
      </c>
      <c r="AP25" s="106">
        <v>65</v>
      </c>
      <c r="AQ25" s="106">
        <v>34476</v>
      </c>
      <c r="AR25" s="106">
        <v>33</v>
      </c>
      <c r="AS25" s="106">
        <v>17503.2</v>
      </c>
      <c r="AT25" s="106">
        <v>26</v>
      </c>
      <c r="AU25" s="106">
        <v>13790.4</v>
      </c>
      <c r="AV25" s="106">
        <v>38</v>
      </c>
      <c r="AW25" s="106">
        <v>20155.2</v>
      </c>
      <c r="AX25" s="106">
        <v>45</v>
      </c>
      <c r="AY25" s="106">
        <v>23868</v>
      </c>
      <c r="AZ25" s="106">
        <v>50</v>
      </c>
      <c r="BA25" s="106">
        <v>26520</v>
      </c>
      <c r="BB25" s="106">
        <v>44</v>
      </c>
      <c r="BC25" s="106">
        <v>23337.599999999999</v>
      </c>
      <c r="BD25" s="106">
        <v>26</v>
      </c>
      <c r="BE25" s="106">
        <v>13790.4</v>
      </c>
      <c r="BF25" s="106">
        <v>24</v>
      </c>
      <c r="BG25" s="106">
        <v>12729.599999999999</v>
      </c>
      <c r="BH25" s="106">
        <v>24</v>
      </c>
      <c r="BI25" s="106">
        <v>12729.599999999999</v>
      </c>
      <c r="BJ25" s="106">
        <v>35</v>
      </c>
      <c r="BK25" s="106">
        <v>18564</v>
      </c>
      <c r="BL25" s="106">
        <v>20</v>
      </c>
      <c r="BM25" s="106">
        <v>10608</v>
      </c>
      <c r="BN25" s="106">
        <v>27</v>
      </c>
      <c r="BO25" s="106">
        <v>14320.8</v>
      </c>
      <c r="BP25" s="106">
        <v>51</v>
      </c>
      <c r="BQ25" s="106">
        <v>27050.399999999998</v>
      </c>
      <c r="BR25" s="106">
        <v>69</v>
      </c>
      <c r="BS25" s="106">
        <v>36597.599999999999</v>
      </c>
      <c r="BT25" s="106">
        <v>60</v>
      </c>
      <c r="BU25" s="106">
        <v>31824</v>
      </c>
      <c r="BV25" s="106">
        <v>69</v>
      </c>
      <c r="BW25" s="106">
        <v>36597.599999999999</v>
      </c>
      <c r="BX25" s="106">
        <v>485</v>
      </c>
      <c r="BY25" s="106">
        <v>257244</v>
      </c>
      <c r="BZ25" s="106">
        <v>195.61119832548428</v>
      </c>
      <c r="CA25" s="106">
        <v>103752.17959183686</v>
      </c>
      <c r="CB25" s="106">
        <v>160.84939819965615</v>
      </c>
      <c r="CC25" s="106">
        <v>85314.520805097622</v>
      </c>
      <c r="CD25" s="106">
        <v>162.48133299924834</v>
      </c>
      <c r="CE25" s="106">
        <v>86180.099022801311</v>
      </c>
      <c r="CF25" s="106">
        <v>99.439204645433762</v>
      </c>
      <c r="CG25" s="106">
        <v>52742.554143938061</v>
      </c>
      <c r="CH25" s="106">
        <v>68.56792400627134</v>
      </c>
      <c r="CI25" s="106">
        <v>36368.42689292632</v>
      </c>
      <c r="CJ25" s="106">
        <v>98.825604655391899</v>
      </c>
      <c r="CK25" s="106">
        <v>52417.100709219863</v>
      </c>
      <c r="CL25" s="106">
        <v>107.86218141251182</v>
      </c>
      <c r="CM25" s="106">
        <v>57210.101021196264</v>
      </c>
      <c r="CN25" s="106">
        <v>55</v>
      </c>
      <c r="CO25" s="106">
        <v>29172</v>
      </c>
      <c r="CP25" s="106">
        <v>45</v>
      </c>
      <c r="CQ25" s="106">
        <v>23868</v>
      </c>
      <c r="CR25" s="106">
        <v>40</v>
      </c>
      <c r="CS25" s="106">
        <v>21216</v>
      </c>
      <c r="CT25" s="106">
        <v>52</v>
      </c>
      <c r="CU25" s="106">
        <v>27580.799999999999</v>
      </c>
    </row>
    <row r="26" spans="2:99" x14ac:dyDescent="0.2">
      <c r="C26" s="105" t="s">
        <v>191</v>
      </c>
      <c r="D26" s="106">
        <v>35</v>
      </c>
      <c r="E26" s="106">
        <v>17010</v>
      </c>
      <c r="F26" s="106">
        <v>33</v>
      </c>
      <c r="G26" s="106">
        <v>16038</v>
      </c>
      <c r="H26" s="106">
        <v>41</v>
      </c>
      <c r="I26" s="106">
        <v>19926</v>
      </c>
      <c r="J26" s="106">
        <v>32</v>
      </c>
      <c r="K26" s="106">
        <v>15552</v>
      </c>
      <c r="L26" s="106">
        <v>43</v>
      </c>
      <c r="M26" s="106">
        <v>20898</v>
      </c>
      <c r="N26" s="106">
        <v>44</v>
      </c>
      <c r="O26" s="106">
        <v>21384</v>
      </c>
      <c r="P26" s="106">
        <v>55</v>
      </c>
      <c r="Q26" s="106">
        <v>26730</v>
      </c>
      <c r="R26" s="106">
        <v>50</v>
      </c>
      <c r="S26" s="106">
        <v>24300</v>
      </c>
      <c r="T26" s="106">
        <v>303</v>
      </c>
      <c r="U26" s="106">
        <v>147258</v>
      </c>
      <c r="V26" s="106">
        <v>154.4729613733906</v>
      </c>
      <c r="W26" s="106">
        <v>75073.859227467838</v>
      </c>
      <c r="X26" s="106">
        <v>102.8783656722797</v>
      </c>
      <c r="Y26" s="106">
        <v>49998.885716727935</v>
      </c>
      <c r="Z26" s="106">
        <v>87.156451741452145</v>
      </c>
      <c r="AA26" s="106">
        <v>42358.035546345745</v>
      </c>
      <c r="AB26" s="106">
        <v>37</v>
      </c>
      <c r="AC26" s="106">
        <v>17982</v>
      </c>
      <c r="AD26" s="106">
        <v>67</v>
      </c>
      <c r="AE26" s="106">
        <v>32562</v>
      </c>
      <c r="AF26" s="106">
        <v>58</v>
      </c>
      <c r="AG26" s="106">
        <v>28188</v>
      </c>
      <c r="AH26" s="106">
        <v>42</v>
      </c>
      <c r="AI26" s="106">
        <v>20412</v>
      </c>
      <c r="AJ26" s="106">
        <v>78</v>
      </c>
      <c r="AK26" s="106">
        <v>37908</v>
      </c>
      <c r="AL26" s="106">
        <v>68</v>
      </c>
      <c r="AM26" s="106">
        <v>33048</v>
      </c>
      <c r="AN26" s="106">
        <v>47</v>
      </c>
      <c r="AO26" s="106">
        <v>22842</v>
      </c>
      <c r="AP26" s="106">
        <v>69</v>
      </c>
      <c r="AQ26" s="106">
        <v>33534</v>
      </c>
      <c r="AR26" s="106">
        <v>28</v>
      </c>
      <c r="AS26" s="106">
        <v>13608</v>
      </c>
      <c r="AT26" s="106">
        <v>27</v>
      </c>
      <c r="AU26" s="106">
        <v>13122</v>
      </c>
      <c r="AV26" s="106">
        <v>35</v>
      </c>
      <c r="AW26" s="106">
        <v>17010</v>
      </c>
      <c r="AX26" s="106">
        <v>46</v>
      </c>
      <c r="AY26" s="106">
        <v>22356</v>
      </c>
      <c r="AZ26" s="106">
        <v>52</v>
      </c>
      <c r="BA26" s="106">
        <v>25272</v>
      </c>
      <c r="BB26" s="106">
        <v>48</v>
      </c>
      <c r="BC26" s="106">
        <v>23328</v>
      </c>
      <c r="BD26" s="106">
        <v>27</v>
      </c>
      <c r="BE26" s="106">
        <v>13122</v>
      </c>
      <c r="BF26" s="106">
        <v>26</v>
      </c>
      <c r="BG26" s="106">
        <v>12636</v>
      </c>
      <c r="BH26" s="106">
        <v>23</v>
      </c>
      <c r="BI26" s="106">
        <v>11178</v>
      </c>
      <c r="BJ26" s="106">
        <v>40</v>
      </c>
      <c r="BK26" s="106">
        <v>19440</v>
      </c>
      <c r="BL26" s="106">
        <v>19</v>
      </c>
      <c r="BM26" s="106">
        <v>9234</v>
      </c>
      <c r="BN26" s="106">
        <v>31</v>
      </c>
      <c r="BO26" s="106">
        <v>15066</v>
      </c>
      <c r="BP26" s="106">
        <v>57</v>
      </c>
      <c r="BQ26" s="106">
        <v>27702</v>
      </c>
      <c r="BR26" s="106">
        <v>64</v>
      </c>
      <c r="BS26" s="106">
        <v>31104</v>
      </c>
      <c r="BT26" s="106">
        <v>60</v>
      </c>
      <c r="BU26" s="106">
        <v>29160</v>
      </c>
      <c r="BV26" s="106">
        <v>79</v>
      </c>
      <c r="BW26" s="106">
        <v>38394</v>
      </c>
      <c r="BX26" s="106">
        <v>540</v>
      </c>
      <c r="BY26" s="106">
        <v>262440</v>
      </c>
      <c r="BZ26" s="106">
        <v>168.93694400837279</v>
      </c>
      <c r="CA26" s="106">
        <v>82103.354788069177</v>
      </c>
      <c r="CB26" s="106">
        <v>153.43076767472442</v>
      </c>
      <c r="CC26" s="106">
        <v>74567.353089916069</v>
      </c>
      <c r="CD26" s="106">
        <v>155.79829616637437</v>
      </c>
      <c r="CE26" s="106">
        <v>75717.971936857939</v>
      </c>
      <c r="CF26" s="106">
        <v>114.10575400316735</v>
      </c>
      <c r="CG26" s="106">
        <v>55455.396445539329</v>
      </c>
      <c r="CH26" s="106">
        <v>78.714746841280103</v>
      </c>
      <c r="CI26" s="106">
        <v>38255.366964862129</v>
      </c>
      <c r="CJ26" s="106">
        <v>94.581560283687949</v>
      </c>
      <c r="CK26" s="106">
        <v>45966.638297872341</v>
      </c>
      <c r="CL26" s="106">
        <v>114.44263279842103</v>
      </c>
      <c r="CM26" s="106">
        <v>55619.119540032618</v>
      </c>
      <c r="CN26" s="106">
        <v>62</v>
      </c>
      <c r="CO26" s="106">
        <v>30132</v>
      </c>
      <c r="CP26" s="106">
        <v>49</v>
      </c>
      <c r="CQ26" s="106">
        <v>23814</v>
      </c>
      <c r="CR26" s="106">
        <v>39</v>
      </c>
      <c r="CS26" s="106">
        <v>18954</v>
      </c>
      <c r="CT26" s="106">
        <v>46</v>
      </c>
      <c r="CU26" s="106">
        <v>22356</v>
      </c>
    </row>
    <row r="27" spans="2:99" x14ac:dyDescent="0.2">
      <c r="C27" s="105" t="s">
        <v>192</v>
      </c>
      <c r="D27" s="106">
        <v>33</v>
      </c>
      <c r="E27" s="106">
        <v>14097.6</v>
      </c>
      <c r="F27" s="106">
        <v>36</v>
      </c>
      <c r="G27" s="106">
        <v>15379.199999999999</v>
      </c>
      <c r="H27" s="106">
        <v>35</v>
      </c>
      <c r="I27" s="106">
        <v>14952</v>
      </c>
      <c r="J27" s="106">
        <v>35</v>
      </c>
      <c r="K27" s="106">
        <v>14952</v>
      </c>
      <c r="L27" s="106">
        <v>46</v>
      </c>
      <c r="M27" s="106">
        <v>19651.2</v>
      </c>
      <c r="N27" s="106">
        <v>46</v>
      </c>
      <c r="O27" s="106">
        <v>19651.2</v>
      </c>
      <c r="P27" s="106">
        <v>57</v>
      </c>
      <c r="Q27" s="106">
        <v>24350.399999999998</v>
      </c>
      <c r="R27" s="106">
        <v>49</v>
      </c>
      <c r="S27" s="106">
        <v>20932.8</v>
      </c>
      <c r="T27" s="106">
        <v>293</v>
      </c>
      <c r="U27" s="106">
        <v>125169.59999999999</v>
      </c>
      <c r="V27" s="106">
        <v>152.17596566523611</v>
      </c>
      <c r="W27" s="106">
        <v>65009.57253218886</v>
      </c>
      <c r="X27" s="106">
        <v>118.83733652448929</v>
      </c>
      <c r="Y27" s="106">
        <v>50767.31016326182</v>
      </c>
      <c r="Z27" s="106">
        <v>97.785287319678019</v>
      </c>
      <c r="AA27" s="106">
        <v>41773.874742966451</v>
      </c>
      <c r="AB27" s="106">
        <v>37</v>
      </c>
      <c r="AC27" s="106">
        <v>15806.4</v>
      </c>
      <c r="AD27" s="106">
        <v>63</v>
      </c>
      <c r="AE27" s="106">
        <v>26913.599999999999</v>
      </c>
      <c r="AF27" s="106">
        <v>52</v>
      </c>
      <c r="AG27" s="106">
        <v>22214.399999999998</v>
      </c>
      <c r="AH27" s="106">
        <v>36</v>
      </c>
      <c r="AI27" s="106">
        <v>15379.199999999999</v>
      </c>
      <c r="AJ27" s="106">
        <v>77</v>
      </c>
      <c r="AK27" s="106">
        <v>32894.400000000001</v>
      </c>
      <c r="AL27" s="106">
        <v>75</v>
      </c>
      <c r="AM27" s="106">
        <v>32040</v>
      </c>
      <c r="AN27" s="106">
        <v>50</v>
      </c>
      <c r="AO27" s="106">
        <v>21360</v>
      </c>
      <c r="AP27" s="106">
        <v>69</v>
      </c>
      <c r="AQ27" s="106">
        <v>29476.799999999999</v>
      </c>
      <c r="AR27" s="106">
        <v>28</v>
      </c>
      <c r="AS27" s="106">
        <v>11961.6</v>
      </c>
      <c r="AT27" s="106">
        <v>29</v>
      </c>
      <c r="AU27" s="106">
        <v>12388.8</v>
      </c>
      <c r="AV27" s="106">
        <v>32</v>
      </c>
      <c r="AW27" s="106">
        <v>13670.4</v>
      </c>
      <c r="AX27" s="106">
        <v>55</v>
      </c>
      <c r="AY27" s="106">
        <v>23496</v>
      </c>
      <c r="AZ27" s="106">
        <v>51</v>
      </c>
      <c r="BA27" s="106">
        <v>21787.200000000001</v>
      </c>
      <c r="BB27" s="106">
        <v>43</v>
      </c>
      <c r="BC27" s="106">
        <v>18369.599999999999</v>
      </c>
      <c r="BD27" s="106">
        <v>23</v>
      </c>
      <c r="BE27" s="106">
        <v>9825.6</v>
      </c>
      <c r="BF27" s="106">
        <v>26</v>
      </c>
      <c r="BG27" s="106">
        <v>11107.199999999999</v>
      </c>
      <c r="BH27" s="106">
        <v>21</v>
      </c>
      <c r="BI27" s="106">
        <v>8971.1999999999989</v>
      </c>
      <c r="BJ27" s="106">
        <v>39</v>
      </c>
      <c r="BK27" s="106">
        <v>16660.8</v>
      </c>
      <c r="BL27" s="106">
        <v>23</v>
      </c>
      <c r="BM27" s="106">
        <v>9825.6</v>
      </c>
      <c r="BN27" s="106">
        <v>31</v>
      </c>
      <c r="BO27" s="106">
        <v>13243.199999999999</v>
      </c>
      <c r="BP27" s="106">
        <v>57</v>
      </c>
      <c r="BQ27" s="106">
        <v>24350.399999999998</v>
      </c>
      <c r="BR27" s="106">
        <v>72</v>
      </c>
      <c r="BS27" s="106">
        <v>30758.399999999998</v>
      </c>
      <c r="BT27" s="106">
        <v>67</v>
      </c>
      <c r="BU27" s="106">
        <v>28622.399999999998</v>
      </c>
      <c r="BV27" s="106">
        <v>78</v>
      </c>
      <c r="BW27" s="106">
        <v>33321.599999999999</v>
      </c>
      <c r="BX27" s="106">
        <v>550</v>
      </c>
      <c r="BY27" s="106">
        <v>234960</v>
      </c>
      <c r="BZ27" s="106">
        <v>201.88749345892228</v>
      </c>
      <c r="CA27" s="106">
        <v>86246.337205651595</v>
      </c>
      <c r="CB27" s="106">
        <v>159.50055628603218</v>
      </c>
      <c r="CC27" s="106">
        <v>68138.637645392941</v>
      </c>
      <c r="CD27" s="106">
        <v>172.92357805061391</v>
      </c>
      <c r="CE27" s="106">
        <v>73872.952543222258</v>
      </c>
      <c r="CF27" s="106">
        <v>105.3058243885272</v>
      </c>
      <c r="CG27" s="106">
        <v>44986.648178778822</v>
      </c>
      <c r="CH27" s="106">
        <v>70.105321405515085</v>
      </c>
      <c r="CI27" s="106">
        <v>29948.993304436044</v>
      </c>
      <c r="CJ27" s="106">
        <v>97.613020549190779</v>
      </c>
      <c r="CK27" s="106">
        <v>41700.282378614298</v>
      </c>
      <c r="CL27" s="106">
        <v>117.5898052003776</v>
      </c>
      <c r="CM27" s="106">
        <v>50234.364781601311</v>
      </c>
      <c r="CN27" s="106">
        <v>64</v>
      </c>
      <c r="CO27" s="106">
        <v>27340.799999999999</v>
      </c>
      <c r="CP27" s="106">
        <v>41</v>
      </c>
      <c r="CQ27" s="106">
        <v>17515.2</v>
      </c>
      <c r="CR27" s="106">
        <v>41</v>
      </c>
      <c r="CS27" s="106">
        <v>17515.2</v>
      </c>
      <c r="CT27" s="106">
        <v>52</v>
      </c>
      <c r="CU27" s="106">
        <v>22214.399999999998</v>
      </c>
    </row>
    <row r="28" spans="2:99" x14ac:dyDescent="0.2">
      <c r="C28" s="105" t="s">
        <v>193</v>
      </c>
      <c r="D28" s="106">
        <v>36</v>
      </c>
      <c r="E28" s="106">
        <v>26568</v>
      </c>
      <c r="F28" s="106">
        <v>32</v>
      </c>
      <c r="G28" s="106">
        <v>23616</v>
      </c>
      <c r="H28" s="106">
        <v>40</v>
      </c>
      <c r="I28" s="106">
        <v>29520</v>
      </c>
      <c r="J28" s="106">
        <v>30</v>
      </c>
      <c r="K28" s="106">
        <v>22140</v>
      </c>
      <c r="L28" s="106">
        <v>42</v>
      </c>
      <c r="M28" s="106">
        <v>30996</v>
      </c>
      <c r="N28" s="106">
        <v>41</v>
      </c>
      <c r="O28" s="106">
        <v>30258</v>
      </c>
      <c r="P28" s="106">
        <v>54</v>
      </c>
      <c r="Q28" s="106">
        <v>39852</v>
      </c>
      <c r="R28" s="106">
        <v>54</v>
      </c>
      <c r="S28" s="106">
        <v>39852</v>
      </c>
      <c r="T28" s="106">
        <v>236</v>
      </c>
      <c r="U28" s="106">
        <v>174168</v>
      </c>
      <c r="V28" s="106">
        <v>155.04721030042924</v>
      </c>
      <c r="W28" s="106">
        <v>114424.84120171679</v>
      </c>
      <c r="X28" s="106">
        <v>95.468843490896674</v>
      </c>
      <c r="Y28" s="106">
        <v>70456.006496281741</v>
      </c>
      <c r="Z28" s="106">
        <v>83.702080178528732</v>
      </c>
      <c r="AA28" s="106">
        <v>61772.135171754206</v>
      </c>
      <c r="AB28" s="106">
        <v>39</v>
      </c>
      <c r="AC28" s="106">
        <v>28782</v>
      </c>
      <c r="AD28" s="106">
        <v>57</v>
      </c>
      <c r="AE28" s="106">
        <v>42066</v>
      </c>
      <c r="AF28" s="106">
        <v>54</v>
      </c>
      <c r="AG28" s="106">
        <v>39852</v>
      </c>
      <c r="AH28" s="106">
        <v>37</v>
      </c>
      <c r="AI28" s="106">
        <v>27306</v>
      </c>
      <c r="AJ28" s="106">
        <v>66</v>
      </c>
      <c r="AK28" s="106">
        <v>48708</v>
      </c>
      <c r="AL28" s="106">
        <v>68</v>
      </c>
      <c r="AM28" s="106">
        <v>50184</v>
      </c>
      <c r="AN28" s="106">
        <v>46</v>
      </c>
      <c r="AO28" s="106">
        <v>33948</v>
      </c>
      <c r="AP28" s="106">
        <v>65</v>
      </c>
      <c r="AQ28" s="106">
        <v>47970</v>
      </c>
      <c r="AR28" s="106">
        <v>29</v>
      </c>
      <c r="AS28" s="106">
        <v>21402</v>
      </c>
      <c r="AT28" s="106">
        <v>26</v>
      </c>
      <c r="AU28" s="106">
        <v>19188</v>
      </c>
      <c r="AV28" s="106">
        <v>34</v>
      </c>
      <c r="AW28" s="106">
        <v>25092</v>
      </c>
      <c r="AX28" s="106">
        <v>44</v>
      </c>
      <c r="AY28" s="106">
        <v>32472</v>
      </c>
      <c r="AZ28" s="106">
        <v>51</v>
      </c>
      <c r="BA28" s="106">
        <v>37638</v>
      </c>
      <c r="BB28" s="106">
        <v>45</v>
      </c>
      <c r="BC28" s="106">
        <v>33210</v>
      </c>
      <c r="BD28" s="106">
        <v>24</v>
      </c>
      <c r="BE28" s="106">
        <v>17712</v>
      </c>
      <c r="BF28" s="106">
        <v>28</v>
      </c>
      <c r="BG28" s="106">
        <v>20664</v>
      </c>
      <c r="BH28" s="106">
        <v>21</v>
      </c>
      <c r="BI28" s="106">
        <v>15498</v>
      </c>
      <c r="BJ28" s="106">
        <v>35</v>
      </c>
      <c r="BK28" s="106">
        <v>25830</v>
      </c>
      <c r="BL28" s="106">
        <v>20</v>
      </c>
      <c r="BM28" s="106">
        <v>14760</v>
      </c>
      <c r="BN28" s="106">
        <v>26</v>
      </c>
      <c r="BO28" s="106">
        <v>19188</v>
      </c>
      <c r="BP28" s="106">
        <v>49</v>
      </c>
      <c r="BQ28" s="106">
        <v>36162</v>
      </c>
      <c r="BR28" s="106">
        <v>72</v>
      </c>
      <c r="BS28" s="106">
        <v>53136</v>
      </c>
      <c r="BT28" s="106">
        <v>60</v>
      </c>
      <c r="BU28" s="106">
        <v>44280</v>
      </c>
      <c r="BV28" s="106">
        <v>73</v>
      </c>
      <c r="BW28" s="106">
        <v>53874</v>
      </c>
      <c r="BX28" s="106">
        <v>473</v>
      </c>
      <c r="BY28" s="106">
        <v>349074</v>
      </c>
      <c r="BZ28" s="106">
        <v>155.86132914704365</v>
      </c>
      <c r="CA28" s="106">
        <v>115025.66091051821</v>
      </c>
      <c r="CB28" s="106">
        <v>159.83776676443819</v>
      </c>
      <c r="CC28" s="106">
        <v>117960.27187215538</v>
      </c>
      <c r="CD28" s="106">
        <v>158.72212478075673</v>
      </c>
      <c r="CE28" s="106">
        <v>117136.92808819846</v>
      </c>
      <c r="CF28" s="106">
        <v>100.31919760689777</v>
      </c>
      <c r="CG28" s="106">
        <v>74035.567833890556</v>
      </c>
      <c r="CH28" s="106">
        <v>61.495895969750073</v>
      </c>
      <c r="CI28" s="106">
        <v>45383.971225675552</v>
      </c>
      <c r="CJ28" s="106">
        <v>96.703582469539924</v>
      </c>
      <c r="CK28" s="106">
        <v>71367.243862520467</v>
      </c>
      <c r="CL28" s="106">
        <v>98.134557624646035</v>
      </c>
      <c r="CM28" s="106">
        <v>72423.303526988777</v>
      </c>
      <c r="CN28" s="106">
        <v>52</v>
      </c>
      <c r="CO28" s="106">
        <v>38376</v>
      </c>
      <c r="CP28" s="106">
        <v>43</v>
      </c>
      <c r="CQ28" s="106">
        <v>31734</v>
      </c>
      <c r="CR28" s="106">
        <v>42</v>
      </c>
      <c r="CS28" s="106">
        <v>30996</v>
      </c>
      <c r="CT28" s="106">
        <v>52</v>
      </c>
      <c r="CU28" s="106">
        <v>38376</v>
      </c>
    </row>
    <row r="29" spans="2:99" x14ac:dyDescent="0.2">
      <c r="C29" s="105" t="s">
        <v>194</v>
      </c>
      <c r="D29" s="106">
        <v>39</v>
      </c>
      <c r="E29" s="106">
        <v>13197.599999999999</v>
      </c>
      <c r="F29" s="106">
        <v>34</v>
      </c>
      <c r="G29" s="106">
        <v>11505.599999999999</v>
      </c>
      <c r="H29" s="106">
        <v>42</v>
      </c>
      <c r="I29" s="106">
        <v>14212.8</v>
      </c>
      <c r="J29" s="106">
        <v>34</v>
      </c>
      <c r="K29" s="106">
        <v>11505.599999999999</v>
      </c>
      <c r="L29" s="106">
        <v>45</v>
      </c>
      <c r="M29" s="106">
        <v>15227.999999999998</v>
      </c>
      <c r="N29" s="106">
        <v>48</v>
      </c>
      <c r="O29" s="106">
        <v>16243.199999999999</v>
      </c>
      <c r="P29" s="106">
        <v>61</v>
      </c>
      <c r="Q29" s="106">
        <v>20642.399999999998</v>
      </c>
      <c r="R29" s="106">
        <v>51</v>
      </c>
      <c r="S29" s="106">
        <v>17258.399999999998</v>
      </c>
      <c r="T29" s="106">
        <v>303</v>
      </c>
      <c r="U29" s="106">
        <v>102535.2</v>
      </c>
      <c r="V29" s="106">
        <v>183.18540772532194</v>
      </c>
      <c r="W29" s="106">
        <v>61989.941974248941</v>
      </c>
      <c r="X29" s="106">
        <v>110.00290623130182</v>
      </c>
      <c r="Y29" s="106">
        <v>37224.983468672537</v>
      </c>
      <c r="Z29" s="106">
        <v>101.50537977205708</v>
      </c>
      <c r="AA29" s="106">
        <v>34349.420514864112</v>
      </c>
      <c r="AB29" s="106">
        <v>40</v>
      </c>
      <c r="AC29" s="106">
        <v>13536</v>
      </c>
      <c r="AD29" s="106">
        <v>66</v>
      </c>
      <c r="AE29" s="106">
        <v>22334.399999999998</v>
      </c>
      <c r="AF29" s="106">
        <v>62</v>
      </c>
      <c r="AG29" s="106">
        <v>20980.799999999999</v>
      </c>
      <c r="AH29" s="106">
        <v>41</v>
      </c>
      <c r="AI29" s="106">
        <v>13874.4</v>
      </c>
      <c r="AJ29" s="106">
        <v>80</v>
      </c>
      <c r="AK29" s="106">
        <v>27072</v>
      </c>
      <c r="AL29" s="106">
        <v>76</v>
      </c>
      <c r="AM29" s="106">
        <v>25718.399999999998</v>
      </c>
      <c r="AN29" s="106">
        <v>42</v>
      </c>
      <c r="AO29" s="106">
        <v>14212.8</v>
      </c>
      <c r="AP29" s="106">
        <v>70</v>
      </c>
      <c r="AQ29" s="106">
        <v>23688</v>
      </c>
      <c r="AR29" s="106">
        <v>32</v>
      </c>
      <c r="AS29" s="106">
        <v>10828.8</v>
      </c>
      <c r="AT29" s="106">
        <v>31</v>
      </c>
      <c r="AU29" s="106">
        <v>10490.4</v>
      </c>
      <c r="AV29" s="106">
        <v>38</v>
      </c>
      <c r="AW29" s="106">
        <v>12859.199999999999</v>
      </c>
      <c r="AX29" s="106">
        <v>48</v>
      </c>
      <c r="AY29" s="106">
        <v>16243.199999999999</v>
      </c>
      <c r="AZ29" s="106">
        <v>51</v>
      </c>
      <c r="BA29" s="106">
        <v>17258.399999999998</v>
      </c>
      <c r="BB29" s="106">
        <v>44</v>
      </c>
      <c r="BC29" s="106">
        <v>14889.599999999999</v>
      </c>
      <c r="BD29" s="106">
        <v>25</v>
      </c>
      <c r="BE29" s="106">
        <v>8460</v>
      </c>
      <c r="BF29" s="106">
        <v>28</v>
      </c>
      <c r="BG29" s="106">
        <v>9475.1999999999989</v>
      </c>
      <c r="BH29" s="106">
        <v>24</v>
      </c>
      <c r="BI29" s="106">
        <v>8121.5999999999995</v>
      </c>
      <c r="BJ29" s="106">
        <v>43</v>
      </c>
      <c r="BK29" s="106">
        <v>14551.199999999999</v>
      </c>
      <c r="BL29" s="106">
        <v>20</v>
      </c>
      <c r="BM29" s="106">
        <v>6768</v>
      </c>
      <c r="BN29" s="106">
        <v>30</v>
      </c>
      <c r="BO29" s="106">
        <v>10152</v>
      </c>
      <c r="BP29" s="106">
        <v>57</v>
      </c>
      <c r="BQ29" s="106">
        <v>19288.8</v>
      </c>
      <c r="BR29" s="106">
        <v>66</v>
      </c>
      <c r="BS29" s="106">
        <v>22334.399999999998</v>
      </c>
      <c r="BT29" s="106">
        <v>62</v>
      </c>
      <c r="BU29" s="106">
        <v>20980.799999999999</v>
      </c>
      <c r="BV29" s="106">
        <v>72</v>
      </c>
      <c r="BW29" s="106">
        <v>24364.799999999999</v>
      </c>
      <c r="BX29" s="106">
        <v>550</v>
      </c>
      <c r="BY29" s="106">
        <v>186120</v>
      </c>
      <c r="BZ29" s="106">
        <v>174.69021454735761</v>
      </c>
      <c r="CA29" s="106">
        <v>59115.168602825812</v>
      </c>
      <c r="CB29" s="106">
        <v>186.47739455851121</v>
      </c>
      <c r="CC29" s="106">
        <v>63103.950318600189</v>
      </c>
      <c r="CD29" s="106">
        <v>165.40516161363067</v>
      </c>
      <c r="CE29" s="106">
        <v>55973.106690052613</v>
      </c>
      <c r="CF29" s="106">
        <v>109.70578919584729</v>
      </c>
      <c r="CG29" s="106">
        <v>37124.439063874721</v>
      </c>
      <c r="CH29" s="106">
        <v>79.022226321128855</v>
      </c>
      <c r="CI29" s="106">
        <v>26741.121387070001</v>
      </c>
      <c r="CJ29" s="106">
        <v>111.55773777050375</v>
      </c>
      <c r="CK29" s="106">
        <v>37751.138461538467</v>
      </c>
      <c r="CL29" s="106">
        <v>114.15652621642496</v>
      </c>
      <c r="CM29" s="106">
        <v>38630.568471638202</v>
      </c>
      <c r="CN29" s="106">
        <v>65</v>
      </c>
      <c r="CO29" s="106">
        <v>21996</v>
      </c>
      <c r="CP29" s="106">
        <v>47</v>
      </c>
      <c r="CQ29" s="106">
        <v>15904.8</v>
      </c>
      <c r="CR29" s="106">
        <v>45</v>
      </c>
      <c r="CS29" s="106">
        <v>15227.999999999998</v>
      </c>
      <c r="CT29" s="106">
        <v>52</v>
      </c>
      <c r="CU29" s="106">
        <v>17596.8</v>
      </c>
    </row>
    <row r="30" spans="2:99" x14ac:dyDescent="0.2">
      <c r="C30" s="105" t="s">
        <v>195</v>
      </c>
      <c r="D30" s="106">
        <v>38</v>
      </c>
      <c r="E30" s="106">
        <v>5289.5999999999995</v>
      </c>
      <c r="F30" s="106">
        <v>37</v>
      </c>
      <c r="G30" s="106">
        <v>5150.3999999999996</v>
      </c>
      <c r="H30" s="106">
        <v>42</v>
      </c>
      <c r="I30" s="106">
        <v>5846.4</v>
      </c>
      <c r="J30" s="106">
        <v>38</v>
      </c>
      <c r="K30" s="106">
        <v>5289.5999999999995</v>
      </c>
      <c r="L30" s="106">
        <v>47</v>
      </c>
      <c r="M30" s="106">
        <v>6542.4</v>
      </c>
      <c r="N30" s="106">
        <v>50</v>
      </c>
      <c r="O30" s="106">
        <v>6959.9999999999991</v>
      </c>
      <c r="P30" s="106">
        <v>67</v>
      </c>
      <c r="Q30" s="106">
        <v>9326.4</v>
      </c>
      <c r="R30" s="106">
        <v>56</v>
      </c>
      <c r="S30" s="106">
        <v>7795.1999999999989</v>
      </c>
      <c r="T30" s="106">
        <v>304</v>
      </c>
      <c r="U30" s="106">
        <v>42316.799999999996</v>
      </c>
      <c r="V30" s="106">
        <v>173.99742489270392</v>
      </c>
      <c r="W30" s="106">
        <v>24220.441545064383</v>
      </c>
      <c r="X30" s="106">
        <v>134.2263441319771</v>
      </c>
      <c r="Y30" s="106">
        <v>18684.30710317121</v>
      </c>
      <c r="Z30" s="106">
        <v>105.75691400334743</v>
      </c>
      <c r="AA30" s="106">
        <v>14721.362429265961</v>
      </c>
      <c r="AB30" s="106">
        <v>41</v>
      </c>
      <c r="AC30" s="106">
        <v>5707.2</v>
      </c>
      <c r="AD30" s="106">
        <v>61</v>
      </c>
      <c r="AE30" s="106">
        <v>8491.1999999999989</v>
      </c>
      <c r="AF30" s="106">
        <v>61</v>
      </c>
      <c r="AG30" s="106">
        <v>8491.1999999999989</v>
      </c>
      <c r="AH30" s="106">
        <v>41</v>
      </c>
      <c r="AI30" s="106">
        <v>5707.2</v>
      </c>
      <c r="AJ30" s="106">
        <v>80</v>
      </c>
      <c r="AK30" s="106">
        <v>11136</v>
      </c>
      <c r="AL30" s="106">
        <v>76</v>
      </c>
      <c r="AM30" s="106">
        <v>10579.199999999999</v>
      </c>
      <c r="AN30" s="106">
        <v>49</v>
      </c>
      <c r="AO30" s="106">
        <v>6820.7999999999993</v>
      </c>
      <c r="AP30" s="106">
        <v>70</v>
      </c>
      <c r="AQ30" s="106">
        <v>9744</v>
      </c>
      <c r="AR30" s="106">
        <v>33</v>
      </c>
      <c r="AS30" s="106">
        <v>4593.5999999999995</v>
      </c>
      <c r="AT30" s="106">
        <v>32</v>
      </c>
      <c r="AU30" s="106">
        <v>4454.3999999999996</v>
      </c>
      <c r="AV30" s="106">
        <v>40</v>
      </c>
      <c r="AW30" s="106">
        <v>5568</v>
      </c>
      <c r="AX30" s="106">
        <v>57</v>
      </c>
      <c r="AY30" s="106">
        <v>7934.4</v>
      </c>
      <c r="AZ30" s="106">
        <v>49</v>
      </c>
      <c r="BA30" s="106">
        <v>6820.7999999999993</v>
      </c>
      <c r="BB30" s="106">
        <v>44</v>
      </c>
      <c r="BC30" s="106">
        <v>6124.7999999999993</v>
      </c>
      <c r="BD30" s="106">
        <v>28</v>
      </c>
      <c r="BE30" s="106">
        <v>3897.5999999999995</v>
      </c>
      <c r="BF30" s="106">
        <v>29</v>
      </c>
      <c r="BG30" s="106">
        <v>4036.7999999999997</v>
      </c>
      <c r="BH30" s="106">
        <v>24</v>
      </c>
      <c r="BI30" s="106">
        <v>3340.7999999999997</v>
      </c>
      <c r="BJ30" s="106">
        <v>37</v>
      </c>
      <c r="BK30" s="106">
        <v>5150.3999999999996</v>
      </c>
      <c r="BL30" s="106">
        <v>22</v>
      </c>
      <c r="BM30" s="106">
        <v>3062.3999999999996</v>
      </c>
      <c r="BN30" s="106">
        <v>30</v>
      </c>
      <c r="BO30" s="106">
        <v>4176</v>
      </c>
      <c r="BP30" s="106">
        <v>61</v>
      </c>
      <c r="BQ30" s="106">
        <v>8491.1999999999989</v>
      </c>
      <c r="BR30" s="106">
        <v>71</v>
      </c>
      <c r="BS30" s="106">
        <v>9883.1999999999989</v>
      </c>
      <c r="BT30" s="106">
        <v>69</v>
      </c>
      <c r="BU30" s="106">
        <v>9604.7999999999993</v>
      </c>
      <c r="BV30" s="106">
        <v>78</v>
      </c>
      <c r="BW30" s="106">
        <v>10857.599999999999</v>
      </c>
      <c r="BX30" s="106">
        <v>562</v>
      </c>
      <c r="BY30" s="106">
        <v>78230.399999999994</v>
      </c>
      <c r="BZ30" s="106">
        <v>206.59471480900078</v>
      </c>
      <c r="CA30" s="106">
        <v>28757.984301412907</v>
      </c>
      <c r="CB30" s="106">
        <v>210.41933852533634</v>
      </c>
      <c r="CC30" s="106">
        <v>29290.371922726816</v>
      </c>
      <c r="CD30" s="106">
        <v>188.37810072663495</v>
      </c>
      <c r="CE30" s="106">
        <v>26222.231621147585</v>
      </c>
      <c r="CF30" s="106">
        <v>117.03906387471406</v>
      </c>
      <c r="CG30" s="106">
        <v>16291.837691360195</v>
      </c>
      <c r="CH30" s="106">
        <v>81.482062159918854</v>
      </c>
      <c r="CI30" s="106">
        <v>11342.303052660704</v>
      </c>
      <c r="CJ30" s="106">
        <v>124.89616293871616</v>
      </c>
      <c r="CK30" s="106">
        <v>17385.545881069287</v>
      </c>
      <c r="CL30" s="106">
        <v>112.1537801424526</v>
      </c>
      <c r="CM30" s="106">
        <v>15611.806195829402</v>
      </c>
      <c r="CN30" s="106">
        <v>57</v>
      </c>
      <c r="CO30" s="106">
        <v>7934.4</v>
      </c>
      <c r="CP30" s="106">
        <v>46</v>
      </c>
      <c r="CQ30" s="106">
        <v>6403.2</v>
      </c>
      <c r="CR30" s="106">
        <v>42</v>
      </c>
      <c r="CS30" s="106">
        <v>5846.4</v>
      </c>
      <c r="CT30" s="106">
        <v>56</v>
      </c>
      <c r="CU30" s="106">
        <v>7795.1999999999989</v>
      </c>
    </row>
    <row r="31" spans="2:99" x14ac:dyDescent="0.2">
      <c r="C31" s="105" t="s">
        <v>196</v>
      </c>
      <c r="D31" s="106">
        <v>38</v>
      </c>
      <c r="E31" s="106">
        <v>12950.4</v>
      </c>
      <c r="F31" s="106">
        <v>34</v>
      </c>
      <c r="G31" s="106">
        <v>11587.2</v>
      </c>
      <c r="H31" s="106">
        <v>39</v>
      </c>
      <c r="I31" s="106">
        <v>13291.2</v>
      </c>
      <c r="J31" s="106">
        <v>34</v>
      </c>
      <c r="K31" s="106">
        <v>11587.2</v>
      </c>
      <c r="L31" s="106">
        <v>44</v>
      </c>
      <c r="M31" s="106">
        <v>14995.2</v>
      </c>
      <c r="N31" s="106">
        <v>46</v>
      </c>
      <c r="O31" s="106">
        <v>15676.800000000001</v>
      </c>
      <c r="P31" s="106">
        <v>65</v>
      </c>
      <c r="Q31" s="106">
        <v>22152</v>
      </c>
      <c r="R31" s="106">
        <v>54</v>
      </c>
      <c r="S31" s="106">
        <v>18403.2</v>
      </c>
      <c r="T31" s="106">
        <v>278</v>
      </c>
      <c r="U31" s="106">
        <v>94742.400000000009</v>
      </c>
      <c r="V31" s="106">
        <v>167.68068669527901</v>
      </c>
      <c r="W31" s="106">
        <v>57145.578025751085</v>
      </c>
      <c r="X31" s="106">
        <v>109.71792460894096</v>
      </c>
      <c r="Y31" s="106">
        <v>37391.86870672708</v>
      </c>
      <c r="Z31" s="106">
        <v>91.673706862198145</v>
      </c>
      <c r="AA31" s="106">
        <v>31242.39929863713</v>
      </c>
      <c r="AB31" s="106">
        <v>38</v>
      </c>
      <c r="AC31" s="106">
        <v>12950.4</v>
      </c>
      <c r="AD31" s="106">
        <v>59</v>
      </c>
      <c r="AE31" s="106">
        <v>20107.2</v>
      </c>
      <c r="AF31" s="106">
        <v>53</v>
      </c>
      <c r="AG31" s="106">
        <v>18062.400000000001</v>
      </c>
      <c r="AH31" s="106">
        <v>43</v>
      </c>
      <c r="AI31" s="106">
        <v>14654.4</v>
      </c>
      <c r="AJ31" s="106">
        <v>68</v>
      </c>
      <c r="AK31" s="106">
        <v>23174.400000000001</v>
      </c>
      <c r="AL31" s="106">
        <v>72</v>
      </c>
      <c r="AM31" s="106">
        <v>24537.600000000002</v>
      </c>
      <c r="AN31" s="106">
        <v>44</v>
      </c>
      <c r="AO31" s="106">
        <v>14995.2</v>
      </c>
      <c r="AP31" s="106">
        <v>66</v>
      </c>
      <c r="AQ31" s="106">
        <v>22492.799999999999</v>
      </c>
      <c r="AR31" s="106">
        <v>32</v>
      </c>
      <c r="AS31" s="106">
        <v>10905.6</v>
      </c>
      <c r="AT31" s="106">
        <v>29</v>
      </c>
      <c r="AU31" s="106">
        <v>9883.2000000000007</v>
      </c>
      <c r="AV31" s="106">
        <v>37</v>
      </c>
      <c r="AW31" s="106">
        <v>12609.6</v>
      </c>
      <c r="AX31" s="106">
        <v>53</v>
      </c>
      <c r="AY31" s="106">
        <v>18062.400000000001</v>
      </c>
      <c r="AZ31" s="106">
        <v>53</v>
      </c>
      <c r="BA31" s="106">
        <v>18062.400000000001</v>
      </c>
      <c r="BB31" s="106">
        <v>45</v>
      </c>
      <c r="BC31" s="106">
        <v>15336</v>
      </c>
      <c r="BD31" s="106">
        <v>25</v>
      </c>
      <c r="BE31" s="106">
        <v>8520</v>
      </c>
      <c r="BF31" s="106">
        <v>25</v>
      </c>
      <c r="BG31" s="106">
        <v>8520</v>
      </c>
      <c r="BH31" s="106">
        <v>22</v>
      </c>
      <c r="BI31" s="106">
        <v>7497.6</v>
      </c>
      <c r="BJ31" s="106">
        <v>39</v>
      </c>
      <c r="BK31" s="106">
        <v>13291.2</v>
      </c>
      <c r="BL31" s="106">
        <v>21</v>
      </c>
      <c r="BM31" s="106">
        <v>7156.8</v>
      </c>
      <c r="BN31" s="106">
        <v>29</v>
      </c>
      <c r="BO31" s="106">
        <v>9883.2000000000007</v>
      </c>
      <c r="BP31" s="106">
        <v>53</v>
      </c>
      <c r="BQ31" s="106">
        <v>18062.400000000001</v>
      </c>
      <c r="BR31" s="106">
        <v>73</v>
      </c>
      <c r="BS31" s="106">
        <v>24878.400000000001</v>
      </c>
      <c r="BT31" s="106">
        <v>61</v>
      </c>
      <c r="BU31" s="106">
        <v>20788.8</v>
      </c>
      <c r="BV31" s="106">
        <v>79</v>
      </c>
      <c r="BW31" s="106">
        <v>26923.200000000001</v>
      </c>
      <c r="BX31" s="106">
        <v>531</v>
      </c>
      <c r="BY31" s="106">
        <v>180964.80000000002</v>
      </c>
      <c r="BZ31" s="106">
        <v>192.47305075876528</v>
      </c>
      <c r="CA31" s="106">
        <v>65594.815698587205</v>
      </c>
      <c r="CB31" s="106">
        <v>175.01223829270762</v>
      </c>
      <c r="CC31" s="106">
        <v>59644.170810154763</v>
      </c>
      <c r="CD31" s="106">
        <v>175.01202706088702</v>
      </c>
      <c r="CE31" s="106">
        <v>59644.098822350301</v>
      </c>
      <c r="CF31" s="106">
        <v>116.45240190040472</v>
      </c>
      <c r="CG31" s="106">
        <v>39686.978567657934</v>
      </c>
      <c r="CH31" s="106">
        <v>73.795075163700091</v>
      </c>
      <c r="CI31" s="106">
        <v>25149.361615788992</v>
      </c>
      <c r="CJ31" s="106">
        <v>113.07346790325515</v>
      </c>
      <c r="CK31" s="106">
        <v>38535.437861429353</v>
      </c>
      <c r="CL31" s="106">
        <v>109.00660774049604</v>
      </c>
      <c r="CM31" s="106">
        <v>37149.451917961051</v>
      </c>
      <c r="CN31" s="106">
        <v>64</v>
      </c>
      <c r="CO31" s="106">
        <v>21811.200000000001</v>
      </c>
      <c r="CP31" s="106">
        <v>43</v>
      </c>
      <c r="CQ31" s="106">
        <v>14654.4</v>
      </c>
      <c r="CR31" s="106">
        <v>46</v>
      </c>
      <c r="CS31" s="106">
        <v>15676.800000000001</v>
      </c>
      <c r="CT31" s="106">
        <v>51</v>
      </c>
      <c r="CU31" s="106">
        <v>17380.8</v>
      </c>
    </row>
    <row r="32" spans="2:99" x14ac:dyDescent="0.2">
      <c r="C32" s="105" t="s">
        <v>197</v>
      </c>
      <c r="D32" s="106">
        <v>35</v>
      </c>
      <c r="E32" s="106">
        <v>29400</v>
      </c>
      <c r="F32" s="106">
        <v>30</v>
      </c>
      <c r="G32" s="106">
        <v>25200</v>
      </c>
      <c r="H32" s="106">
        <v>34</v>
      </c>
      <c r="I32" s="106">
        <v>28560</v>
      </c>
      <c r="J32" s="106">
        <v>31</v>
      </c>
      <c r="K32" s="106">
        <v>26040</v>
      </c>
      <c r="L32" s="106">
        <v>38</v>
      </c>
      <c r="M32" s="106">
        <v>31920</v>
      </c>
      <c r="N32" s="106">
        <v>42</v>
      </c>
      <c r="O32" s="106">
        <v>35280</v>
      </c>
      <c r="P32" s="106">
        <v>60</v>
      </c>
      <c r="Q32" s="106">
        <v>50400</v>
      </c>
      <c r="R32" s="106">
        <v>46</v>
      </c>
      <c r="S32" s="106">
        <v>38640</v>
      </c>
      <c r="T32" s="106">
        <v>245</v>
      </c>
      <c r="U32" s="106">
        <v>205800</v>
      </c>
      <c r="V32" s="106">
        <v>143.5622317596567</v>
      </c>
      <c r="W32" s="106">
        <v>120592.27467811163</v>
      </c>
      <c r="X32" s="106">
        <v>99.743567826309956</v>
      </c>
      <c r="Y32" s="106">
        <v>83784.596974100365</v>
      </c>
      <c r="Z32" s="106">
        <v>83.436359289073096</v>
      </c>
      <c r="AA32" s="106">
        <v>70086.541802821404</v>
      </c>
      <c r="AB32" s="106">
        <v>38</v>
      </c>
      <c r="AC32" s="106">
        <v>31920</v>
      </c>
      <c r="AD32" s="106">
        <v>64</v>
      </c>
      <c r="AE32" s="106">
        <v>53760</v>
      </c>
      <c r="AF32" s="106">
        <v>50</v>
      </c>
      <c r="AG32" s="106">
        <v>42000</v>
      </c>
      <c r="AH32" s="106">
        <v>38</v>
      </c>
      <c r="AI32" s="106">
        <v>31920</v>
      </c>
      <c r="AJ32" s="106">
        <v>75</v>
      </c>
      <c r="AK32" s="106">
        <v>63000</v>
      </c>
      <c r="AL32" s="106">
        <v>62</v>
      </c>
      <c r="AM32" s="106">
        <v>52080</v>
      </c>
      <c r="AN32" s="106">
        <v>46</v>
      </c>
      <c r="AO32" s="106">
        <v>38640</v>
      </c>
      <c r="AP32" s="106">
        <v>61</v>
      </c>
      <c r="AQ32" s="106">
        <v>51240</v>
      </c>
      <c r="AR32" s="106">
        <v>26</v>
      </c>
      <c r="AS32" s="106">
        <v>21840</v>
      </c>
      <c r="AT32" s="106">
        <v>28</v>
      </c>
      <c r="AU32" s="106">
        <v>23520</v>
      </c>
      <c r="AV32" s="106">
        <v>30</v>
      </c>
      <c r="AW32" s="106">
        <v>25200</v>
      </c>
      <c r="AX32" s="106">
        <v>50</v>
      </c>
      <c r="AY32" s="106">
        <v>42000</v>
      </c>
      <c r="AZ32" s="106">
        <v>41</v>
      </c>
      <c r="BA32" s="106">
        <v>34440</v>
      </c>
      <c r="BB32" s="106">
        <v>42</v>
      </c>
      <c r="BC32" s="106">
        <v>35280</v>
      </c>
      <c r="BD32" s="106">
        <v>23</v>
      </c>
      <c r="BE32" s="106">
        <v>19320</v>
      </c>
      <c r="BF32" s="106">
        <v>24</v>
      </c>
      <c r="BG32" s="106">
        <v>20160</v>
      </c>
      <c r="BH32" s="106">
        <v>20</v>
      </c>
      <c r="BI32" s="106">
        <v>16800</v>
      </c>
      <c r="BJ32" s="106">
        <v>37</v>
      </c>
      <c r="BK32" s="106">
        <v>31080</v>
      </c>
      <c r="BL32" s="106">
        <v>17</v>
      </c>
      <c r="BM32" s="106">
        <v>14280</v>
      </c>
      <c r="BN32" s="106">
        <v>30</v>
      </c>
      <c r="BO32" s="106">
        <v>25200</v>
      </c>
      <c r="BP32" s="106">
        <v>47</v>
      </c>
      <c r="BQ32" s="106">
        <v>39480</v>
      </c>
      <c r="BR32" s="106">
        <v>65</v>
      </c>
      <c r="BS32" s="106">
        <v>54600</v>
      </c>
      <c r="BT32" s="106">
        <v>61</v>
      </c>
      <c r="BU32" s="106">
        <v>51240</v>
      </c>
      <c r="BV32" s="106">
        <v>70</v>
      </c>
      <c r="BW32" s="106">
        <v>58800</v>
      </c>
      <c r="BX32" s="106">
        <v>406</v>
      </c>
      <c r="BY32" s="106">
        <v>341040</v>
      </c>
      <c r="BZ32" s="106">
        <v>172.59811616954494</v>
      </c>
      <c r="CA32" s="106">
        <v>144982.41758241775</v>
      </c>
      <c r="CB32" s="106">
        <v>130.83766562152323</v>
      </c>
      <c r="CC32" s="106">
        <v>109903.6391220795</v>
      </c>
      <c r="CD32" s="106">
        <v>133.66073665747936</v>
      </c>
      <c r="CE32" s="106">
        <v>112275.01879228266</v>
      </c>
      <c r="CF32" s="106">
        <v>97.385887735351062</v>
      </c>
      <c r="CG32" s="106">
        <v>81804.145697694898</v>
      </c>
      <c r="CH32" s="106">
        <v>62.110854929447584</v>
      </c>
      <c r="CI32" s="106">
        <v>52173.118140735969</v>
      </c>
      <c r="CJ32" s="106">
        <v>96.703582469539924</v>
      </c>
      <c r="CK32" s="106">
        <v>81231.009274413533</v>
      </c>
      <c r="CL32" s="106">
        <v>85.831974598815762</v>
      </c>
      <c r="CM32" s="106">
        <v>72098.858663005245</v>
      </c>
      <c r="CN32" s="106">
        <v>51</v>
      </c>
      <c r="CO32" s="106">
        <v>42840</v>
      </c>
      <c r="CP32" s="106">
        <v>45</v>
      </c>
      <c r="CQ32" s="106">
        <v>37800</v>
      </c>
      <c r="CR32" s="106">
        <v>40</v>
      </c>
      <c r="CS32" s="106">
        <v>33600</v>
      </c>
      <c r="CT32" s="106">
        <v>50</v>
      </c>
      <c r="CU32" s="106">
        <v>42000</v>
      </c>
    </row>
    <row r="33" spans="2:99" x14ac:dyDescent="0.2">
      <c r="C33" s="105" t="s">
        <v>198</v>
      </c>
      <c r="D33" s="106">
        <v>35</v>
      </c>
      <c r="E33" s="106">
        <v>16590</v>
      </c>
      <c r="F33" s="106">
        <v>36</v>
      </c>
      <c r="G33" s="106">
        <v>17064</v>
      </c>
      <c r="H33" s="106">
        <v>42</v>
      </c>
      <c r="I33" s="106">
        <v>19908</v>
      </c>
      <c r="J33" s="106">
        <v>36</v>
      </c>
      <c r="K33" s="106">
        <v>17064</v>
      </c>
      <c r="L33" s="106">
        <v>41</v>
      </c>
      <c r="M33" s="106">
        <v>19434</v>
      </c>
      <c r="N33" s="106">
        <v>41</v>
      </c>
      <c r="O33" s="106">
        <v>19434</v>
      </c>
      <c r="P33" s="106">
        <v>65</v>
      </c>
      <c r="Q33" s="106">
        <v>30810</v>
      </c>
      <c r="R33" s="106">
        <v>53</v>
      </c>
      <c r="S33" s="106">
        <v>25122</v>
      </c>
      <c r="T33" s="106">
        <v>273</v>
      </c>
      <c r="U33" s="106">
        <v>129402</v>
      </c>
      <c r="V33" s="106">
        <v>170.55193133047217</v>
      </c>
      <c r="W33" s="106">
        <v>80841.615450643803</v>
      </c>
      <c r="X33" s="106">
        <v>102.30840242755792</v>
      </c>
      <c r="Y33" s="106">
        <v>48494.182750662454</v>
      </c>
      <c r="Z33" s="106">
        <v>87.156451741452145</v>
      </c>
      <c r="AA33" s="106">
        <v>41312.158125448317</v>
      </c>
      <c r="AB33" s="106">
        <v>34</v>
      </c>
      <c r="AC33" s="106">
        <v>16116</v>
      </c>
      <c r="AD33" s="106">
        <v>58</v>
      </c>
      <c r="AE33" s="106">
        <v>27492</v>
      </c>
      <c r="AF33" s="106">
        <v>53</v>
      </c>
      <c r="AG33" s="106">
        <v>25122</v>
      </c>
      <c r="AH33" s="106">
        <v>38</v>
      </c>
      <c r="AI33" s="106">
        <v>18012</v>
      </c>
      <c r="AJ33" s="106">
        <v>77</v>
      </c>
      <c r="AK33" s="106">
        <v>36498</v>
      </c>
      <c r="AL33" s="106">
        <v>77</v>
      </c>
      <c r="AM33" s="106">
        <v>36498</v>
      </c>
      <c r="AN33" s="106">
        <v>47</v>
      </c>
      <c r="AO33" s="106">
        <v>22278</v>
      </c>
      <c r="AP33" s="106">
        <v>70</v>
      </c>
      <c r="AQ33" s="106">
        <v>33180</v>
      </c>
      <c r="AR33" s="106">
        <v>30</v>
      </c>
      <c r="AS33" s="106">
        <v>14220</v>
      </c>
      <c r="AT33" s="106">
        <v>28</v>
      </c>
      <c r="AU33" s="106">
        <v>13272</v>
      </c>
      <c r="AV33" s="106">
        <v>39</v>
      </c>
      <c r="AW33" s="106">
        <v>18486</v>
      </c>
      <c r="AX33" s="106">
        <v>48</v>
      </c>
      <c r="AY33" s="106">
        <v>22752</v>
      </c>
      <c r="AZ33" s="106">
        <v>44</v>
      </c>
      <c r="BA33" s="106">
        <v>20856</v>
      </c>
      <c r="BB33" s="106">
        <v>43</v>
      </c>
      <c r="BC33" s="106">
        <v>20382</v>
      </c>
      <c r="BD33" s="106">
        <v>24</v>
      </c>
      <c r="BE33" s="106">
        <v>11376</v>
      </c>
      <c r="BF33" s="106">
        <v>26</v>
      </c>
      <c r="BG33" s="106">
        <v>12324</v>
      </c>
      <c r="BH33" s="106">
        <v>20</v>
      </c>
      <c r="BI33" s="106">
        <v>9480</v>
      </c>
      <c r="BJ33" s="106">
        <v>38</v>
      </c>
      <c r="BK33" s="106">
        <v>18012</v>
      </c>
      <c r="BL33" s="106">
        <v>20</v>
      </c>
      <c r="BM33" s="106">
        <v>9480</v>
      </c>
      <c r="BN33" s="106">
        <v>26</v>
      </c>
      <c r="BO33" s="106">
        <v>12324</v>
      </c>
      <c r="BP33" s="106">
        <v>49</v>
      </c>
      <c r="BQ33" s="106">
        <v>23226</v>
      </c>
      <c r="BR33" s="106">
        <v>71</v>
      </c>
      <c r="BS33" s="106">
        <v>33654</v>
      </c>
      <c r="BT33" s="106">
        <v>65</v>
      </c>
      <c r="BU33" s="106">
        <v>30810</v>
      </c>
      <c r="BV33" s="106">
        <v>66</v>
      </c>
      <c r="BW33" s="106">
        <v>31284</v>
      </c>
      <c r="BX33" s="106">
        <v>497</v>
      </c>
      <c r="BY33" s="106">
        <v>235578</v>
      </c>
      <c r="BZ33" s="106">
        <v>195.08817373103111</v>
      </c>
      <c r="CA33" s="106">
        <v>92471.794348508745</v>
      </c>
      <c r="CB33" s="106">
        <v>160.17497724284416</v>
      </c>
      <c r="CC33" s="106">
        <v>75922.93921310814</v>
      </c>
      <c r="CD33" s="106">
        <v>164.98747181157609</v>
      </c>
      <c r="CE33" s="106">
        <v>78204.061638687068</v>
      </c>
      <c r="CF33" s="106">
        <v>102.66584550413515</v>
      </c>
      <c r="CG33" s="106">
        <v>48663.610768960061</v>
      </c>
      <c r="CH33" s="106">
        <v>76.562390482338841</v>
      </c>
      <c r="CI33" s="106">
        <v>36290.573088628611</v>
      </c>
      <c r="CJ33" s="106">
        <v>105.7979632660484</v>
      </c>
      <c r="CK33" s="106">
        <v>50148.234588106941</v>
      </c>
      <c r="CL33" s="106">
        <v>113.01209988844076</v>
      </c>
      <c r="CM33" s="106">
        <v>53567.735347120921</v>
      </c>
      <c r="CN33" s="106">
        <v>59</v>
      </c>
      <c r="CO33" s="106">
        <v>27966</v>
      </c>
      <c r="CP33" s="106">
        <v>43</v>
      </c>
      <c r="CQ33" s="106">
        <v>20382</v>
      </c>
      <c r="CR33" s="106">
        <v>41</v>
      </c>
      <c r="CS33" s="106">
        <v>19434</v>
      </c>
      <c r="CT33" s="106">
        <v>50</v>
      </c>
      <c r="CU33" s="106">
        <v>23700</v>
      </c>
    </row>
    <row r="34" spans="2:99" x14ac:dyDescent="0.2">
      <c r="C34" s="105" t="s">
        <v>199</v>
      </c>
      <c r="D34" s="106">
        <v>38</v>
      </c>
      <c r="E34" s="106">
        <v>20839.2</v>
      </c>
      <c r="F34" s="106">
        <v>34</v>
      </c>
      <c r="G34" s="106">
        <v>18645.599999999999</v>
      </c>
      <c r="H34" s="106">
        <v>37</v>
      </c>
      <c r="I34" s="106">
        <v>20290.8</v>
      </c>
      <c r="J34" s="106">
        <v>30</v>
      </c>
      <c r="K34" s="106">
        <v>16452</v>
      </c>
      <c r="L34" s="106">
        <v>38</v>
      </c>
      <c r="M34" s="106">
        <v>20839.2</v>
      </c>
      <c r="N34" s="106">
        <v>44</v>
      </c>
      <c r="O34" s="106">
        <v>24129.599999999999</v>
      </c>
      <c r="P34" s="106">
        <v>61</v>
      </c>
      <c r="Q34" s="106">
        <v>33452.400000000001</v>
      </c>
      <c r="R34" s="106">
        <v>50</v>
      </c>
      <c r="S34" s="106">
        <v>27420</v>
      </c>
      <c r="T34" s="106">
        <v>267</v>
      </c>
      <c r="U34" s="106">
        <v>146422.79999999999</v>
      </c>
      <c r="V34" s="106">
        <v>163.08669527897001</v>
      </c>
      <c r="W34" s="106">
        <v>89436.743690987147</v>
      </c>
      <c r="X34" s="106">
        <v>109.71792460894096</v>
      </c>
      <c r="Y34" s="106">
        <v>60169.309855543223</v>
      </c>
      <c r="Z34" s="106">
        <v>97.785287319678019</v>
      </c>
      <c r="AA34" s="106">
        <v>53625.45156611142</v>
      </c>
      <c r="AB34" s="106">
        <v>38</v>
      </c>
      <c r="AC34" s="106">
        <v>20839.2</v>
      </c>
      <c r="AD34" s="106">
        <v>56</v>
      </c>
      <c r="AE34" s="106">
        <v>30710.399999999998</v>
      </c>
      <c r="AF34" s="106">
        <v>58</v>
      </c>
      <c r="AG34" s="106">
        <v>31807.199999999997</v>
      </c>
      <c r="AH34" s="106">
        <v>41</v>
      </c>
      <c r="AI34" s="106">
        <v>22484.399999999998</v>
      </c>
      <c r="AJ34" s="106">
        <v>77</v>
      </c>
      <c r="AK34" s="106">
        <v>42226.799999999996</v>
      </c>
      <c r="AL34" s="106">
        <v>77</v>
      </c>
      <c r="AM34" s="106">
        <v>42226.799999999996</v>
      </c>
      <c r="AN34" s="106">
        <v>48</v>
      </c>
      <c r="AO34" s="106">
        <v>26323.199999999997</v>
      </c>
      <c r="AP34" s="106">
        <v>64</v>
      </c>
      <c r="AQ34" s="106">
        <v>35097.599999999999</v>
      </c>
      <c r="AR34" s="106">
        <v>33</v>
      </c>
      <c r="AS34" s="106">
        <v>18097.2</v>
      </c>
      <c r="AT34" s="106">
        <v>30</v>
      </c>
      <c r="AU34" s="106">
        <v>16452</v>
      </c>
      <c r="AV34" s="106">
        <v>38</v>
      </c>
      <c r="AW34" s="106">
        <v>20839.2</v>
      </c>
      <c r="AX34" s="106">
        <v>46</v>
      </c>
      <c r="AY34" s="106">
        <v>25226.399999999998</v>
      </c>
      <c r="AZ34" s="106">
        <v>43</v>
      </c>
      <c r="BA34" s="106">
        <v>23581.200000000001</v>
      </c>
      <c r="BB34" s="106">
        <v>42</v>
      </c>
      <c r="BC34" s="106">
        <v>23032.799999999999</v>
      </c>
      <c r="BD34" s="106">
        <v>25</v>
      </c>
      <c r="BE34" s="106">
        <v>13710</v>
      </c>
      <c r="BF34" s="106">
        <v>28</v>
      </c>
      <c r="BG34" s="106">
        <v>15355.199999999999</v>
      </c>
      <c r="BH34" s="106">
        <v>24</v>
      </c>
      <c r="BI34" s="106">
        <v>13161.599999999999</v>
      </c>
      <c r="BJ34" s="106">
        <v>35</v>
      </c>
      <c r="BK34" s="106">
        <v>19194</v>
      </c>
      <c r="BL34" s="106">
        <v>21</v>
      </c>
      <c r="BM34" s="106">
        <v>11516.4</v>
      </c>
      <c r="BN34" s="106">
        <v>30</v>
      </c>
      <c r="BO34" s="106">
        <v>16452</v>
      </c>
      <c r="BP34" s="106">
        <v>50</v>
      </c>
      <c r="BQ34" s="106">
        <v>27420</v>
      </c>
      <c r="BR34" s="106">
        <v>63</v>
      </c>
      <c r="BS34" s="106">
        <v>34549.199999999997</v>
      </c>
      <c r="BT34" s="106">
        <v>61</v>
      </c>
      <c r="BU34" s="106">
        <v>33452.400000000001</v>
      </c>
      <c r="BV34" s="106">
        <v>70</v>
      </c>
      <c r="BW34" s="106">
        <v>38388</v>
      </c>
      <c r="BX34" s="106">
        <v>513</v>
      </c>
      <c r="BY34" s="106">
        <v>281329.2</v>
      </c>
      <c r="BZ34" s="106">
        <v>163.70669806384115</v>
      </c>
      <c r="CA34" s="106">
        <v>89776.753218210477</v>
      </c>
      <c r="CB34" s="106">
        <v>148.37261049863457</v>
      </c>
      <c r="CC34" s="106">
        <v>81367.539597451192</v>
      </c>
      <c r="CD34" s="106">
        <v>171.67050864445005</v>
      </c>
      <c r="CE34" s="106">
        <v>94144.106940616402</v>
      </c>
      <c r="CF34" s="106">
        <v>108.82579623438326</v>
      </c>
      <c r="CG34" s="106">
        <v>59680.066654935777</v>
      </c>
      <c r="CH34" s="106">
        <v>78.0997878815826</v>
      </c>
      <c r="CI34" s="106">
        <v>42829.923674259895</v>
      </c>
      <c r="CJ34" s="106">
        <v>99.128750681942179</v>
      </c>
      <c r="CK34" s="106">
        <v>54362.206873977091</v>
      </c>
      <c r="CL34" s="106">
        <v>102.42615635458681</v>
      </c>
      <c r="CM34" s="106">
        <v>56170.504144855404</v>
      </c>
      <c r="CN34" s="106">
        <v>55</v>
      </c>
      <c r="CO34" s="106">
        <v>30162</v>
      </c>
      <c r="CP34" s="106">
        <v>45</v>
      </c>
      <c r="CQ34" s="106">
        <v>24678</v>
      </c>
      <c r="CR34" s="106">
        <v>41</v>
      </c>
      <c r="CS34" s="106">
        <v>22484.399999999998</v>
      </c>
      <c r="CT34" s="106">
        <v>52</v>
      </c>
      <c r="CU34" s="106">
        <v>28516.799999999999</v>
      </c>
    </row>
    <row r="35" spans="2:99" x14ac:dyDescent="0.2">
      <c r="C35" s="105" t="s">
        <v>200</v>
      </c>
      <c r="D35" s="106">
        <v>36</v>
      </c>
      <c r="E35" s="106">
        <v>18100.799999999996</v>
      </c>
      <c r="F35" s="106">
        <v>30</v>
      </c>
      <c r="G35" s="106">
        <v>15083.999999999996</v>
      </c>
      <c r="H35" s="106">
        <v>39</v>
      </c>
      <c r="I35" s="106">
        <v>19609.199999999997</v>
      </c>
      <c r="J35" s="106">
        <v>32</v>
      </c>
      <c r="K35" s="106">
        <v>16089.599999999997</v>
      </c>
      <c r="L35" s="106">
        <v>39</v>
      </c>
      <c r="M35" s="106">
        <v>19609.199999999997</v>
      </c>
      <c r="N35" s="106">
        <v>42</v>
      </c>
      <c r="O35" s="106">
        <v>21117.599999999995</v>
      </c>
      <c r="P35" s="106">
        <v>62</v>
      </c>
      <c r="Q35" s="106">
        <v>31173.599999999995</v>
      </c>
      <c r="R35" s="106">
        <v>52</v>
      </c>
      <c r="S35" s="106">
        <v>26145.599999999995</v>
      </c>
      <c r="T35" s="106">
        <v>270</v>
      </c>
      <c r="U35" s="106">
        <v>135755.99999999997</v>
      </c>
      <c r="V35" s="106">
        <v>151.60171673819747</v>
      </c>
      <c r="W35" s="106">
        <v>76225.343175965667</v>
      </c>
      <c r="X35" s="106">
        <v>100.31353107103173</v>
      </c>
      <c r="Y35" s="106">
        <v>50437.643422514746</v>
      </c>
      <c r="Z35" s="106">
        <v>95.393799314577208</v>
      </c>
      <c r="AA35" s="106">
        <v>47964.002295369413</v>
      </c>
      <c r="AB35" s="106">
        <v>39</v>
      </c>
      <c r="AC35" s="106">
        <v>19609.199999999997</v>
      </c>
      <c r="AD35" s="106">
        <v>64</v>
      </c>
      <c r="AE35" s="106">
        <v>32179.199999999993</v>
      </c>
      <c r="AF35" s="106">
        <v>61</v>
      </c>
      <c r="AG35" s="106">
        <v>30670.799999999992</v>
      </c>
      <c r="AH35" s="106">
        <v>37</v>
      </c>
      <c r="AI35" s="106">
        <v>18603.599999999995</v>
      </c>
      <c r="AJ35" s="106">
        <v>74</v>
      </c>
      <c r="AK35" s="106">
        <v>37207.19999999999</v>
      </c>
      <c r="AL35" s="106">
        <v>78</v>
      </c>
      <c r="AM35" s="106">
        <v>39218.399999999994</v>
      </c>
      <c r="AN35" s="106">
        <v>41</v>
      </c>
      <c r="AO35" s="106">
        <v>20614.799999999996</v>
      </c>
      <c r="AP35" s="106">
        <v>67</v>
      </c>
      <c r="AQ35" s="106">
        <v>33687.599999999991</v>
      </c>
      <c r="AR35" s="106">
        <v>33</v>
      </c>
      <c r="AS35" s="106">
        <v>16592.399999999998</v>
      </c>
      <c r="AT35" s="106">
        <v>26</v>
      </c>
      <c r="AU35" s="106">
        <v>13072.799999999997</v>
      </c>
      <c r="AV35" s="106">
        <v>35</v>
      </c>
      <c r="AW35" s="106">
        <v>17597.999999999996</v>
      </c>
      <c r="AX35" s="106">
        <v>49</v>
      </c>
      <c r="AY35" s="106">
        <v>24637.199999999993</v>
      </c>
      <c r="AZ35" s="106">
        <v>48</v>
      </c>
      <c r="BA35" s="106">
        <v>24134.399999999994</v>
      </c>
      <c r="BB35" s="106">
        <v>42</v>
      </c>
      <c r="BC35" s="106">
        <v>21117.599999999995</v>
      </c>
      <c r="BD35" s="106">
        <v>25</v>
      </c>
      <c r="BE35" s="106">
        <v>12569.999999999998</v>
      </c>
      <c r="BF35" s="106">
        <v>29</v>
      </c>
      <c r="BG35" s="106">
        <v>14581.199999999997</v>
      </c>
      <c r="BH35" s="106">
        <v>23</v>
      </c>
      <c r="BI35" s="106">
        <v>11564.399999999998</v>
      </c>
      <c r="BJ35" s="106">
        <v>35</v>
      </c>
      <c r="BK35" s="106">
        <v>17597.999999999996</v>
      </c>
      <c r="BL35" s="106">
        <v>19</v>
      </c>
      <c r="BM35" s="106">
        <v>9553.1999999999989</v>
      </c>
      <c r="BN35" s="106">
        <v>29</v>
      </c>
      <c r="BO35" s="106">
        <v>14581.199999999997</v>
      </c>
      <c r="BP35" s="106">
        <v>54</v>
      </c>
      <c r="BQ35" s="106">
        <v>27151.199999999993</v>
      </c>
      <c r="BR35" s="106">
        <v>66</v>
      </c>
      <c r="BS35" s="106">
        <v>33184.799999999996</v>
      </c>
      <c r="BT35" s="106">
        <v>59</v>
      </c>
      <c r="BU35" s="106">
        <v>29665.199999999993</v>
      </c>
      <c r="BV35" s="106">
        <v>79</v>
      </c>
      <c r="BW35" s="106">
        <v>39721.19999999999</v>
      </c>
      <c r="BX35" s="106">
        <v>460</v>
      </c>
      <c r="BY35" s="106">
        <v>231287.99999999994</v>
      </c>
      <c r="BZ35" s="106">
        <v>195.61119832548428</v>
      </c>
      <c r="CA35" s="106">
        <v>98353.310518053477</v>
      </c>
      <c r="CB35" s="106">
        <v>150.3958733690705</v>
      </c>
      <c r="CC35" s="106">
        <v>75619.045129968639</v>
      </c>
      <c r="CD35" s="106">
        <v>169.99974943623155</v>
      </c>
      <c r="CE35" s="106">
        <v>85475.874016537215</v>
      </c>
      <c r="CF35" s="106">
        <v>96.799225761041711</v>
      </c>
      <c r="CG35" s="106">
        <v>48670.650712651761</v>
      </c>
      <c r="CH35" s="106">
        <v>68.260444526422589</v>
      </c>
      <c r="CI35" s="106">
        <v>34321.351507885272</v>
      </c>
      <c r="CJ35" s="106">
        <v>101.55391889434443</v>
      </c>
      <c r="CK35" s="106">
        <v>51061.31042007637</v>
      </c>
      <c r="CL35" s="106">
        <v>112.72599330644472</v>
      </c>
      <c r="CM35" s="106">
        <v>56678.629434480397</v>
      </c>
      <c r="CN35" s="106">
        <v>64</v>
      </c>
      <c r="CO35" s="106">
        <v>32179.199999999993</v>
      </c>
      <c r="CP35" s="106">
        <v>45</v>
      </c>
      <c r="CQ35" s="106">
        <v>22625.999999999996</v>
      </c>
      <c r="CR35" s="106">
        <v>46</v>
      </c>
      <c r="CS35" s="106">
        <v>23128.799999999996</v>
      </c>
      <c r="CT35" s="106">
        <v>45</v>
      </c>
      <c r="CU35" s="106">
        <v>22625.999999999996</v>
      </c>
    </row>
    <row r="36" spans="2:99" x14ac:dyDescent="0.2">
      <c r="C36" s="105" t="s">
        <v>201</v>
      </c>
      <c r="D36" s="106">
        <v>32</v>
      </c>
      <c r="E36" s="106">
        <v>24345.599999999999</v>
      </c>
      <c r="F36" s="106">
        <v>31</v>
      </c>
      <c r="G36" s="106">
        <v>23584.799999999999</v>
      </c>
      <c r="H36" s="106">
        <v>34</v>
      </c>
      <c r="I36" s="106">
        <v>25867.199999999997</v>
      </c>
      <c r="J36" s="106">
        <v>33</v>
      </c>
      <c r="K36" s="106">
        <v>25106.399999999998</v>
      </c>
      <c r="L36" s="106">
        <v>45</v>
      </c>
      <c r="M36" s="106">
        <v>34236</v>
      </c>
      <c r="N36" s="106">
        <v>46</v>
      </c>
      <c r="O36" s="106">
        <v>34996.799999999996</v>
      </c>
      <c r="P36" s="106">
        <v>53</v>
      </c>
      <c r="Q36" s="106">
        <v>40322.399999999994</v>
      </c>
      <c r="R36" s="106">
        <v>54</v>
      </c>
      <c r="S36" s="106">
        <v>41083.199999999997</v>
      </c>
      <c r="T36" s="106">
        <v>271</v>
      </c>
      <c r="U36" s="106">
        <v>206176.8</v>
      </c>
      <c r="V36" s="106">
        <v>133.2257510729614</v>
      </c>
      <c r="W36" s="106">
        <v>101358.15141630903</v>
      </c>
      <c r="X36" s="106">
        <v>107.153090007693</v>
      </c>
      <c r="Y36" s="106">
        <v>81522.070877852821</v>
      </c>
      <c r="Z36" s="106">
        <v>83.702080178528732</v>
      </c>
      <c r="AA36" s="106">
        <v>63680.542599824657</v>
      </c>
      <c r="AB36" s="106">
        <v>34</v>
      </c>
      <c r="AC36" s="106">
        <v>25867.199999999997</v>
      </c>
      <c r="AD36" s="106">
        <v>56</v>
      </c>
      <c r="AE36" s="106">
        <v>42604.799999999996</v>
      </c>
      <c r="AF36" s="106">
        <v>50</v>
      </c>
      <c r="AG36" s="106">
        <v>38040</v>
      </c>
      <c r="AH36" s="106">
        <v>39</v>
      </c>
      <c r="AI36" s="106">
        <v>29671.199999999997</v>
      </c>
      <c r="AJ36" s="106">
        <v>65</v>
      </c>
      <c r="AK36" s="106">
        <v>49452</v>
      </c>
      <c r="AL36" s="106">
        <v>65</v>
      </c>
      <c r="AM36" s="106">
        <v>49452</v>
      </c>
      <c r="AN36" s="106">
        <v>41</v>
      </c>
      <c r="AO36" s="106">
        <v>31192.799999999999</v>
      </c>
      <c r="AP36" s="106">
        <v>61</v>
      </c>
      <c r="AQ36" s="106">
        <v>46408.799999999996</v>
      </c>
      <c r="AR36" s="106">
        <v>29</v>
      </c>
      <c r="AS36" s="106">
        <v>22063.199999999997</v>
      </c>
      <c r="AT36" s="106">
        <v>26</v>
      </c>
      <c r="AU36" s="106">
        <v>19780.8</v>
      </c>
      <c r="AV36" s="106">
        <v>36</v>
      </c>
      <c r="AW36" s="106">
        <v>27388.799999999999</v>
      </c>
      <c r="AX36" s="106">
        <v>46</v>
      </c>
      <c r="AY36" s="106">
        <v>34996.799999999996</v>
      </c>
      <c r="AZ36" s="106">
        <v>45</v>
      </c>
      <c r="BA36" s="106">
        <v>34236</v>
      </c>
      <c r="BB36" s="106">
        <v>41</v>
      </c>
      <c r="BC36" s="106">
        <v>31192.799999999999</v>
      </c>
      <c r="BD36" s="106">
        <v>24</v>
      </c>
      <c r="BE36" s="106">
        <v>18259.199999999997</v>
      </c>
      <c r="BF36" s="106">
        <v>24</v>
      </c>
      <c r="BG36" s="106">
        <v>18259.199999999997</v>
      </c>
      <c r="BH36" s="106">
        <v>22</v>
      </c>
      <c r="BI36" s="106">
        <v>16737.599999999999</v>
      </c>
      <c r="BJ36" s="106">
        <v>34</v>
      </c>
      <c r="BK36" s="106">
        <v>25867.199999999997</v>
      </c>
      <c r="BL36" s="106">
        <v>22</v>
      </c>
      <c r="BM36" s="106">
        <v>16737.599999999999</v>
      </c>
      <c r="BN36" s="106">
        <v>28</v>
      </c>
      <c r="BO36" s="106">
        <v>21302.399999999998</v>
      </c>
      <c r="BP36" s="106">
        <v>49</v>
      </c>
      <c r="BQ36" s="106">
        <v>37279.199999999997</v>
      </c>
      <c r="BR36" s="106">
        <v>61</v>
      </c>
      <c r="BS36" s="106">
        <v>46408.799999999996</v>
      </c>
      <c r="BT36" s="106">
        <v>54</v>
      </c>
      <c r="BU36" s="106">
        <v>41083.199999999997</v>
      </c>
      <c r="BV36" s="106">
        <v>68</v>
      </c>
      <c r="BW36" s="106">
        <v>51734.399999999994</v>
      </c>
      <c r="BX36" s="106">
        <v>465</v>
      </c>
      <c r="BY36" s="106">
        <v>353772</v>
      </c>
      <c r="BZ36" s="106">
        <v>177.30533751962346</v>
      </c>
      <c r="CA36" s="106">
        <v>134893.90078492952</v>
      </c>
      <c r="CB36" s="106">
        <v>142.30282188732681</v>
      </c>
      <c r="CC36" s="106">
        <v>108263.98689187823</v>
      </c>
      <c r="CD36" s="106">
        <v>142.0145326985718</v>
      </c>
      <c r="CE36" s="106">
        <v>108044.65647707341</v>
      </c>
      <c r="CF36" s="106">
        <v>103.54583846559918</v>
      </c>
      <c r="CG36" s="106">
        <v>78777.673904627853</v>
      </c>
      <c r="CH36" s="106">
        <v>71.642718804758843</v>
      </c>
      <c r="CI36" s="106">
        <v>54505.780466660523</v>
      </c>
      <c r="CJ36" s="106">
        <v>87.912347699581758</v>
      </c>
      <c r="CK36" s="106">
        <v>66883.714129841799</v>
      </c>
      <c r="CL36" s="106">
        <v>99.278983952630227</v>
      </c>
      <c r="CM36" s="106">
        <v>75531.450991161066</v>
      </c>
      <c r="CN36" s="106">
        <v>51</v>
      </c>
      <c r="CO36" s="106">
        <v>38800.799999999996</v>
      </c>
      <c r="CP36" s="106">
        <v>40</v>
      </c>
      <c r="CQ36" s="106">
        <v>30432</v>
      </c>
      <c r="CR36" s="106">
        <v>43</v>
      </c>
      <c r="CS36" s="106">
        <v>32714.399999999998</v>
      </c>
      <c r="CT36" s="106">
        <v>47</v>
      </c>
      <c r="CU36" s="106">
        <v>35757.599999999999</v>
      </c>
    </row>
    <row r="37" spans="2:99" x14ac:dyDescent="0.2">
      <c r="B37" s="105" t="s">
        <v>128</v>
      </c>
      <c r="C37" s="105" t="s">
        <v>202</v>
      </c>
      <c r="D37" s="106">
        <v>23</v>
      </c>
      <c r="E37" s="106">
        <v>19789.2</v>
      </c>
      <c r="F37" s="106">
        <v>20</v>
      </c>
      <c r="G37" s="106">
        <v>17208</v>
      </c>
      <c r="H37" s="106">
        <v>17</v>
      </c>
      <c r="I37" s="106">
        <v>14626.8</v>
      </c>
      <c r="J37" s="106">
        <v>17</v>
      </c>
      <c r="K37" s="106">
        <v>14626.8</v>
      </c>
      <c r="L37" s="106">
        <v>78</v>
      </c>
      <c r="M37" s="106">
        <v>67111.199999999997</v>
      </c>
      <c r="N37" s="106">
        <v>77</v>
      </c>
      <c r="O37" s="106">
        <v>66250.8</v>
      </c>
      <c r="P37" s="106">
        <v>80</v>
      </c>
      <c r="Q37" s="106">
        <v>68832</v>
      </c>
      <c r="R37" s="106">
        <v>83</v>
      </c>
      <c r="S37" s="106">
        <v>71413.2</v>
      </c>
      <c r="T37" s="106">
        <v>105</v>
      </c>
      <c r="U37" s="106">
        <v>90342</v>
      </c>
      <c r="V37" s="106">
        <v>55.127896995708177</v>
      </c>
      <c r="W37" s="106">
        <v>47432.042575107313</v>
      </c>
      <c r="X37" s="106">
        <v>17.953842208735789</v>
      </c>
      <c r="Y37" s="106">
        <v>15447.485836396272</v>
      </c>
      <c r="Z37" s="106">
        <v>23.383438272096921</v>
      </c>
      <c r="AA37" s="106">
        <v>20119.11028931219</v>
      </c>
      <c r="AB37" s="106">
        <v>132</v>
      </c>
      <c r="AC37" s="106">
        <v>113572.8</v>
      </c>
      <c r="AD37" s="106">
        <v>86</v>
      </c>
      <c r="AE37" s="106">
        <v>73994.399999999994</v>
      </c>
      <c r="AF37" s="106">
        <v>73</v>
      </c>
      <c r="AG37" s="106">
        <v>62809.2</v>
      </c>
      <c r="AH37" s="106">
        <v>81</v>
      </c>
      <c r="AI37" s="106">
        <v>69692.399999999994</v>
      </c>
      <c r="AJ37" s="106">
        <v>42</v>
      </c>
      <c r="AK37" s="106">
        <v>36136.799999999996</v>
      </c>
      <c r="AL37" s="106">
        <v>41</v>
      </c>
      <c r="AM37" s="106">
        <v>35276.400000000001</v>
      </c>
      <c r="AN37" s="106">
        <v>47</v>
      </c>
      <c r="AO37" s="106">
        <v>40438.799999999996</v>
      </c>
      <c r="AP37" s="106">
        <v>27</v>
      </c>
      <c r="AQ37" s="106">
        <v>23230.799999999999</v>
      </c>
      <c r="AR37" s="106">
        <v>112</v>
      </c>
      <c r="AS37" s="106">
        <v>96364.800000000003</v>
      </c>
      <c r="AT37" s="106">
        <v>161</v>
      </c>
      <c r="AU37" s="106">
        <v>138524.4</v>
      </c>
      <c r="AV37" s="106">
        <v>177</v>
      </c>
      <c r="AW37" s="106">
        <v>152290.79999999999</v>
      </c>
      <c r="AX37" s="106">
        <v>110</v>
      </c>
      <c r="AY37" s="106">
        <v>94644</v>
      </c>
      <c r="AZ37" s="106">
        <v>58</v>
      </c>
      <c r="BA37" s="106">
        <v>49903.199999999997</v>
      </c>
      <c r="BB37" s="106">
        <v>36</v>
      </c>
      <c r="BC37" s="106">
        <v>30974.399999999998</v>
      </c>
      <c r="BD37" s="106">
        <v>33</v>
      </c>
      <c r="BE37" s="106">
        <v>28393.200000000001</v>
      </c>
      <c r="BF37" s="106">
        <v>47</v>
      </c>
      <c r="BG37" s="106">
        <v>40438.799999999996</v>
      </c>
      <c r="BH37" s="106">
        <v>64</v>
      </c>
      <c r="BI37" s="106">
        <v>55065.599999999999</v>
      </c>
      <c r="BJ37" s="106">
        <v>63</v>
      </c>
      <c r="BK37" s="106">
        <v>54205.2</v>
      </c>
      <c r="BL37" s="106">
        <v>77</v>
      </c>
      <c r="BM37" s="106">
        <v>66250.8</v>
      </c>
      <c r="BN37" s="106">
        <v>44</v>
      </c>
      <c r="BO37" s="106">
        <v>37857.599999999999</v>
      </c>
      <c r="BP37" s="106">
        <v>36</v>
      </c>
      <c r="BQ37" s="106">
        <v>30974.399999999998</v>
      </c>
      <c r="BR37" s="106">
        <v>34</v>
      </c>
      <c r="BS37" s="106">
        <v>29253.599999999999</v>
      </c>
      <c r="BT37" s="106">
        <v>57</v>
      </c>
      <c r="BU37" s="106">
        <v>49042.799999999996</v>
      </c>
      <c r="BV37" s="106">
        <v>39</v>
      </c>
      <c r="BW37" s="106">
        <v>33555.599999999999</v>
      </c>
      <c r="BX37" s="106">
        <v>29</v>
      </c>
      <c r="BY37" s="106">
        <v>24951.599999999999</v>
      </c>
      <c r="BZ37" s="106">
        <v>9.4144427001569966</v>
      </c>
      <c r="CA37" s="106">
        <v>8100.1864992150795</v>
      </c>
      <c r="CB37" s="106">
        <v>7.755841003337717</v>
      </c>
      <c r="CC37" s="106">
        <v>6673.1255992717715</v>
      </c>
      <c r="CD37" s="106">
        <v>7.9361062390378354</v>
      </c>
      <c r="CE37" s="106">
        <v>6828.2258080681531</v>
      </c>
      <c r="CF37" s="106">
        <v>20.533169100827031</v>
      </c>
      <c r="CG37" s="106">
        <v>17666.738694351578</v>
      </c>
      <c r="CH37" s="106">
        <v>28.595591625933789</v>
      </c>
      <c r="CI37" s="106">
        <v>24603.647034953432</v>
      </c>
      <c r="CJ37" s="106">
        <v>37.590107292234954</v>
      </c>
      <c r="CK37" s="106">
        <v>32342.528314238953</v>
      </c>
      <c r="CL37" s="106">
        <v>28.324551617609202</v>
      </c>
      <c r="CM37" s="106">
        <v>24370.444211790957</v>
      </c>
      <c r="CN37" s="106">
        <v>68</v>
      </c>
      <c r="CO37" s="106">
        <v>58507.199999999997</v>
      </c>
      <c r="CP37" s="106">
        <v>93</v>
      </c>
      <c r="CQ37" s="106">
        <v>80017.2</v>
      </c>
      <c r="CR37" s="106">
        <v>69</v>
      </c>
      <c r="CS37" s="106">
        <v>59367.6</v>
      </c>
      <c r="CT37" s="106">
        <v>117</v>
      </c>
      <c r="CU37" s="106">
        <v>100666.8</v>
      </c>
    </row>
    <row r="38" spans="2:99" x14ac:dyDescent="0.2">
      <c r="C38" s="105" t="s">
        <v>203</v>
      </c>
      <c r="D38" s="106">
        <v>20</v>
      </c>
      <c r="E38" s="106">
        <v>24840</v>
      </c>
      <c r="F38" s="106">
        <v>17</v>
      </c>
      <c r="G38" s="106">
        <v>21114</v>
      </c>
      <c r="H38" s="106">
        <v>15</v>
      </c>
      <c r="I38" s="106">
        <v>18630</v>
      </c>
      <c r="J38" s="106">
        <v>15</v>
      </c>
      <c r="K38" s="106">
        <v>18630</v>
      </c>
      <c r="L38" s="106">
        <v>69</v>
      </c>
      <c r="M38" s="106">
        <v>85698</v>
      </c>
      <c r="N38" s="106">
        <v>77</v>
      </c>
      <c r="O38" s="106">
        <v>95634</v>
      </c>
      <c r="P38" s="106">
        <v>72</v>
      </c>
      <c r="Q38" s="106">
        <v>89424</v>
      </c>
      <c r="R38" s="106">
        <v>70</v>
      </c>
      <c r="S38" s="106">
        <v>86940</v>
      </c>
      <c r="T38" s="106">
        <v>104</v>
      </c>
      <c r="U38" s="106">
        <v>129168</v>
      </c>
      <c r="V38" s="106">
        <v>51.682403433476409</v>
      </c>
      <c r="W38" s="106">
        <v>64189.5450643777</v>
      </c>
      <c r="X38" s="106">
        <v>15.958970852209593</v>
      </c>
      <c r="Y38" s="106">
        <v>19821.041798444316</v>
      </c>
      <c r="Z38" s="106">
        <v>18.600462261895274</v>
      </c>
      <c r="AA38" s="106">
        <v>23101.77412927393</v>
      </c>
      <c r="AB38" s="106">
        <v>113</v>
      </c>
      <c r="AC38" s="106">
        <v>140346</v>
      </c>
      <c r="AD38" s="106">
        <v>87</v>
      </c>
      <c r="AE38" s="106">
        <v>108054</v>
      </c>
      <c r="AF38" s="106">
        <v>64</v>
      </c>
      <c r="AG38" s="106">
        <v>79488</v>
      </c>
      <c r="AH38" s="106">
        <v>82</v>
      </c>
      <c r="AI38" s="106">
        <v>101844</v>
      </c>
      <c r="AJ38" s="106">
        <v>40</v>
      </c>
      <c r="AK38" s="106">
        <v>49680</v>
      </c>
      <c r="AL38" s="106">
        <v>37</v>
      </c>
      <c r="AM38" s="106">
        <v>45954</v>
      </c>
      <c r="AN38" s="106">
        <v>49</v>
      </c>
      <c r="AO38" s="106">
        <v>60858</v>
      </c>
      <c r="AP38" s="106">
        <v>28</v>
      </c>
      <c r="AQ38" s="106">
        <v>34776</v>
      </c>
      <c r="AR38" s="106">
        <v>95</v>
      </c>
      <c r="AS38" s="106">
        <v>117990</v>
      </c>
      <c r="AT38" s="106">
        <v>151</v>
      </c>
      <c r="AU38" s="106">
        <v>187542</v>
      </c>
      <c r="AV38" s="106">
        <v>137</v>
      </c>
      <c r="AW38" s="106">
        <v>170154</v>
      </c>
      <c r="AX38" s="106">
        <v>91</v>
      </c>
      <c r="AY38" s="106">
        <v>113022</v>
      </c>
      <c r="AZ38" s="106">
        <v>52</v>
      </c>
      <c r="BA38" s="106">
        <v>64584</v>
      </c>
      <c r="BB38" s="106">
        <v>34</v>
      </c>
      <c r="BC38" s="106">
        <v>42228</v>
      </c>
      <c r="BD38" s="106">
        <v>32</v>
      </c>
      <c r="BE38" s="106">
        <v>39744</v>
      </c>
      <c r="BF38" s="106">
        <v>44</v>
      </c>
      <c r="BG38" s="106">
        <v>54648</v>
      </c>
      <c r="BH38" s="106">
        <v>61</v>
      </c>
      <c r="BI38" s="106">
        <v>75762</v>
      </c>
      <c r="BJ38" s="106">
        <v>59</v>
      </c>
      <c r="BK38" s="106">
        <v>73278</v>
      </c>
      <c r="BL38" s="106">
        <v>69</v>
      </c>
      <c r="BM38" s="106">
        <v>85698</v>
      </c>
      <c r="BN38" s="106">
        <v>41</v>
      </c>
      <c r="BO38" s="106">
        <v>50922</v>
      </c>
      <c r="BP38" s="106">
        <v>35</v>
      </c>
      <c r="BQ38" s="106">
        <v>43470</v>
      </c>
      <c r="BR38" s="106">
        <v>31</v>
      </c>
      <c r="BS38" s="106">
        <v>38502</v>
      </c>
      <c r="BT38" s="106">
        <v>48</v>
      </c>
      <c r="BU38" s="106">
        <v>59616</v>
      </c>
      <c r="BV38" s="106">
        <v>34</v>
      </c>
      <c r="BW38" s="106">
        <v>42228</v>
      </c>
      <c r="BX38" s="106">
        <v>27</v>
      </c>
      <c r="BY38" s="106">
        <v>33534</v>
      </c>
      <c r="BZ38" s="106">
        <v>9.4144427001569966</v>
      </c>
      <c r="CA38" s="106">
        <v>11692.737833594991</v>
      </c>
      <c r="CB38" s="106">
        <v>8.0930514817437054</v>
      </c>
      <c r="CC38" s="106">
        <v>10051.569940325682</v>
      </c>
      <c r="CD38" s="106">
        <v>7.1007266349285905</v>
      </c>
      <c r="CE38" s="106">
        <v>8819.1024805813086</v>
      </c>
      <c r="CF38" s="106">
        <v>19.066514165053672</v>
      </c>
      <c r="CG38" s="106">
        <v>23680.610592996662</v>
      </c>
      <c r="CH38" s="106">
        <v>22.138522549110029</v>
      </c>
      <c r="CI38" s="106">
        <v>27496.045005994656</v>
      </c>
      <c r="CJ38" s="106">
        <v>36.377523186033834</v>
      </c>
      <c r="CK38" s="106">
        <v>45180.883797054019</v>
      </c>
      <c r="CL38" s="106">
        <v>23.746846305672364</v>
      </c>
      <c r="CM38" s="106">
        <v>29493.583111645075</v>
      </c>
      <c r="CN38" s="106">
        <v>53</v>
      </c>
      <c r="CO38" s="106">
        <v>65826</v>
      </c>
      <c r="CP38" s="106">
        <v>82</v>
      </c>
      <c r="CQ38" s="106">
        <v>101844</v>
      </c>
      <c r="CR38" s="106">
        <v>66</v>
      </c>
      <c r="CS38" s="106">
        <v>81972</v>
      </c>
      <c r="CT38" s="106">
        <v>98</v>
      </c>
      <c r="CU38" s="106">
        <v>121716</v>
      </c>
    </row>
    <row r="39" spans="2:99" x14ac:dyDescent="0.2">
      <c r="C39" s="105" t="s">
        <v>204</v>
      </c>
      <c r="D39" s="106">
        <v>21</v>
      </c>
      <c r="E39" s="106">
        <v>29887.200000000001</v>
      </c>
      <c r="F39" s="106">
        <v>17</v>
      </c>
      <c r="G39" s="106">
        <v>24194.400000000001</v>
      </c>
      <c r="H39" s="106">
        <v>15</v>
      </c>
      <c r="I39" s="106">
        <v>21348</v>
      </c>
      <c r="J39" s="106">
        <v>16</v>
      </c>
      <c r="K39" s="106">
        <v>22771.200000000001</v>
      </c>
      <c r="L39" s="106">
        <v>74</v>
      </c>
      <c r="M39" s="106">
        <v>105316.8</v>
      </c>
      <c r="N39" s="106">
        <v>67</v>
      </c>
      <c r="O39" s="106">
        <v>95354.400000000009</v>
      </c>
      <c r="P39" s="106">
        <v>78</v>
      </c>
      <c r="Q39" s="106">
        <v>111009.60000000001</v>
      </c>
      <c r="R39" s="106">
        <v>74</v>
      </c>
      <c r="S39" s="106">
        <v>105316.8</v>
      </c>
      <c r="T39" s="106">
        <v>89</v>
      </c>
      <c r="U39" s="106">
        <v>126664.8</v>
      </c>
      <c r="V39" s="106">
        <v>43.642918454935639</v>
      </c>
      <c r="W39" s="106">
        <v>62112.601545064404</v>
      </c>
      <c r="X39" s="106">
        <v>14.81904436276605</v>
      </c>
      <c r="Y39" s="106">
        <v>21090.463937088643</v>
      </c>
      <c r="Z39" s="106">
        <v>19.397624930262218</v>
      </c>
      <c r="AA39" s="106">
        <v>27606.699800749189</v>
      </c>
      <c r="AB39" s="106">
        <v>113</v>
      </c>
      <c r="AC39" s="106">
        <v>160821.6</v>
      </c>
      <c r="AD39" s="106">
        <v>79</v>
      </c>
      <c r="AE39" s="106">
        <v>112432.8</v>
      </c>
      <c r="AF39" s="106">
        <v>59</v>
      </c>
      <c r="AG39" s="106">
        <v>83968.8</v>
      </c>
      <c r="AH39" s="106">
        <v>78</v>
      </c>
      <c r="AI39" s="106">
        <v>111009.60000000001</v>
      </c>
      <c r="AJ39" s="106">
        <v>38</v>
      </c>
      <c r="AK39" s="106">
        <v>54081.599999999999</v>
      </c>
      <c r="AL39" s="106">
        <v>36</v>
      </c>
      <c r="AM39" s="106">
        <v>51235.200000000004</v>
      </c>
      <c r="AN39" s="106">
        <v>42</v>
      </c>
      <c r="AO39" s="106">
        <v>59774.400000000001</v>
      </c>
      <c r="AP39" s="106">
        <v>25</v>
      </c>
      <c r="AQ39" s="106">
        <v>35580</v>
      </c>
      <c r="AR39" s="106">
        <v>97</v>
      </c>
      <c r="AS39" s="106">
        <v>138050.4</v>
      </c>
      <c r="AT39" s="106">
        <v>142</v>
      </c>
      <c r="AU39" s="106">
        <v>202094.4</v>
      </c>
      <c r="AV39" s="106">
        <v>150</v>
      </c>
      <c r="AW39" s="106">
        <v>213480</v>
      </c>
      <c r="AX39" s="106">
        <v>89</v>
      </c>
      <c r="AY39" s="106">
        <v>126664.8</v>
      </c>
      <c r="AZ39" s="106">
        <v>45</v>
      </c>
      <c r="BA39" s="106">
        <v>64044</v>
      </c>
      <c r="BB39" s="106">
        <v>39</v>
      </c>
      <c r="BC39" s="106">
        <v>55504.800000000003</v>
      </c>
      <c r="BD39" s="106">
        <v>31</v>
      </c>
      <c r="BE39" s="106">
        <v>44119.200000000004</v>
      </c>
      <c r="BF39" s="106">
        <v>43</v>
      </c>
      <c r="BG39" s="106">
        <v>61197.599999999999</v>
      </c>
      <c r="BH39" s="106">
        <v>52</v>
      </c>
      <c r="BI39" s="106">
        <v>74006.400000000009</v>
      </c>
      <c r="BJ39" s="106">
        <v>50</v>
      </c>
      <c r="BK39" s="106">
        <v>71160</v>
      </c>
      <c r="BL39" s="106">
        <v>64</v>
      </c>
      <c r="BM39" s="106">
        <v>91084.800000000003</v>
      </c>
      <c r="BN39" s="106">
        <v>37</v>
      </c>
      <c r="BO39" s="106">
        <v>52658.400000000001</v>
      </c>
      <c r="BP39" s="106">
        <v>32</v>
      </c>
      <c r="BQ39" s="106">
        <v>45542.400000000001</v>
      </c>
      <c r="BR39" s="106">
        <v>32</v>
      </c>
      <c r="BS39" s="106">
        <v>45542.400000000001</v>
      </c>
      <c r="BT39" s="106">
        <v>50</v>
      </c>
      <c r="BU39" s="106">
        <v>71160</v>
      </c>
      <c r="BV39" s="106">
        <v>34</v>
      </c>
      <c r="BW39" s="106">
        <v>48388.800000000003</v>
      </c>
      <c r="BX39" s="106">
        <v>23</v>
      </c>
      <c r="BY39" s="106">
        <v>32733.600000000002</v>
      </c>
      <c r="BZ39" s="106">
        <v>8.3683935112506642</v>
      </c>
      <c r="CA39" s="106">
        <v>11909.897645211946</v>
      </c>
      <c r="CB39" s="106">
        <v>7.081420046525742</v>
      </c>
      <c r="CC39" s="106">
        <v>10078.277010215435</v>
      </c>
      <c r="CD39" s="106">
        <v>7.1007266349285905</v>
      </c>
      <c r="CE39" s="106">
        <v>10105.75414683037</v>
      </c>
      <c r="CF39" s="106">
        <v>19.359845152208344</v>
      </c>
      <c r="CG39" s="106">
        <v>27552.931620622916</v>
      </c>
      <c r="CH39" s="106">
        <v>21.216084109563777</v>
      </c>
      <c r="CI39" s="106">
        <v>30194.730904731168</v>
      </c>
      <c r="CJ39" s="106">
        <v>33.042916893980724</v>
      </c>
      <c r="CK39" s="106">
        <v>47026.679323513366</v>
      </c>
      <c r="CL39" s="106">
        <v>25.46348579764868</v>
      </c>
      <c r="CM39" s="106">
        <v>36239.632987213605</v>
      </c>
      <c r="CN39" s="106">
        <v>57</v>
      </c>
      <c r="CO39" s="106">
        <v>81122.400000000009</v>
      </c>
      <c r="CP39" s="106">
        <v>70</v>
      </c>
      <c r="CQ39" s="106">
        <v>99624</v>
      </c>
      <c r="CR39" s="106">
        <v>73</v>
      </c>
      <c r="CS39" s="106">
        <v>103893.6</v>
      </c>
      <c r="CT39" s="106">
        <v>98</v>
      </c>
      <c r="CU39" s="106">
        <v>139473.60000000001</v>
      </c>
    </row>
    <row r="40" spans="2:99" x14ac:dyDescent="0.2">
      <c r="C40" s="105" t="s">
        <v>205</v>
      </c>
      <c r="D40" s="106">
        <v>25</v>
      </c>
      <c r="E40" s="106">
        <v>18120</v>
      </c>
      <c r="F40" s="106">
        <v>21</v>
      </c>
      <c r="G40" s="106">
        <v>15220.8</v>
      </c>
      <c r="H40" s="106">
        <v>18</v>
      </c>
      <c r="I40" s="106">
        <v>13046.4</v>
      </c>
      <c r="J40" s="106">
        <v>16</v>
      </c>
      <c r="K40" s="106">
        <v>11596.8</v>
      </c>
      <c r="L40" s="106">
        <v>80</v>
      </c>
      <c r="M40" s="106">
        <v>57984</v>
      </c>
      <c r="N40" s="106">
        <v>78</v>
      </c>
      <c r="O40" s="106">
        <v>56534.399999999994</v>
      </c>
      <c r="P40" s="106">
        <v>87</v>
      </c>
      <c r="Q40" s="106">
        <v>63057.599999999999</v>
      </c>
      <c r="R40" s="106">
        <v>73</v>
      </c>
      <c r="S40" s="106">
        <v>52910.399999999994</v>
      </c>
      <c r="T40" s="106">
        <v>120</v>
      </c>
      <c r="U40" s="106">
        <v>86976</v>
      </c>
      <c r="V40" s="106">
        <v>59.147639484978555</v>
      </c>
      <c r="W40" s="106">
        <v>42870.209098712454</v>
      </c>
      <c r="X40" s="106">
        <v>16.243952474570477</v>
      </c>
      <c r="Y40" s="106">
        <v>11773.616753568682</v>
      </c>
      <c r="Z40" s="106">
        <v>22.586275603729977</v>
      </c>
      <c r="AA40" s="106">
        <v>16370.532557583487</v>
      </c>
      <c r="AB40" s="106">
        <v>117</v>
      </c>
      <c r="AC40" s="106">
        <v>84801.599999999991</v>
      </c>
      <c r="AD40" s="106">
        <v>99</v>
      </c>
      <c r="AE40" s="106">
        <v>71755.199999999997</v>
      </c>
      <c r="AF40" s="106">
        <v>74</v>
      </c>
      <c r="AG40" s="106">
        <v>53635.199999999997</v>
      </c>
      <c r="AH40" s="106">
        <v>83</v>
      </c>
      <c r="AI40" s="106">
        <v>60158.399999999994</v>
      </c>
      <c r="AJ40" s="106">
        <v>40</v>
      </c>
      <c r="AK40" s="106">
        <v>28992</v>
      </c>
      <c r="AL40" s="106">
        <v>45</v>
      </c>
      <c r="AM40" s="106">
        <v>32615.999999999996</v>
      </c>
      <c r="AN40" s="106">
        <v>53</v>
      </c>
      <c r="AO40" s="106">
        <v>38414.399999999994</v>
      </c>
      <c r="AP40" s="106">
        <v>29</v>
      </c>
      <c r="AQ40" s="106">
        <v>21019.199999999997</v>
      </c>
      <c r="AR40" s="106">
        <v>118</v>
      </c>
      <c r="AS40" s="106">
        <v>85526.399999999994</v>
      </c>
      <c r="AT40" s="106">
        <v>165</v>
      </c>
      <c r="AU40" s="106">
        <v>119591.99999999999</v>
      </c>
      <c r="AV40" s="106">
        <v>168</v>
      </c>
      <c r="AW40" s="106">
        <v>121766.39999999999</v>
      </c>
      <c r="AX40" s="106">
        <v>120</v>
      </c>
      <c r="AY40" s="106">
        <v>86976</v>
      </c>
      <c r="AZ40" s="106">
        <v>54</v>
      </c>
      <c r="BA40" s="106">
        <v>39139.199999999997</v>
      </c>
      <c r="BB40" s="106">
        <v>43</v>
      </c>
      <c r="BC40" s="106">
        <v>31166.399999999998</v>
      </c>
      <c r="BD40" s="106">
        <v>37</v>
      </c>
      <c r="BE40" s="106">
        <v>26817.599999999999</v>
      </c>
      <c r="BF40" s="106">
        <v>49</v>
      </c>
      <c r="BG40" s="106">
        <v>35515.199999999997</v>
      </c>
      <c r="BH40" s="106">
        <v>72</v>
      </c>
      <c r="BI40" s="106">
        <v>52185.599999999999</v>
      </c>
      <c r="BJ40" s="106">
        <v>62</v>
      </c>
      <c r="BK40" s="106">
        <v>44937.599999999999</v>
      </c>
      <c r="BL40" s="106">
        <v>71</v>
      </c>
      <c r="BM40" s="106">
        <v>51460.799999999996</v>
      </c>
      <c r="BN40" s="106">
        <v>47</v>
      </c>
      <c r="BO40" s="106">
        <v>34065.599999999999</v>
      </c>
      <c r="BP40" s="106">
        <v>36</v>
      </c>
      <c r="BQ40" s="106">
        <v>26092.799999999999</v>
      </c>
      <c r="BR40" s="106">
        <v>37</v>
      </c>
      <c r="BS40" s="106">
        <v>26817.599999999999</v>
      </c>
      <c r="BT40" s="106">
        <v>63</v>
      </c>
      <c r="BU40" s="106">
        <v>45662.399999999994</v>
      </c>
      <c r="BV40" s="106">
        <v>36</v>
      </c>
      <c r="BW40" s="106">
        <v>26092.799999999999</v>
      </c>
      <c r="BX40" s="106">
        <v>25</v>
      </c>
      <c r="BY40" s="106">
        <v>18120</v>
      </c>
      <c r="BZ40" s="106">
        <v>9.4144427001569966</v>
      </c>
      <c r="CA40" s="106">
        <v>6823.5880690737904</v>
      </c>
      <c r="CB40" s="106">
        <v>7.755841003337717</v>
      </c>
      <c r="CC40" s="106">
        <v>5621.4335592191765</v>
      </c>
      <c r="CD40" s="106">
        <v>7.1007266349285905</v>
      </c>
      <c r="CE40" s="106">
        <v>5146.6066649962422</v>
      </c>
      <c r="CF40" s="106">
        <v>23.759809959528422</v>
      </c>
      <c r="CG40" s="106">
        <v>17221.110258666198</v>
      </c>
      <c r="CH40" s="106">
        <v>29.210550585631285</v>
      </c>
      <c r="CI40" s="106">
        <v>21171.807064465553</v>
      </c>
      <c r="CJ40" s="106">
        <v>40.924713584288057</v>
      </c>
      <c r="CK40" s="106">
        <v>29662.23240589198</v>
      </c>
      <c r="CL40" s="106">
        <v>27.180125289624993</v>
      </c>
      <c r="CM40" s="106">
        <v>19700.154809920194</v>
      </c>
      <c r="CN40" s="106">
        <v>64</v>
      </c>
      <c r="CO40" s="106">
        <v>46387.199999999997</v>
      </c>
      <c r="CP40" s="106">
        <v>84</v>
      </c>
      <c r="CQ40" s="106">
        <v>60883.199999999997</v>
      </c>
      <c r="CR40" s="106">
        <v>74</v>
      </c>
      <c r="CS40" s="106">
        <v>53635.199999999997</v>
      </c>
      <c r="CT40" s="106">
        <v>113</v>
      </c>
      <c r="CU40" s="106">
        <v>81902.399999999994</v>
      </c>
    </row>
    <row r="41" spans="2:99" x14ac:dyDescent="0.2">
      <c r="C41" s="105" t="s">
        <v>206</v>
      </c>
      <c r="D41" s="106">
        <v>24</v>
      </c>
      <c r="E41" s="106">
        <v>15840</v>
      </c>
      <c r="F41" s="106">
        <v>19</v>
      </c>
      <c r="G41" s="106">
        <v>12540</v>
      </c>
      <c r="H41" s="106">
        <v>16</v>
      </c>
      <c r="I41" s="106">
        <v>10560</v>
      </c>
      <c r="J41" s="106">
        <v>16</v>
      </c>
      <c r="K41" s="106">
        <v>10560</v>
      </c>
      <c r="L41" s="106">
        <v>79</v>
      </c>
      <c r="M41" s="106">
        <v>52140</v>
      </c>
      <c r="N41" s="106">
        <v>89</v>
      </c>
      <c r="O41" s="106">
        <v>58740</v>
      </c>
      <c r="P41" s="106">
        <v>88</v>
      </c>
      <c r="Q41" s="106">
        <v>58080</v>
      </c>
      <c r="R41" s="106">
        <v>89</v>
      </c>
      <c r="S41" s="106">
        <v>58740</v>
      </c>
      <c r="T41" s="106">
        <v>123</v>
      </c>
      <c r="U41" s="106">
        <v>81180</v>
      </c>
      <c r="V41" s="106">
        <v>51.682403433476409</v>
      </c>
      <c r="W41" s="106">
        <v>34110.386266094429</v>
      </c>
      <c r="X41" s="106">
        <v>19.093768698179336</v>
      </c>
      <c r="Y41" s="106">
        <v>12601.887340798361</v>
      </c>
      <c r="Z41" s="106">
        <v>24.180600940463858</v>
      </c>
      <c r="AA41" s="106">
        <v>15959.196620706147</v>
      </c>
      <c r="AB41" s="106">
        <v>126</v>
      </c>
      <c r="AC41" s="106">
        <v>83160</v>
      </c>
      <c r="AD41" s="106">
        <v>94</v>
      </c>
      <c r="AE41" s="106">
        <v>62040</v>
      </c>
      <c r="AF41" s="106">
        <v>75</v>
      </c>
      <c r="AG41" s="106">
        <v>49500</v>
      </c>
      <c r="AH41" s="106">
        <v>96</v>
      </c>
      <c r="AI41" s="106">
        <v>63360</v>
      </c>
      <c r="AJ41" s="106">
        <v>42</v>
      </c>
      <c r="AK41" s="106">
        <v>27720</v>
      </c>
      <c r="AL41" s="106">
        <v>41</v>
      </c>
      <c r="AM41" s="106">
        <v>27060</v>
      </c>
      <c r="AN41" s="106">
        <v>50</v>
      </c>
      <c r="AO41" s="106">
        <v>33000</v>
      </c>
      <c r="AP41" s="106">
        <v>31</v>
      </c>
      <c r="AQ41" s="106">
        <v>20460</v>
      </c>
      <c r="AR41" s="106">
        <v>104</v>
      </c>
      <c r="AS41" s="106">
        <v>68640</v>
      </c>
      <c r="AT41" s="106">
        <v>176</v>
      </c>
      <c r="AU41" s="106">
        <v>116160</v>
      </c>
      <c r="AV41" s="106">
        <v>185</v>
      </c>
      <c r="AW41" s="106">
        <v>122100</v>
      </c>
      <c r="AX41" s="106">
        <v>113</v>
      </c>
      <c r="AY41" s="106">
        <v>74580</v>
      </c>
      <c r="AZ41" s="106">
        <v>61</v>
      </c>
      <c r="BA41" s="106">
        <v>40260</v>
      </c>
      <c r="BB41" s="106">
        <v>44</v>
      </c>
      <c r="BC41" s="106">
        <v>29040</v>
      </c>
      <c r="BD41" s="106">
        <v>31</v>
      </c>
      <c r="BE41" s="106">
        <v>20460</v>
      </c>
      <c r="BF41" s="106">
        <v>43</v>
      </c>
      <c r="BG41" s="106">
        <v>28380</v>
      </c>
      <c r="BH41" s="106">
        <v>69</v>
      </c>
      <c r="BI41" s="106">
        <v>45540</v>
      </c>
      <c r="BJ41" s="106">
        <v>58</v>
      </c>
      <c r="BK41" s="106">
        <v>38280</v>
      </c>
      <c r="BL41" s="106">
        <v>69</v>
      </c>
      <c r="BM41" s="106">
        <v>45540</v>
      </c>
      <c r="BN41" s="106">
        <v>50</v>
      </c>
      <c r="BO41" s="106">
        <v>33000</v>
      </c>
      <c r="BP41" s="106">
        <v>35</v>
      </c>
      <c r="BQ41" s="106">
        <v>23100</v>
      </c>
      <c r="BR41" s="106">
        <v>31</v>
      </c>
      <c r="BS41" s="106">
        <v>20460</v>
      </c>
      <c r="BT41" s="106">
        <v>59</v>
      </c>
      <c r="BU41" s="106">
        <v>38940</v>
      </c>
      <c r="BV41" s="106">
        <v>38</v>
      </c>
      <c r="BW41" s="106">
        <v>25080</v>
      </c>
      <c r="BX41" s="106">
        <v>30</v>
      </c>
      <c r="BY41" s="106">
        <v>19800</v>
      </c>
      <c r="BZ41" s="106">
        <v>8.8914181057038313</v>
      </c>
      <c r="CA41" s="106">
        <v>5868.3359497645288</v>
      </c>
      <c r="CB41" s="106">
        <v>8.4302619601496929</v>
      </c>
      <c r="CC41" s="106">
        <v>5563.9728936987976</v>
      </c>
      <c r="CD41" s="106">
        <v>6.6830368328739675</v>
      </c>
      <c r="CE41" s="106">
        <v>4410.8043096968186</v>
      </c>
      <c r="CF41" s="106">
        <v>22.879816998064406</v>
      </c>
      <c r="CG41" s="106">
        <v>15100.679218722507</v>
      </c>
      <c r="CH41" s="106">
        <v>27.365673706538786</v>
      </c>
      <c r="CI41" s="106">
        <v>18061.3446463156</v>
      </c>
      <c r="CJ41" s="106">
        <v>41.227859610838337</v>
      </c>
      <c r="CK41" s="106">
        <v>27210.387343153303</v>
      </c>
      <c r="CL41" s="106">
        <v>30.041191109585519</v>
      </c>
      <c r="CM41" s="106">
        <v>19827.186132326442</v>
      </c>
      <c r="CN41" s="106">
        <v>62</v>
      </c>
      <c r="CO41" s="106">
        <v>40920</v>
      </c>
      <c r="CP41" s="106">
        <v>84</v>
      </c>
      <c r="CQ41" s="106">
        <v>55440</v>
      </c>
      <c r="CR41" s="106">
        <v>86</v>
      </c>
      <c r="CS41" s="106">
        <v>56760</v>
      </c>
      <c r="CT41" s="106">
        <v>123</v>
      </c>
      <c r="CU41" s="106">
        <v>81180</v>
      </c>
    </row>
    <row r="42" spans="2:99" x14ac:dyDescent="0.2">
      <c r="C42" s="105" t="s">
        <v>207</v>
      </c>
      <c r="D42" s="106">
        <v>23</v>
      </c>
      <c r="E42" s="106">
        <v>19458</v>
      </c>
      <c r="F42" s="106">
        <v>18</v>
      </c>
      <c r="G42" s="106">
        <v>15228</v>
      </c>
      <c r="H42" s="106">
        <v>16</v>
      </c>
      <c r="I42" s="106">
        <v>13536</v>
      </c>
      <c r="J42" s="106">
        <v>16</v>
      </c>
      <c r="K42" s="106">
        <v>13536</v>
      </c>
      <c r="L42" s="106">
        <v>83</v>
      </c>
      <c r="M42" s="106">
        <v>70218</v>
      </c>
      <c r="N42" s="106">
        <v>73</v>
      </c>
      <c r="O42" s="106">
        <v>61758</v>
      </c>
      <c r="P42" s="106">
        <v>83</v>
      </c>
      <c r="Q42" s="106">
        <v>70218</v>
      </c>
      <c r="R42" s="106">
        <v>75</v>
      </c>
      <c r="S42" s="106">
        <v>63450</v>
      </c>
      <c r="T42" s="106">
        <v>100</v>
      </c>
      <c r="U42" s="106">
        <v>84600</v>
      </c>
      <c r="V42" s="106">
        <v>49.959656652360529</v>
      </c>
      <c r="W42" s="106">
        <v>42265.869527897004</v>
      </c>
      <c r="X42" s="106">
        <v>15.958970852209593</v>
      </c>
      <c r="Y42" s="106">
        <v>13501.289340969315</v>
      </c>
      <c r="Z42" s="106">
        <v>22.586275603729977</v>
      </c>
      <c r="AA42" s="106">
        <v>19107.989160755562</v>
      </c>
      <c r="AB42" s="106">
        <v>122</v>
      </c>
      <c r="AC42" s="106">
        <v>103212</v>
      </c>
      <c r="AD42" s="106">
        <v>87</v>
      </c>
      <c r="AE42" s="106">
        <v>73602</v>
      </c>
      <c r="AF42" s="106">
        <v>70</v>
      </c>
      <c r="AG42" s="106">
        <v>59220</v>
      </c>
      <c r="AH42" s="106">
        <v>96</v>
      </c>
      <c r="AI42" s="106">
        <v>81216</v>
      </c>
      <c r="AJ42" s="106">
        <v>48</v>
      </c>
      <c r="AK42" s="106">
        <v>40608</v>
      </c>
      <c r="AL42" s="106">
        <v>45</v>
      </c>
      <c r="AM42" s="106">
        <v>38070</v>
      </c>
      <c r="AN42" s="106">
        <v>50</v>
      </c>
      <c r="AO42" s="106">
        <v>42300</v>
      </c>
      <c r="AP42" s="106">
        <v>29</v>
      </c>
      <c r="AQ42" s="106">
        <v>24534</v>
      </c>
      <c r="AR42" s="106">
        <v>110</v>
      </c>
      <c r="AS42" s="106">
        <v>93060</v>
      </c>
      <c r="AT42" s="106">
        <v>180</v>
      </c>
      <c r="AU42" s="106">
        <v>152280</v>
      </c>
      <c r="AV42" s="106">
        <v>176</v>
      </c>
      <c r="AW42" s="106">
        <v>148896</v>
      </c>
      <c r="AX42" s="106">
        <v>111</v>
      </c>
      <c r="AY42" s="106">
        <v>93906</v>
      </c>
      <c r="AZ42" s="106">
        <v>59</v>
      </c>
      <c r="BA42" s="106">
        <v>49914</v>
      </c>
      <c r="BB42" s="106">
        <v>42</v>
      </c>
      <c r="BC42" s="106">
        <v>35532</v>
      </c>
      <c r="BD42" s="106">
        <v>33</v>
      </c>
      <c r="BE42" s="106">
        <v>27918</v>
      </c>
      <c r="BF42" s="106">
        <v>43</v>
      </c>
      <c r="BG42" s="106">
        <v>36378</v>
      </c>
      <c r="BH42" s="106">
        <v>62</v>
      </c>
      <c r="BI42" s="106">
        <v>52452</v>
      </c>
      <c r="BJ42" s="106">
        <v>66</v>
      </c>
      <c r="BK42" s="106">
        <v>55836</v>
      </c>
      <c r="BL42" s="106">
        <v>69</v>
      </c>
      <c r="BM42" s="106">
        <v>58374</v>
      </c>
      <c r="BN42" s="106">
        <v>41</v>
      </c>
      <c r="BO42" s="106">
        <v>34686</v>
      </c>
      <c r="BP42" s="106">
        <v>32</v>
      </c>
      <c r="BQ42" s="106">
        <v>27072</v>
      </c>
      <c r="BR42" s="106">
        <v>36</v>
      </c>
      <c r="BS42" s="106">
        <v>30456</v>
      </c>
      <c r="BT42" s="106">
        <v>53</v>
      </c>
      <c r="BU42" s="106">
        <v>44838</v>
      </c>
      <c r="BV42" s="106">
        <v>37</v>
      </c>
      <c r="BW42" s="106">
        <v>31302</v>
      </c>
      <c r="BX42" s="106">
        <v>25</v>
      </c>
      <c r="BY42" s="106">
        <v>21150</v>
      </c>
      <c r="BZ42" s="106">
        <v>9.9374672946101654</v>
      </c>
      <c r="CA42" s="106">
        <v>8407.0973312402002</v>
      </c>
      <c r="CB42" s="106">
        <v>7.4186305249317295</v>
      </c>
      <c r="CC42" s="106">
        <v>6276.1614240922436</v>
      </c>
      <c r="CD42" s="106">
        <v>7.1007266349285905</v>
      </c>
      <c r="CE42" s="106">
        <v>6007.2147331495871</v>
      </c>
      <c r="CF42" s="106">
        <v>21.706493049445719</v>
      </c>
      <c r="CG42" s="106">
        <v>18363.693119831078</v>
      </c>
      <c r="CH42" s="106">
        <v>26.135755787143783</v>
      </c>
      <c r="CI42" s="106">
        <v>22110.84939592364</v>
      </c>
      <c r="CJ42" s="106">
        <v>43.349881796690312</v>
      </c>
      <c r="CK42" s="106">
        <v>36674.000000000007</v>
      </c>
      <c r="CL42" s="106">
        <v>29.182871363597361</v>
      </c>
      <c r="CM42" s="106">
        <v>24688.709173603365</v>
      </c>
      <c r="CN42" s="106">
        <v>69</v>
      </c>
      <c r="CO42" s="106">
        <v>58374</v>
      </c>
      <c r="CP42" s="106">
        <v>93</v>
      </c>
      <c r="CQ42" s="106">
        <v>78678</v>
      </c>
      <c r="CR42" s="106">
        <v>83</v>
      </c>
      <c r="CS42" s="106">
        <v>70218</v>
      </c>
      <c r="CT42" s="106">
        <v>105</v>
      </c>
      <c r="CU42" s="106">
        <v>88830</v>
      </c>
    </row>
    <row r="43" spans="2:99" x14ac:dyDescent="0.2">
      <c r="C43" s="105" t="s">
        <v>208</v>
      </c>
      <c r="D43" s="106">
        <v>21</v>
      </c>
      <c r="E43" s="106">
        <v>21470.399999999998</v>
      </c>
      <c r="F43" s="106">
        <v>18</v>
      </c>
      <c r="G43" s="106">
        <v>18403.2</v>
      </c>
      <c r="H43" s="106">
        <v>17</v>
      </c>
      <c r="I43" s="106">
        <v>17380.8</v>
      </c>
      <c r="J43" s="106">
        <v>16</v>
      </c>
      <c r="K43" s="106">
        <v>16358.4</v>
      </c>
      <c r="L43" s="106">
        <v>80</v>
      </c>
      <c r="M43" s="106">
        <v>81792</v>
      </c>
      <c r="N43" s="106">
        <v>85</v>
      </c>
      <c r="O43" s="106">
        <v>86904</v>
      </c>
      <c r="P43" s="106">
        <v>90</v>
      </c>
      <c r="Q43" s="106">
        <v>92016</v>
      </c>
      <c r="R43" s="106">
        <v>69</v>
      </c>
      <c r="S43" s="106">
        <v>70545.599999999991</v>
      </c>
      <c r="T43" s="106">
        <v>100</v>
      </c>
      <c r="U43" s="106">
        <v>102240</v>
      </c>
      <c r="V43" s="106">
        <v>47.662660944206017</v>
      </c>
      <c r="W43" s="106">
        <v>48730.304549356231</v>
      </c>
      <c r="X43" s="106">
        <v>15.958970852209593</v>
      </c>
      <c r="Y43" s="106">
        <v>16316.451799299088</v>
      </c>
      <c r="Z43" s="106">
        <v>22.586275603729977</v>
      </c>
      <c r="AA43" s="106">
        <v>23092.208177253528</v>
      </c>
      <c r="AB43" s="106">
        <v>107</v>
      </c>
      <c r="AC43" s="106">
        <v>109396.8</v>
      </c>
      <c r="AD43" s="106">
        <v>92</v>
      </c>
      <c r="AE43" s="106">
        <v>94060.800000000003</v>
      </c>
      <c r="AF43" s="106">
        <v>74</v>
      </c>
      <c r="AG43" s="106">
        <v>75657.599999999991</v>
      </c>
      <c r="AH43" s="106">
        <v>91</v>
      </c>
      <c r="AI43" s="106">
        <v>93038.399999999994</v>
      </c>
      <c r="AJ43" s="106">
        <v>41</v>
      </c>
      <c r="AK43" s="106">
        <v>41918.400000000001</v>
      </c>
      <c r="AL43" s="106">
        <v>36</v>
      </c>
      <c r="AM43" s="106">
        <v>36806.400000000001</v>
      </c>
      <c r="AN43" s="106">
        <v>44</v>
      </c>
      <c r="AO43" s="106">
        <v>44985.599999999999</v>
      </c>
      <c r="AP43" s="106">
        <v>28</v>
      </c>
      <c r="AQ43" s="106">
        <v>28627.200000000001</v>
      </c>
      <c r="AR43" s="106">
        <v>97</v>
      </c>
      <c r="AS43" s="106">
        <v>99172.800000000003</v>
      </c>
      <c r="AT43" s="106">
        <v>167</v>
      </c>
      <c r="AU43" s="106">
        <v>170740.8</v>
      </c>
      <c r="AV43" s="106">
        <v>148</v>
      </c>
      <c r="AW43" s="106">
        <v>151315.19999999998</v>
      </c>
      <c r="AX43" s="106">
        <v>112</v>
      </c>
      <c r="AY43" s="106">
        <v>114508.8</v>
      </c>
      <c r="AZ43" s="106">
        <v>57</v>
      </c>
      <c r="BA43" s="106">
        <v>58276.799999999996</v>
      </c>
      <c r="BB43" s="106">
        <v>39</v>
      </c>
      <c r="BC43" s="106">
        <v>39873.599999999999</v>
      </c>
      <c r="BD43" s="106">
        <v>31</v>
      </c>
      <c r="BE43" s="106">
        <v>31694.399999999998</v>
      </c>
      <c r="BF43" s="106">
        <v>44</v>
      </c>
      <c r="BG43" s="106">
        <v>44985.599999999999</v>
      </c>
      <c r="BH43" s="106">
        <v>68</v>
      </c>
      <c r="BI43" s="106">
        <v>69523.199999999997</v>
      </c>
      <c r="BJ43" s="106">
        <v>58</v>
      </c>
      <c r="BK43" s="106">
        <v>59299.199999999997</v>
      </c>
      <c r="BL43" s="106">
        <v>77</v>
      </c>
      <c r="BM43" s="106">
        <v>78724.800000000003</v>
      </c>
      <c r="BN43" s="106">
        <v>45</v>
      </c>
      <c r="BO43" s="106">
        <v>46008</v>
      </c>
      <c r="BP43" s="106">
        <v>31</v>
      </c>
      <c r="BQ43" s="106">
        <v>31694.399999999998</v>
      </c>
      <c r="BR43" s="106">
        <v>31</v>
      </c>
      <c r="BS43" s="106">
        <v>31694.399999999998</v>
      </c>
      <c r="BT43" s="106">
        <v>61</v>
      </c>
      <c r="BU43" s="106">
        <v>62366.400000000001</v>
      </c>
      <c r="BV43" s="106">
        <v>34</v>
      </c>
      <c r="BW43" s="106">
        <v>34761.599999999999</v>
      </c>
      <c r="BX43" s="106">
        <v>27</v>
      </c>
      <c r="BY43" s="106">
        <v>27604.799999999999</v>
      </c>
      <c r="BZ43" s="106">
        <v>9.4144427001569966</v>
      </c>
      <c r="CA43" s="106">
        <v>9625.3262166405129</v>
      </c>
      <c r="CB43" s="106">
        <v>8.0930514817437054</v>
      </c>
      <c r="CC43" s="106">
        <v>8274.3358349347636</v>
      </c>
      <c r="CD43" s="106">
        <v>7.5184164369832125</v>
      </c>
      <c r="CE43" s="106">
        <v>7686.8289651716359</v>
      </c>
      <c r="CF43" s="106">
        <v>18.186521203589656</v>
      </c>
      <c r="CG43" s="106">
        <v>18593.899278550063</v>
      </c>
      <c r="CH43" s="106">
        <v>25.828276307295035</v>
      </c>
      <c r="CI43" s="106">
        <v>26406.829696578443</v>
      </c>
      <c r="CJ43" s="106">
        <v>37.590107292234954</v>
      </c>
      <c r="CK43" s="106">
        <v>38432.125695581017</v>
      </c>
      <c r="CL43" s="106">
        <v>26.321805543636835</v>
      </c>
      <c r="CM43" s="106">
        <v>26911.4139878143</v>
      </c>
      <c r="CN43" s="106">
        <v>66</v>
      </c>
      <c r="CO43" s="106">
        <v>67478.399999999994</v>
      </c>
      <c r="CP43" s="106">
        <v>80</v>
      </c>
      <c r="CQ43" s="106">
        <v>81792</v>
      </c>
      <c r="CR43" s="106">
        <v>76</v>
      </c>
      <c r="CS43" s="106">
        <v>77702.399999999994</v>
      </c>
      <c r="CT43" s="106">
        <v>120</v>
      </c>
      <c r="CU43" s="106">
        <v>122688</v>
      </c>
    </row>
    <row r="44" spans="2:99" x14ac:dyDescent="0.2">
      <c r="C44" s="105" t="s">
        <v>209</v>
      </c>
      <c r="D44" s="106">
        <v>23</v>
      </c>
      <c r="E44" s="106">
        <v>23515.200000000001</v>
      </c>
      <c r="F44" s="106">
        <v>17</v>
      </c>
      <c r="G44" s="106">
        <v>17380.8</v>
      </c>
      <c r="H44" s="106">
        <v>15</v>
      </c>
      <c r="I44" s="106">
        <v>15336</v>
      </c>
      <c r="J44" s="106">
        <v>17</v>
      </c>
      <c r="K44" s="106">
        <v>17380.8</v>
      </c>
      <c r="L44" s="106">
        <v>80</v>
      </c>
      <c r="M44" s="106">
        <v>81792</v>
      </c>
      <c r="N44" s="106">
        <v>83</v>
      </c>
      <c r="O44" s="106">
        <v>84859.199999999997</v>
      </c>
      <c r="P44" s="106">
        <v>79</v>
      </c>
      <c r="Q44" s="106">
        <v>80769.599999999991</v>
      </c>
      <c r="R44" s="106">
        <v>73</v>
      </c>
      <c r="S44" s="106">
        <v>74635.199999999997</v>
      </c>
      <c r="T44" s="106">
        <v>106</v>
      </c>
      <c r="U44" s="106">
        <v>108374.39999999999</v>
      </c>
      <c r="V44" s="106">
        <v>53.979399141630921</v>
      </c>
      <c r="W44" s="106">
        <v>55188.537682403454</v>
      </c>
      <c r="X44" s="106">
        <v>16.81391571929225</v>
      </c>
      <c r="Y44" s="106">
        <v>17190.547431404397</v>
      </c>
      <c r="Z44" s="106">
        <v>21.789112935363036</v>
      </c>
      <c r="AA44" s="106">
        <v>22277.189065115166</v>
      </c>
      <c r="AB44" s="106">
        <v>123</v>
      </c>
      <c r="AC44" s="106">
        <v>125755.2</v>
      </c>
      <c r="AD44" s="106">
        <v>90</v>
      </c>
      <c r="AE44" s="106">
        <v>92016</v>
      </c>
      <c r="AF44" s="106">
        <v>62</v>
      </c>
      <c r="AG44" s="106">
        <v>63388.799999999996</v>
      </c>
      <c r="AH44" s="106">
        <v>91</v>
      </c>
      <c r="AI44" s="106">
        <v>93038.399999999994</v>
      </c>
      <c r="AJ44" s="106">
        <v>42</v>
      </c>
      <c r="AK44" s="106">
        <v>42940.799999999996</v>
      </c>
      <c r="AL44" s="106">
        <v>40</v>
      </c>
      <c r="AM44" s="106">
        <v>40896</v>
      </c>
      <c r="AN44" s="106">
        <v>42</v>
      </c>
      <c r="AO44" s="106">
        <v>42940.799999999996</v>
      </c>
      <c r="AP44" s="106">
        <v>28</v>
      </c>
      <c r="AQ44" s="106">
        <v>28627.200000000001</v>
      </c>
      <c r="AR44" s="106">
        <v>101</v>
      </c>
      <c r="AS44" s="106">
        <v>103262.39999999999</v>
      </c>
      <c r="AT44" s="106">
        <v>151</v>
      </c>
      <c r="AU44" s="106">
        <v>154382.39999999999</v>
      </c>
      <c r="AV44" s="106">
        <v>166</v>
      </c>
      <c r="AW44" s="106">
        <v>169718.39999999999</v>
      </c>
      <c r="AX44" s="106">
        <v>104</v>
      </c>
      <c r="AY44" s="106">
        <v>106329.59999999999</v>
      </c>
      <c r="AZ44" s="106">
        <v>53</v>
      </c>
      <c r="BA44" s="106">
        <v>54187.199999999997</v>
      </c>
      <c r="BB44" s="106">
        <v>40</v>
      </c>
      <c r="BC44" s="106">
        <v>40896</v>
      </c>
      <c r="BD44" s="106">
        <v>34</v>
      </c>
      <c r="BE44" s="106">
        <v>34761.599999999999</v>
      </c>
      <c r="BF44" s="106">
        <v>48</v>
      </c>
      <c r="BG44" s="106">
        <v>49075.199999999997</v>
      </c>
      <c r="BH44" s="106">
        <v>66</v>
      </c>
      <c r="BI44" s="106">
        <v>67478.399999999994</v>
      </c>
      <c r="BJ44" s="106">
        <v>61</v>
      </c>
      <c r="BK44" s="106">
        <v>62366.400000000001</v>
      </c>
      <c r="BL44" s="106">
        <v>69</v>
      </c>
      <c r="BM44" s="106">
        <v>70545.599999999991</v>
      </c>
      <c r="BN44" s="106">
        <v>43</v>
      </c>
      <c r="BO44" s="106">
        <v>43963.199999999997</v>
      </c>
      <c r="BP44" s="106">
        <v>32</v>
      </c>
      <c r="BQ44" s="106">
        <v>32716.799999999999</v>
      </c>
      <c r="BR44" s="106">
        <v>32</v>
      </c>
      <c r="BS44" s="106">
        <v>32716.799999999999</v>
      </c>
      <c r="BT44" s="106">
        <v>52</v>
      </c>
      <c r="BU44" s="106">
        <v>53164.799999999996</v>
      </c>
      <c r="BV44" s="106">
        <v>38</v>
      </c>
      <c r="BW44" s="106">
        <v>38851.199999999997</v>
      </c>
      <c r="BX44" s="106">
        <v>24</v>
      </c>
      <c r="BY44" s="106">
        <v>24537.599999999999</v>
      </c>
      <c r="BZ44" s="106">
        <v>8.3683935112506642</v>
      </c>
      <c r="CA44" s="106">
        <v>8555.8455259026796</v>
      </c>
      <c r="CB44" s="106">
        <v>7.4186305249317295</v>
      </c>
      <c r="CC44" s="106">
        <v>7584.8078486902004</v>
      </c>
      <c r="CD44" s="106">
        <v>6.6830368328739675</v>
      </c>
      <c r="CE44" s="106">
        <v>6832.7368579303438</v>
      </c>
      <c r="CF44" s="106">
        <v>21.119831075136375</v>
      </c>
      <c r="CG44" s="106">
        <v>21592.915291219429</v>
      </c>
      <c r="CH44" s="106">
        <v>24.29087890805128</v>
      </c>
      <c r="CI44" s="106">
        <v>24834.994595591626</v>
      </c>
      <c r="CJ44" s="106">
        <v>36.377523186033834</v>
      </c>
      <c r="CK44" s="106">
        <v>37192.379705400992</v>
      </c>
      <c r="CL44" s="106">
        <v>26.035698961640783</v>
      </c>
      <c r="CM44" s="106">
        <v>26618.898618381536</v>
      </c>
      <c r="CN44" s="106">
        <v>66</v>
      </c>
      <c r="CO44" s="106">
        <v>67478.399999999994</v>
      </c>
      <c r="CP44" s="106">
        <v>87</v>
      </c>
      <c r="CQ44" s="106">
        <v>88948.800000000003</v>
      </c>
      <c r="CR44" s="106">
        <v>78</v>
      </c>
      <c r="CS44" s="106">
        <v>79747.199999999997</v>
      </c>
      <c r="CT44" s="106">
        <v>116</v>
      </c>
      <c r="CU44" s="106">
        <v>118598.39999999999</v>
      </c>
    </row>
    <row r="45" spans="2:99" x14ac:dyDescent="0.2">
      <c r="C45" s="105" t="s">
        <v>210</v>
      </c>
      <c r="D45" s="106">
        <v>20</v>
      </c>
      <c r="E45" s="106">
        <v>24984</v>
      </c>
      <c r="F45" s="106">
        <v>17</v>
      </c>
      <c r="G45" s="106">
        <v>21236.400000000001</v>
      </c>
      <c r="H45" s="106">
        <v>15</v>
      </c>
      <c r="I45" s="106">
        <v>18738</v>
      </c>
      <c r="J45" s="106">
        <v>16</v>
      </c>
      <c r="K45" s="106">
        <v>19987.2</v>
      </c>
      <c r="L45" s="106">
        <v>76</v>
      </c>
      <c r="M45" s="106">
        <v>94939.199999999997</v>
      </c>
      <c r="N45" s="106">
        <v>68</v>
      </c>
      <c r="O45" s="106">
        <v>84945.600000000006</v>
      </c>
      <c r="P45" s="106">
        <v>81</v>
      </c>
      <c r="Q45" s="106">
        <v>101185.2</v>
      </c>
      <c r="R45" s="106">
        <v>68</v>
      </c>
      <c r="S45" s="106">
        <v>84945.600000000006</v>
      </c>
      <c r="T45" s="106">
        <v>93</v>
      </c>
      <c r="U45" s="106">
        <v>116175.6</v>
      </c>
      <c r="V45" s="106">
        <v>44.791416309012888</v>
      </c>
      <c r="W45" s="106">
        <v>55953.437253218901</v>
      </c>
      <c r="X45" s="106">
        <v>13.964099495683392</v>
      </c>
      <c r="Y45" s="106">
        <v>17443.953090007693</v>
      </c>
      <c r="Z45" s="106">
        <v>19.663345819717865</v>
      </c>
      <c r="AA45" s="106">
        <v>24563.451597991556</v>
      </c>
      <c r="AB45" s="106">
        <v>110</v>
      </c>
      <c r="AC45" s="106">
        <v>137412</v>
      </c>
      <c r="AD45" s="106">
        <v>85</v>
      </c>
      <c r="AE45" s="106">
        <v>106182</v>
      </c>
      <c r="AF45" s="106">
        <v>65</v>
      </c>
      <c r="AG45" s="106">
        <v>81198</v>
      </c>
      <c r="AH45" s="106">
        <v>84</v>
      </c>
      <c r="AI45" s="106">
        <v>104932.8</v>
      </c>
      <c r="AJ45" s="106">
        <v>37</v>
      </c>
      <c r="AK45" s="106">
        <v>46220.4</v>
      </c>
      <c r="AL45" s="106">
        <v>39</v>
      </c>
      <c r="AM45" s="106">
        <v>48718.8</v>
      </c>
      <c r="AN45" s="106">
        <v>47</v>
      </c>
      <c r="AO45" s="106">
        <v>58712.4</v>
      </c>
      <c r="AP45" s="106">
        <v>27</v>
      </c>
      <c r="AQ45" s="106">
        <v>33728.400000000001</v>
      </c>
      <c r="AR45" s="106">
        <v>102</v>
      </c>
      <c r="AS45" s="106">
        <v>127418.40000000001</v>
      </c>
      <c r="AT45" s="106">
        <v>141</v>
      </c>
      <c r="AU45" s="106">
        <v>176137.2</v>
      </c>
      <c r="AV45" s="106">
        <v>142</v>
      </c>
      <c r="AW45" s="106">
        <v>177386.4</v>
      </c>
      <c r="AX45" s="106">
        <v>92</v>
      </c>
      <c r="AY45" s="106">
        <v>114926.40000000001</v>
      </c>
      <c r="AZ45" s="106">
        <v>48</v>
      </c>
      <c r="BA45" s="106">
        <v>59961.600000000006</v>
      </c>
      <c r="BB45" s="106">
        <v>40</v>
      </c>
      <c r="BC45" s="106">
        <v>49968</v>
      </c>
      <c r="BD45" s="106">
        <v>31</v>
      </c>
      <c r="BE45" s="106">
        <v>38725.200000000004</v>
      </c>
      <c r="BF45" s="106">
        <v>39</v>
      </c>
      <c r="BG45" s="106">
        <v>48718.8</v>
      </c>
      <c r="BH45" s="106">
        <v>65</v>
      </c>
      <c r="BI45" s="106">
        <v>81198</v>
      </c>
      <c r="BJ45" s="106">
        <v>57</v>
      </c>
      <c r="BK45" s="106">
        <v>71204.400000000009</v>
      </c>
      <c r="BL45" s="106">
        <v>69</v>
      </c>
      <c r="BM45" s="106">
        <v>86194.8</v>
      </c>
      <c r="BN45" s="106">
        <v>40</v>
      </c>
      <c r="BO45" s="106">
        <v>49968</v>
      </c>
      <c r="BP45" s="106">
        <v>30</v>
      </c>
      <c r="BQ45" s="106">
        <v>37476</v>
      </c>
      <c r="BR45" s="106">
        <v>29</v>
      </c>
      <c r="BS45" s="106">
        <v>36226.800000000003</v>
      </c>
      <c r="BT45" s="106">
        <v>58</v>
      </c>
      <c r="BU45" s="106">
        <v>72453.600000000006</v>
      </c>
      <c r="BV45" s="106">
        <v>34</v>
      </c>
      <c r="BW45" s="106">
        <v>42472.800000000003</v>
      </c>
      <c r="BX45" s="106">
        <v>26</v>
      </c>
      <c r="BY45" s="106">
        <v>32479.200000000001</v>
      </c>
      <c r="BZ45" s="106">
        <v>8.3683935112506642</v>
      </c>
      <c r="CA45" s="106">
        <v>10453.79717425433</v>
      </c>
      <c r="CB45" s="106">
        <v>8.0930514817437054</v>
      </c>
      <c r="CC45" s="106">
        <v>10109.839910994237</v>
      </c>
      <c r="CD45" s="106">
        <v>6.2653470308193437</v>
      </c>
      <c r="CE45" s="106">
        <v>7826.671510899524</v>
      </c>
      <c r="CF45" s="106">
        <v>20.239838113672359</v>
      </c>
      <c r="CG45" s="106">
        <v>25283.605771599512</v>
      </c>
      <c r="CH45" s="106">
        <v>25.520796827446283</v>
      </c>
      <c r="CI45" s="106">
        <v>31880.579396845897</v>
      </c>
      <c r="CJ45" s="106">
        <v>40.318421531187496</v>
      </c>
      <c r="CK45" s="106">
        <v>50365.772176759419</v>
      </c>
      <c r="CL45" s="106">
        <v>26.035698961640783</v>
      </c>
      <c r="CM45" s="106">
        <v>32523.795142881667</v>
      </c>
      <c r="CN45" s="106">
        <v>55</v>
      </c>
      <c r="CO45" s="106">
        <v>68706</v>
      </c>
      <c r="CP45" s="106">
        <v>84</v>
      </c>
      <c r="CQ45" s="106">
        <v>104932.8</v>
      </c>
      <c r="CR45" s="106">
        <v>70</v>
      </c>
      <c r="CS45" s="106">
        <v>87444</v>
      </c>
      <c r="CT45" s="106">
        <v>102</v>
      </c>
      <c r="CU45" s="106">
        <v>127418.40000000001</v>
      </c>
    </row>
    <row r="46" spans="2:99" x14ac:dyDescent="0.2">
      <c r="C46" s="105" t="s">
        <v>211</v>
      </c>
      <c r="D46" s="106">
        <v>21</v>
      </c>
      <c r="E46" s="106">
        <v>25452</v>
      </c>
      <c r="F46" s="106">
        <v>18</v>
      </c>
      <c r="G46" s="106">
        <v>21816</v>
      </c>
      <c r="H46" s="106">
        <v>15</v>
      </c>
      <c r="I46" s="106">
        <v>18180</v>
      </c>
      <c r="J46" s="106">
        <v>16</v>
      </c>
      <c r="K46" s="106">
        <v>19392</v>
      </c>
      <c r="L46" s="106">
        <v>70</v>
      </c>
      <c r="M46" s="106">
        <v>84840</v>
      </c>
      <c r="N46" s="106">
        <v>67</v>
      </c>
      <c r="O46" s="106">
        <v>81204</v>
      </c>
      <c r="P46" s="106">
        <v>79</v>
      </c>
      <c r="Q46" s="106">
        <v>95748</v>
      </c>
      <c r="R46" s="106">
        <v>67</v>
      </c>
      <c r="S46" s="106">
        <v>81204</v>
      </c>
      <c r="T46" s="106">
        <v>92</v>
      </c>
      <c r="U46" s="106">
        <v>111504</v>
      </c>
      <c r="V46" s="106">
        <v>51.682403433476409</v>
      </c>
      <c r="W46" s="106">
        <v>62639.072961373407</v>
      </c>
      <c r="X46" s="106">
        <v>13.964099495683392</v>
      </c>
      <c r="Y46" s="106">
        <v>16924.488588768272</v>
      </c>
      <c r="Z46" s="106">
        <v>19.397624930262218</v>
      </c>
      <c r="AA46" s="106">
        <v>23509.921415477809</v>
      </c>
      <c r="AB46" s="106">
        <v>113</v>
      </c>
      <c r="AC46" s="106">
        <v>136956</v>
      </c>
      <c r="AD46" s="106">
        <v>75</v>
      </c>
      <c r="AE46" s="106">
        <v>90900</v>
      </c>
      <c r="AF46" s="106">
        <v>66</v>
      </c>
      <c r="AG46" s="106">
        <v>79992</v>
      </c>
      <c r="AH46" s="106">
        <v>76</v>
      </c>
      <c r="AI46" s="106">
        <v>92112</v>
      </c>
      <c r="AJ46" s="106">
        <v>39</v>
      </c>
      <c r="AK46" s="106">
        <v>47268</v>
      </c>
      <c r="AL46" s="106">
        <v>40</v>
      </c>
      <c r="AM46" s="106">
        <v>48480</v>
      </c>
      <c r="AN46" s="106">
        <v>42</v>
      </c>
      <c r="AO46" s="106">
        <v>50904</v>
      </c>
      <c r="AP46" s="106">
        <v>27</v>
      </c>
      <c r="AQ46" s="106">
        <v>32724</v>
      </c>
      <c r="AR46" s="106">
        <v>88</v>
      </c>
      <c r="AS46" s="106">
        <v>106656</v>
      </c>
      <c r="AT46" s="106">
        <v>164</v>
      </c>
      <c r="AU46" s="106">
        <v>198768</v>
      </c>
      <c r="AV46" s="106">
        <v>161</v>
      </c>
      <c r="AW46" s="106">
        <v>195132</v>
      </c>
      <c r="AX46" s="106">
        <v>104</v>
      </c>
      <c r="AY46" s="106">
        <v>126048</v>
      </c>
      <c r="AZ46" s="106">
        <v>47</v>
      </c>
      <c r="BA46" s="106">
        <v>56964</v>
      </c>
      <c r="BB46" s="106">
        <v>33</v>
      </c>
      <c r="BC46" s="106">
        <v>39996</v>
      </c>
      <c r="BD46" s="106">
        <v>30</v>
      </c>
      <c r="BE46" s="106">
        <v>36360</v>
      </c>
      <c r="BF46" s="106">
        <v>40</v>
      </c>
      <c r="BG46" s="106">
        <v>48480</v>
      </c>
      <c r="BH46" s="106">
        <v>65</v>
      </c>
      <c r="BI46" s="106">
        <v>78780</v>
      </c>
      <c r="BJ46" s="106">
        <v>52</v>
      </c>
      <c r="BK46" s="106">
        <v>63024</v>
      </c>
      <c r="BL46" s="106">
        <v>61</v>
      </c>
      <c r="BM46" s="106">
        <v>73932</v>
      </c>
      <c r="BN46" s="106">
        <v>38</v>
      </c>
      <c r="BO46" s="106">
        <v>46056</v>
      </c>
      <c r="BP46" s="106">
        <v>29</v>
      </c>
      <c r="BQ46" s="106">
        <v>35148</v>
      </c>
      <c r="BR46" s="106">
        <v>29</v>
      </c>
      <c r="BS46" s="106">
        <v>35148</v>
      </c>
      <c r="BT46" s="106">
        <v>55</v>
      </c>
      <c r="BU46" s="106">
        <v>66660</v>
      </c>
      <c r="BV46" s="106">
        <v>33</v>
      </c>
      <c r="BW46" s="106">
        <v>39996</v>
      </c>
      <c r="BX46" s="106">
        <v>27</v>
      </c>
      <c r="BY46" s="106">
        <v>32724</v>
      </c>
      <c r="BZ46" s="106">
        <v>8.8914181057038313</v>
      </c>
      <c r="CA46" s="106">
        <v>10776.398744113043</v>
      </c>
      <c r="CB46" s="106">
        <v>7.4186305249317295</v>
      </c>
      <c r="CC46" s="106">
        <v>8991.3801962172565</v>
      </c>
      <c r="CD46" s="106">
        <v>7.1007266349285905</v>
      </c>
      <c r="CE46" s="106">
        <v>8606.0806815334508</v>
      </c>
      <c r="CF46" s="106">
        <v>18.186521203589656</v>
      </c>
      <c r="CG46" s="106">
        <v>22042.063698750662</v>
      </c>
      <c r="CH46" s="106">
        <v>23.67591994835378</v>
      </c>
      <c r="CI46" s="106">
        <v>28695.214977404783</v>
      </c>
      <c r="CJ46" s="106">
        <v>36.983815239134394</v>
      </c>
      <c r="CK46" s="106">
        <v>44824.384069830885</v>
      </c>
      <c r="CL46" s="106">
        <v>24.032952887668415</v>
      </c>
      <c r="CM46" s="106">
        <v>29127.938899854118</v>
      </c>
      <c r="CN46" s="106">
        <v>62</v>
      </c>
      <c r="CO46" s="106">
        <v>75144</v>
      </c>
      <c r="CP46" s="106">
        <v>79</v>
      </c>
      <c r="CQ46" s="106">
        <v>95748</v>
      </c>
      <c r="CR46" s="106">
        <v>66</v>
      </c>
      <c r="CS46" s="106">
        <v>79992</v>
      </c>
      <c r="CT46" s="106">
        <v>113</v>
      </c>
      <c r="CU46" s="106">
        <v>136956</v>
      </c>
    </row>
    <row r="47" spans="2:99" x14ac:dyDescent="0.2">
      <c r="C47" s="105" t="s">
        <v>212</v>
      </c>
      <c r="D47" s="106">
        <v>20</v>
      </c>
      <c r="E47" s="106">
        <v>30552</v>
      </c>
      <c r="F47" s="106">
        <v>18</v>
      </c>
      <c r="G47" s="106">
        <v>27496.799999999999</v>
      </c>
      <c r="H47" s="106">
        <v>16</v>
      </c>
      <c r="I47" s="106">
        <v>24441.599999999999</v>
      </c>
      <c r="J47" s="106">
        <v>16</v>
      </c>
      <c r="K47" s="106">
        <v>24441.599999999999</v>
      </c>
      <c r="L47" s="106">
        <v>71</v>
      </c>
      <c r="M47" s="106">
        <v>108459.59999999999</v>
      </c>
      <c r="N47" s="106">
        <v>72</v>
      </c>
      <c r="O47" s="106">
        <v>109987.2</v>
      </c>
      <c r="P47" s="106">
        <v>74</v>
      </c>
      <c r="Q47" s="106">
        <v>113042.4</v>
      </c>
      <c r="R47" s="106">
        <v>61</v>
      </c>
      <c r="S47" s="106">
        <v>93183.599999999991</v>
      </c>
      <c r="T47" s="106">
        <v>98</v>
      </c>
      <c r="U47" s="106">
        <v>149704.79999999999</v>
      </c>
      <c r="V47" s="106">
        <v>42.494420600858383</v>
      </c>
      <c r="W47" s="106">
        <v>64914.476909871264</v>
      </c>
      <c r="X47" s="106">
        <v>13.394136250961624</v>
      </c>
      <c r="Y47" s="106">
        <v>20460.882536968977</v>
      </c>
      <c r="Z47" s="106">
        <v>18.069020482983984</v>
      </c>
      <c r="AA47" s="106">
        <v>27602.23568980633</v>
      </c>
      <c r="AB47" s="106">
        <v>103</v>
      </c>
      <c r="AC47" s="106">
        <v>157342.79999999999</v>
      </c>
      <c r="AD47" s="106">
        <v>70</v>
      </c>
      <c r="AE47" s="106">
        <v>106932</v>
      </c>
      <c r="AF47" s="106">
        <v>57</v>
      </c>
      <c r="AG47" s="106">
        <v>87073.2</v>
      </c>
      <c r="AH47" s="106">
        <v>70</v>
      </c>
      <c r="AI47" s="106">
        <v>106932</v>
      </c>
      <c r="AJ47" s="106">
        <v>38</v>
      </c>
      <c r="AK47" s="106">
        <v>58048.799999999996</v>
      </c>
      <c r="AL47" s="106">
        <v>38</v>
      </c>
      <c r="AM47" s="106">
        <v>58048.799999999996</v>
      </c>
      <c r="AN47" s="106">
        <v>44</v>
      </c>
      <c r="AO47" s="106">
        <v>67214.399999999994</v>
      </c>
      <c r="AP47" s="106">
        <v>27</v>
      </c>
      <c r="AQ47" s="106">
        <v>41245.199999999997</v>
      </c>
      <c r="AR47" s="106">
        <v>91</v>
      </c>
      <c r="AS47" s="106">
        <v>139011.6</v>
      </c>
      <c r="AT47" s="106">
        <v>132</v>
      </c>
      <c r="AU47" s="106">
        <v>201643.19999999998</v>
      </c>
      <c r="AV47" s="106">
        <v>138</v>
      </c>
      <c r="AW47" s="106">
        <v>210808.8</v>
      </c>
      <c r="AX47" s="106">
        <v>93</v>
      </c>
      <c r="AY47" s="106">
        <v>142066.79999999999</v>
      </c>
      <c r="AZ47" s="106">
        <v>48</v>
      </c>
      <c r="BA47" s="106">
        <v>73324.799999999988</v>
      </c>
      <c r="BB47" s="106">
        <v>34</v>
      </c>
      <c r="BC47" s="106">
        <v>51938.399999999994</v>
      </c>
      <c r="BD47" s="106">
        <v>32</v>
      </c>
      <c r="BE47" s="106">
        <v>48883.199999999997</v>
      </c>
      <c r="BF47" s="106">
        <v>40</v>
      </c>
      <c r="BG47" s="106">
        <v>61104</v>
      </c>
      <c r="BH47" s="106">
        <v>56</v>
      </c>
      <c r="BI47" s="106">
        <v>85545.599999999991</v>
      </c>
      <c r="BJ47" s="106">
        <v>58</v>
      </c>
      <c r="BK47" s="106">
        <v>88600.799999999988</v>
      </c>
      <c r="BL47" s="106">
        <v>64</v>
      </c>
      <c r="BM47" s="106">
        <v>97766.399999999994</v>
      </c>
      <c r="BN47" s="106">
        <v>41</v>
      </c>
      <c r="BO47" s="106">
        <v>62631.6</v>
      </c>
      <c r="BP47" s="106">
        <v>28</v>
      </c>
      <c r="BQ47" s="106">
        <v>42772.799999999996</v>
      </c>
      <c r="BR47" s="106">
        <v>27</v>
      </c>
      <c r="BS47" s="106">
        <v>41245.199999999997</v>
      </c>
      <c r="BT47" s="106">
        <v>55</v>
      </c>
      <c r="BU47" s="106">
        <v>84018</v>
      </c>
      <c r="BV47" s="106">
        <v>37</v>
      </c>
      <c r="BW47" s="106">
        <v>56521.2</v>
      </c>
      <c r="BX47" s="106">
        <v>26</v>
      </c>
      <c r="BY47" s="106">
        <v>39717.599999999999</v>
      </c>
      <c r="BZ47" s="106">
        <v>7.8453689167974971</v>
      </c>
      <c r="CA47" s="106">
        <v>11984.585557299855</v>
      </c>
      <c r="CB47" s="106">
        <v>7.755841003337717</v>
      </c>
      <c r="CC47" s="106">
        <v>11847.822716698696</v>
      </c>
      <c r="CD47" s="106">
        <v>5.8476572287647217</v>
      </c>
      <c r="CE47" s="106">
        <v>8932.881182660989</v>
      </c>
      <c r="CF47" s="106">
        <v>18.186521203589656</v>
      </c>
      <c r="CG47" s="106">
        <v>27781.729790603556</v>
      </c>
      <c r="CH47" s="106">
        <v>22.753481508807528</v>
      </c>
      <c r="CI47" s="106">
        <v>34758.218352854376</v>
      </c>
      <c r="CJ47" s="106">
        <v>35.164939079832706</v>
      </c>
      <c r="CK47" s="106">
        <v>53717.960938352437</v>
      </c>
      <c r="CL47" s="106">
        <v>22.888526559684205</v>
      </c>
      <c r="CM47" s="106">
        <v>34964.513172573592</v>
      </c>
      <c r="CN47" s="106">
        <v>53</v>
      </c>
      <c r="CO47" s="106">
        <v>80962.799999999988</v>
      </c>
      <c r="CP47" s="106">
        <v>71</v>
      </c>
      <c r="CQ47" s="106">
        <v>108459.59999999999</v>
      </c>
      <c r="CR47" s="106">
        <v>62</v>
      </c>
      <c r="CS47" s="106">
        <v>94711.2</v>
      </c>
      <c r="CT47" s="106">
        <v>98</v>
      </c>
      <c r="CU47" s="106">
        <v>149704.79999999999</v>
      </c>
    </row>
    <row r="48" spans="2:99" x14ac:dyDescent="0.2">
      <c r="C48" s="105" t="s">
        <v>213</v>
      </c>
      <c r="D48" s="106">
        <v>24</v>
      </c>
      <c r="E48" s="106">
        <v>20822.400000000001</v>
      </c>
      <c r="F48" s="106">
        <v>20</v>
      </c>
      <c r="G48" s="106">
        <v>17352</v>
      </c>
      <c r="H48" s="106">
        <v>18</v>
      </c>
      <c r="I48" s="106">
        <v>15616.800000000001</v>
      </c>
      <c r="J48" s="106">
        <v>16</v>
      </c>
      <c r="K48" s="106">
        <v>13881.6</v>
      </c>
      <c r="L48" s="106">
        <v>77</v>
      </c>
      <c r="M48" s="106">
        <v>66805.2</v>
      </c>
      <c r="N48" s="106">
        <v>78</v>
      </c>
      <c r="O48" s="106">
        <v>67672.800000000003</v>
      </c>
      <c r="P48" s="106">
        <v>82</v>
      </c>
      <c r="Q48" s="106">
        <v>71143.199999999997</v>
      </c>
      <c r="R48" s="106">
        <v>72</v>
      </c>
      <c r="S48" s="106">
        <v>62467.200000000004</v>
      </c>
      <c r="T48" s="106">
        <v>113</v>
      </c>
      <c r="U48" s="106">
        <v>98038.8</v>
      </c>
      <c r="V48" s="106">
        <v>49.385407725321897</v>
      </c>
      <c r="W48" s="106">
        <v>42846.779742489278</v>
      </c>
      <c r="X48" s="106">
        <v>17.668860586374905</v>
      </c>
      <c r="Y48" s="106">
        <v>15329.503444738868</v>
      </c>
      <c r="Z48" s="106">
        <v>22.054833824818687</v>
      </c>
      <c r="AA48" s="106">
        <v>19134.773826412693</v>
      </c>
      <c r="AB48" s="106">
        <v>112</v>
      </c>
      <c r="AC48" s="106">
        <v>97171.199999999997</v>
      </c>
      <c r="AD48" s="106">
        <v>91</v>
      </c>
      <c r="AE48" s="106">
        <v>78951.600000000006</v>
      </c>
      <c r="AF48" s="106">
        <v>67</v>
      </c>
      <c r="AG48" s="106">
        <v>58129.200000000004</v>
      </c>
      <c r="AH48" s="106">
        <v>83</v>
      </c>
      <c r="AI48" s="106">
        <v>72010.8</v>
      </c>
      <c r="AJ48" s="106">
        <v>43</v>
      </c>
      <c r="AK48" s="106">
        <v>37306.800000000003</v>
      </c>
      <c r="AL48" s="106">
        <v>41</v>
      </c>
      <c r="AM48" s="106">
        <v>35571.599999999999</v>
      </c>
      <c r="AN48" s="106">
        <v>46</v>
      </c>
      <c r="AO48" s="106">
        <v>39909.599999999999</v>
      </c>
      <c r="AP48" s="106">
        <v>28</v>
      </c>
      <c r="AQ48" s="106">
        <v>24292.799999999999</v>
      </c>
      <c r="AR48" s="106">
        <v>115</v>
      </c>
      <c r="AS48" s="106">
        <v>99774</v>
      </c>
      <c r="AT48" s="106">
        <v>170</v>
      </c>
      <c r="AU48" s="106">
        <v>147492</v>
      </c>
      <c r="AV48" s="106">
        <v>172</v>
      </c>
      <c r="AW48" s="106">
        <v>149227.20000000001</v>
      </c>
      <c r="AX48" s="106">
        <v>112</v>
      </c>
      <c r="AY48" s="106">
        <v>97171.199999999997</v>
      </c>
      <c r="AZ48" s="106">
        <v>59</v>
      </c>
      <c r="BA48" s="106">
        <v>51188.4</v>
      </c>
      <c r="BB48" s="106">
        <v>41</v>
      </c>
      <c r="BC48" s="106">
        <v>35571.599999999999</v>
      </c>
      <c r="BD48" s="106">
        <v>35</v>
      </c>
      <c r="BE48" s="106">
        <v>30366</v>
      </c>
      <c r="BF48" s="106">
        <v>46</v>
      </c>
      <c r="BG48" s="106">
        <v>39909.599999999999</v>
      </c>
      <c r="BH48" s="106">
        <v>65</v>
      </c>
      <c r="BI48" s="106">
        <v>56394</v>
      </c>
      <c r="BJ48" s="106">
        <v>61</v>
      </c>
      <c r="BK48" s="106">
        <v>52923.6</v>
      </c>
      <c r="BL48" s="106">
        <v>78</v>
      </c>
      <c r="BM48" s="106">
        <v>67672.800000000003</v>
      </c>
      <c r="BN48" s="106">
        <v>42</v>
      </c>
      <c r="BO48" s="106">
        <v>36439.200000000004</v>
      </c>
      <c r="BP48" s="106">
        <v>36</v>
      </c>
      <c r="BQ48" s="106">
        <v>31233.600000000002</v>
      </c>
      <c r="BR48" s="106">
        <v>30</v>
      </c>
      <c r="BS48" s="106">
        <v>26028</v>
      </c>
      <c r="BT48" s="106">
        <v>62</v>
      </c>
      <c r="BU48" s="106">
        <v>53791.200000000004</v>
      </c>
      <c r="BV48" s="106">
        <v>37</v>
      </c>
      <c r="BW48" s="106">
        <v>32101.200000000001</v>
      </c>
      <c r="BX48" s="106">
        <v>26</v>
      </c>
      <c r="BY48" s="106">
        <v>22557.600000000002</v>
      </c>
      <c r="BZ48" s="106">
        <v>10.460491889063331</v>
      </c>
      <c r="CA48" s="106">
        <v>9075.5227629513465</v>
      </c>
      <c r="CB48" s="106">
        <v>7.755841003337717</v>
      </c>
      <c r="CC48" s="106">
        <v>6728.9676544958038</v>
      </c>
      <c r="CD48" s="106">
        <v>6.6830368328739675</v>
      </c>
      <c r="CE48" s="106">
        <v>5798.2027562014546</v>
      </c>
      <c r="CF48" s="106">
        <v>21.706493049445719</v>
      </c>
      <c r="CG48" s="106">
        <v>18832.553369699104</v>
      </c>
      <c r="CH48" s="106">
        <v>25.520796827446283</v>
      </c>
      <c r="CI48" s="106">
        <v>22141.843327492395</v>
      </c>
      <c r="CJ48" s="106">
        <v>44.562465902891439</v>
      </c>
      <c r="CK48" s="106">
        <v>38662.395417348613</v>
      </c>
      <c r="CL48" s="106">
        <v>27.752338453617099</v>
      </c>
      <c r="CM48" s="106">
        <v>24077.928842358197</v>
      </c>
      <c r="CN48" s="106">
        <v>66</v>
      </c>
      <c r="CO48" s="106">
        <v>57261.599999999999</v>
      </c>
      <c r="CP48" s="106">
        <v>85</v>
      </c>
      <c r="CQ48" s="106">
        <v>73746</v>
      </c>
      <c r="CR48" s="106">
        <v>73</v>
      </c>
      <c r="CS48" s="106">
        <v>63334.8</v>
      </c>
      <c r="CT48" s="106">
        <v>119</v>
      </c>
      <c r="CU48" s="106">
        <v>103244.40000000001</v>
      </c>
    </row>
    <row r="49" spans="2:99" x14ac:dyDescent="0.2">
      <c r="B49" s="105" t="s">
        <v>129</v>
      </c>
      <c r="C49" s="105" t="s">
        <v>214</v>
      </c>
      <c r="D49" s="106">
        <v>18</v>
      </c>
      <c r="E49" s="106">
        <v>17733.599999999999</v>
      </c>
      <c r="F49" s="106">
        <v>16</v>
      </c>
      <c r="G49" s="106">
        <v>15763.199999999999</v>
      </c>
      <c r="H49" s="106">
        <v>27</v>
      </c>
      <c r="I49" s="106">
        <v>26600.399999999998</v>
      </c>
      <c r="J49" s="106">
        <v>26</v>
      </c>
      <c r="K49" s="106">
        <v>25615.199999999997</v>
      </c>
      <c r="L49" s="106">
        <v>21</v>
      </c>
      <c r="M49" s="106">
        <v>20689.199999999997</v>
      </c>
      <c r="N49" s="106">
        <v>16</v>
      </c>
      <c r="O49" s="106">
        <v>15763.199999999999</v>
      </c>
      <c r="P49" s="106">
        <v>11.88301329394387</v>
      </c>
      <c r="Q49" s="106">
        <v>11707.1446971935</v>
      </c>
      <c r="R49" s="106">
        <v>23.905655172413795</v>
      </c>
      <c r="S49" s="106">
        <v>23551.851475862069</v>
      </c>
      <c r="T49" s="106">
        <v>165</v>
      </c>
      <c r="U49" s="106">
        <v>162558</v>
      </c>
      <c r="V49" s="106">
        <v>190</v>
      </c>
      <c r="W49" s="106">
        <v>187188</v>
      </c>
      <c r="X49" s="106">
        <v>182</v>
      </c>
      <c r="Y49" s="106">
        <v>179306.4</v>
      </c>
      <c r="Z49" s="106">
        <v>214</v>
      </c>
      <c r="AA49" s="106">
        <v>210832.8</v>
      </c>
      <c r="AB49" s="106">
        <v>37</v>
      </c>
      <c r="AC49" s="106">
        <v>36452.399999999994</v>
      </c>
      <c r="AD49" s="106">
        <v>45</v>
      </c>
      <c r="AE49" s="106">
        <v>44334</v>
      </c>
      <c r="AF49" s="106">
        <v>45</v>
      </c>
      <c r="AG49" s="106">
        <v>44334</v>
      </c>
      <c r="AH49" s="106">
        <v>54</v>
      </c>
      <c r="AI49" s="106">
        <v>53200.799999999996</v>
      </c>
      <c r="AJ49" s="106">
        <v>74</v>
      </c>
      <c r="AK49" s="106">
        <v>72904.799999999988</v>
      </c>
      <c r="AL49" s="106">
        <v>56</v>
      </c>
      <c r="AM49" s="106">
        <v>55171.199999999997</v>
      </c>
      <c r="AN49" s="106">
        <v>46</v>
      </c>
      <c r="AO49" s="106">
        <v>45319.199999999997</v>
      </c>
      <c r="AP49" s="106">
        <v>69</v>
      </c>
      <c r="AQ49" s="106">
        <v>67978.799999999988</v>
      </c>
      <c r="AR49" s="106">
        <v>17</v>
      </c>
      <c r="AS49" s="106">
        <v>16748.399999999998</v>
      </c>
      <c r="AT49" s="106">
        <v>16</v>
      </c>
      <c r="AU49" s="106">
        <v>15763.199999999999</v>
      </c>
      <c r="AV49" s="106">
        <v>17</v>
      </c>
      <c r="AW49" s="106">
        <v>16748.399999999998</v>
      </c>
      <c r="AX49" s="106">
        <v>14</v>
      </c>
      <c r="AY49" s="106">
        <v>13792.8</v>
      </c>
      <c r="AZ49" s="106">
        <v>25</v>
      </c>
      <c r="BA49" s="106">
        <v>24630</v>
      </c>
      <c r="BB49" s="106">
        <v>22</v>
      </c>
      <c r="BC49" s="106">
        <v>21674.399999999998</v>
      </c>
      <c r="BD49" s="106">
        <v>14</v>
      </c>
      <c r="BE49" s="106">
        <v>13792.8</v>
      </c>
      <c r="BF49" s="106">
        <v>21</v>
      </c>
      <c r="BG49" s="106">
        <v>20689.199999999997</v>
      </c>
      <c r="BH49" s="106">
        <v>33</v>
      </c>
      <c r="BI49" s="106">
        <v>32511.599999999999</v>
      </c>
      <c r="BJ49" s="106">
        <v>22</v>
      </c>
      <c r="BK49" s="106">
        <v>21674.399999999998</v>
      </c>
      <c r="BL49" s="106">
        <v>22</v>
      </c>
      <c r="BM49" s="106">
        <v>21674.399999999998</v>
      </c>
      <c r="BN49" s="106">
        <v>22</v>
      </c>
      <c r="BO49" s="106">
        <v>21674.399999999998</v>
      </c>
      <c r="BP49" s="106">
        <v>52</v>
      </c>
      <c r="BQ49" s="106">
        <v>51230.399999999994</v>
      </c>
      <c r="BR49" s="106">
        <v>48</v>
      </c>
      <c r="BS49" s="106">
        <v>47289.599999999999</v>
      </c>
      <c r="BT49" s="106">
        <v>39</v>
      </c>
      <c r="BU49" s="106">
        <v>38422.799999999996</v>
      </c>
      <c r="BV49" s="106">
        <v>46</v>
      </c>
      <c r="BW49" s="106">
        <v>45319.199999999997</v>
      </c>
      <c r="BX49" s="106">
        <v>15</v>
      </c>
      <c r="BY49" s="106">
        <v>14777.999999999998</v>
      </c>
      <c r="BZ49" s="106">
        <v>16</v>
      </c>
      <c r="CA49" s="106">
        <v>15763.199999999999</v>
      </c>
      <c r="CB49" s="106">
        <v>16</v>
      </c>
      <c r="CC49" s="106">
        <v>15763.199999999999</v>
      </c>
      <c r="CD49" s="106">
        <v>14</v>
      </c>
      <c r="CE49" s="106">
        <v>13792.8</v>
      </c>
      <c r="CF49" s="106">
        <v>181</v>
      </c>
      <c r="CG49" s="106">
        <v>178321.19999999998</v>
      </c>
      <c r="CH49" s="106">
        <v>275</v>
      </c>
      <c r="CI49" s="106">
        <v>270930</v>
      </c>
      <c r="CJ49" s="106">
        <v>160</v>
      </c>
      <c r="CK49" s="106">
        <v>157632</v>
      </c>
      <c r="CL49" s="106">
        <v>165</v>
      </c>
      <c r="CM49" s="106">
        <v>162558</v>
      </c>
      <c r="CN49" s="106">
        <v>25</v>
      </c>
      <c r="CO49" s="106">
        <v>24630</v>
      </c>
      <c r="CP49" s="106">
        <v>34</v>
      </c>
      <c r="CQ49" s="106">
        <v>33496.799999999996</v>
      </c>
      <c r="CR49" s="106">
        <v>30</v>
      </c>
      <c r="CS49" s="106">
        <v>29555.999999999996</v>
      </c>
      <c r="CT49" s="106">
        <v>24</v>
      </c>
      <c r="CU49" s="106">
        <v>23644.799999999999</v>
      </c>
    </row>
    <row r="50" spans="2:99" x14ac:dyDescent="0.2">
      <c r="C50" s="105" t="s">
        <v>215</v>
      </c>
      <c r="D50" s="106">
        <v>20</v>
      </c>
      <c r="E50" s="106">
        <v>5640</v>
      </c>
      <c r="F50" s="106">
        <v>18</v>
      </c>
      <c r="G50" s="106">
        <v>5076</v>
      </c>
      <c r="H50" s="106">
        <v>26</v>
      </c>
      <c r="I50" s="106">
        <v>7332</v>
      </c>
      <c r="J50" s="106">
        <v>29</v>
      </c>
      <c r="K50" s="106">
        <v>8178</v>
      </c>
      <c r="L50" s="106">
        <v>23</v>
      </c>
      <c r="M50" s="106">
        <v>6486</v>
      </c>
      <c r="N50" s="106">
        <v>19</v>
      </c>
      <c r="O50" s="106">
        <v>5358</v>
      </c>
      <c r="P50" s="106">
        <v>13</v>
      </c>
      <c r="Q50" s="106">
        <v>3666</v>
      </c>
      <c r="R50" s="106">
        <v>29</v>
      </c>
      <c r="S50" s="106">
        <v>8178</v>
      </c>
      <c r="T50" s="106">
        <v>234</v>
      </c>
      <c r="U50" s="106">
        <v>65988</v>
      </c>
      <c r="V50" s="106">
        <v>149.30472103004297</v>
      </c>
      <c r="W50" s="106">
        <v>42103.931330472114</v>
      </c>
      <c r="X50" s="106">
        <v>68.965552611334317</v>
      </c>
      <c r="Y50" s="106">
        <v>19448.285836396277</v>
      </c>
      <c r="Z50" s="106">
        <v>80.247708615605333</v>
      </c>
      <c r="AA50" s="106">
        <v>22629.853829600703</v>
      </c>
      <c r="AB50" s="106">
        <v>38</v>
      </c>
      <c r="AC50" s="106">
        <v>10716</v>
      </c>
      <c r="AD50" s="106">
        <v>49</v>
      </c>
      <c r="AE50" s="106">
        <v>13818</v>
      </c>
      <c r="AF50" s="106">
        <v>54</v>
      </c>
      <c r="AG50" s="106">
        <v>15228</v>
      </c>
      <c r="AH50" s="106">
        <v>59</v>
      </c>
      <c r="AI50" s="106">
        <v>16638</v>
      </c>
      <c r="AJ50" s="106">
        <v>85</v>
      </c>
      <c r="AK50" s="106">
        <v>23970</v>
      </c>
      <c r="AL50" s="106">
        <v>61</v>
      </c>
      <c r="AM50" s="106">
        <v>17202</v>
      </c>
      <c r="AN50" s="106">
        <v>56</v>
      </c>
      <c r="AO50" s="106">
        <v>15792</v>
      </c>
      <c r="AP50" s="106">
        <v>69</v>
      </c>
      <c r="AQ50" s="106">
        <v>19458</v>
      </c>
      <c r="AR50" s="106">
        <v>19</v>
      </c>
      <c r="AS50" s="106">
        <v>5358</v>
      </c>
      <c r="AT50" s="106">
        <v>19</v>
      </c>
      <c r="AU50" s="106">
        <v>5358</v>
      </c>
      <c r="AV50" s="106">
        <v>21</v>
      </c>
      <c r="AW50" s="106">
        <v>5922</v>
      </c>
      <c r="AX50" s="106">
        <v>17</v>
      </c>
      <c r="AY50" s="106">
        <v>4794</v>
      </c>
      <c r="AZ50" s="106">
        <v>26</v>
      </c>
      <c r="BA50" s="106">
        <v>7332</v>
      </c>
      <c r="BB50" s="106">
        <v>20</v>
      </c>
      <c r="BC50" s="106">
        <v>5640</v>
      </c>
      <c r="BD50" s="106">
        <v>14</v>
      </c>
      <c r="BE50" s="106">
        <v>3948</v>
      </c>
      <c r="BF50" s="106">
        <v>25</v>
      </c>
      <c r="BG50" s="106">
        <v>7050</v>
      </c>
      <c r="BH50" s="106">
        <v>34</v>
      </c>
      <c r="BI50" s="106">
        <v>9588</v>
      </c>
      <c r="BJ50" s="106">
        <v>23</v>
      </c>
      <c r="BK50" s="106">
        <v>6486</v>
      </c>
      <c r="BL50" s="106">
        <v>21</v>
      </c>
      <c r="BM50" s="106">
        <v>5922</v>
      </c>
      <c r="BN50" s="106">
        <v>26</v>
      </c>
      <c r="BO50" s="106">
        <v>7332</v>
      </c>
      <c r="BP50" s="106">
        <v>64</v>
      </c>
      <c r="BQ50" s="106">
        <v>18048</v>
      </c>
      <c r="BR50" s="106">
        <v>58</v>
      </c>
      <c r="BS50" s="106">
        <v>16356</v>
      </c>
      <c r="BT50" s="106">
        <v>44</v>
      </c>
      <c r="BU50" s="106">
        <v>12408</v>
      </c>
      <c r="BV50" s="106">
        <v>51</v>
      </c>
      <c r="BW50" s="106">
        <v>14382</v>
      </c>
      <c r="BX50" s="106">
        <v>16</v>
      </c>
      <c r="BY50" s="106">
        <v>4512</v>
      </c>
      <c r="BZ50" s="106">
        <v>8.8914181057038313</v>
      </c>
      <c r="CA50" s="106">
        <v>2507.3799058084805</v>
      </c>
      <c r="CB50" s="106">
        <v>5.3953676544958036</v>
      </c>
      <c r="CC50" s="106">
        <v>1521.4936785678167</v>
      </c>
      <c r="CD50" s="106">
        <v>7.5184164369832125</v>
      </c>
      <c r="CE50" s="106">
        <v>2120.193435229266</v>
      </c>
      <c r="CF50" s="106">
        <v>75.972725673060012</v>
      </c>
      <c r="CG50" s="106">
        <v>21424.308639802923</v>
      </c>
      <c r="CH50" s="106">
        <v>104.23554366872638</v>
      </c>
      <c r="CI50" s="106">
        <v>29394.423314580839</v>
      </c>
      <c r="CJ50" s="106">
        <v>57.90089107110385</v>
      </c>
      <c r="CK50" s="106">
        <v>16328.051282051285</v>
      </c>
      <c r="CL50" s="106">
        <v>63.51566120312367</v>
      </c>
      <c r="CM50" s="106">
        <v>17911.416459280874</v>
      </c>
      <c r="CN50" s="106">
        <v>27</v>
      </c>
      <c r="CO50" s="106">
        <v>7614</v>
      </c>
      <c r="CP50" s="106">
        <v>34</v>
      </c>
      <c r="CQ50" s="106">
        <v>9588</v>
      </c>
      <c r="CR50" s="106">
        <v>36</v>
      </c>
      <c r="CS50" s="106">
        <v>10152</v>
      </c>
      <c r="CT50" s="106">
        <v>29</v>
      </c>
      <c r="CU50" s="106">
        <v>8178</v>
      </c>
    </row>
    <row r="51" spans="2:99" x14ac:dyDescent="0.2">
      <c r="C51" s="105" t="s">
        <v>216</v>
      </c>
      <c r="D51" s="106">
        <v>19</v>
      </c>
      <c r="E51" s="106">
        <v>16233.6</v>
      </c>
      <c r="F51" s="106">
        <v>17</v>
      </c>
      <c r="G51" s="106">
        <v>14524.8</v>
      </c>
      <c r="H51" s="106">
        <v>26</v>
      </c>
      <c r="I51" s="106">
        <v>22214.399999999998</v>
      </c>
      <c r="J51" s="106">
        <v>23</v>
      </c>
      <c r="K51" s="106">
        <v>19651.2</v>
      </c>
      <c r="L51" s="106">
        <v>24</v>
      </c>
      <c r="M51" s="106">
        <v>20505.599999999999</v>
      </c>
      <c r="N51" s="106">
        <v>17</v>
      </c>
      <c r="O51" s="106">
        <v>14524.8</v>
      </c>
      <c r="P51" s="106">
        <v>14</v>
      </c>
      <c r="Q51" s="106">
        <v>11961.6</v>
      </c>
      <c r="R51" s="106">
        <v>24</v>
      </c>
      <c r="S51" s="106">
        <v>20505.599999999999</v>
      </c>
      <c r="T51" s="106">
        <v>172</v>
      </c>
      <c r="U51" s="106">
        <v>146956.79999999999</v>
      </c>
      <c r="V51" s="106">
        <v>113.12703862660948</v>
      </c>
      <c r="W51" s="106">
        <v>96655.741802575139</v>
      </c>
      <c r="X51" s="106">
        <v>55.856397982733569</v>
      </c>
      <c r="Y51" s="106">
        <v>47723.706436447559</v>
      </c>
      <c r="Z51" s="106">
        <v>64.570176137722171</v>
      </c>
      <c r="AA51" s="106">
        <v>55168.758492069821</v>
      </c>
      <c r="AB51" s="106">
        <v>34</v>
      </c>
      <c r="AC51" s="106">
        <v>29049.599999999999</v>
      </c>
      <c r="AD51" s="106">
        <v>45</v>
      </c>
      <c r="AE51" s="106">
        <v>38448</v>
      </c>
      <c r="AF51" s="106">
        <v>51</v>
      </c>
      <c r="AG51" s="106">
        <v>43574.400000000001</v>
      </c>
      <c r="AH51" s="106">
        <v>57</v>
      </c>
      <c r="AI51" s="106">
        <v>48700.799999999996</v>
      </c>
      <c r="AJ51" s="106">
        <v>74</v>
      </c>
      <c r="AK51" s="106">
        <v>63225.599999999999</v>
      </c>
      <c r="AL51" s="106">
        <v>49</v>
      </c>
      <c r="AM51" s="106">
        <v>41865.599999999999</v>
      </c>
      <c r="AN51" s="106">
        <v>47</v>
      </c>
      <c r="AO51" s="106">
        <v>40156.799999999996</v>
      </c>
      <c r="AP51" s="106">
        <v>67</v>
      </c>
      <c r="AQ51" s="106">
        <v>57244.799999999996</v>
      </c>
      <c r="AR51" s="106">
        <v>17</v>
      </c>
      <c r="AS51" s="106">
        <v>14524.8</v>
      </c>
      <c r="AT51" s="106">
        <v>17</v>
      </c>
      <c r="AU51" s="106">
        <v>14524.8</v>
      </c>
      <c r="AV51" s="106">
        <v>18</v>
      </c>
      <c r="AW51" s="106">
        <v>15379.199999999999</v>
      </c>
      <c r="AX51" s="106">
        <v>15</v>
      </c>
      <c r="AY51" s="106">
        <v>12816</v>
      </c>
      <c r="AZ51" s="106">
        <v>27</v>
      </c>
      <c r="BA51" s="106">
        <v>23068.799999999999</v>
      </c>
      <c r="BB51" s="106">
        <v>21</v>
      </c>
      <c r="BC51" s="106">
        <v>17942.399999999998</v>
      </c>
      <c r="BD51" s="106">
        <v>14</v>
      </c>
      <c r="BE51" s="106">
        <v>11961.6</v>
      </c>
      <c r="BF51" s="106">
        <v>22</v>
      </c>
      <c r="BG51" s="106">
        <v>18796.8</v>
      </c>
      <c r="BH51" s="106">
        <v>32</v>
      </c>
      <c r="BI51" s="106">
        <v>27340.799999999999</v>
      </c>
      <c r="BJ51" s="106">
        <v>21</v>
      </c>
      <c r="BK51" s="106">
        <v>17942.399999999998</v>
      </c>
      <c r="BL51" s="106">
        <v>21</v>
      </c>
      <c r="BM51" s="106">
        <v>17942.399999999998</v>
      </c>
      <c r="BN51" s="106">
        <v>27</v>
      </c>
      <c r="BO51" s="106">
        <v>23068.799999999999</v>
      </c>
      <c r="BP51" s="106">
        <v>55</v>
      </c>
      <c r="BQ51" s="106">
        <v>46992</v>
      </c>
      <c r="BR51" s="106">
        <v>51</v>
      </c>
      <c r="BS51" s="106">
        <v>43574.400000000001</v>
      </c>
      <c r="BT51" s="106">
        <v>38</v>
      </c>
      <c r="BU51" s="106">
        <v>32467.200000000001</v>
      </c>
      <c r="BV51" s="106">
        <v>49</v>
      </c>
      <c r="BW51" s="106">
        <v>41865.599999999999</v>
      </c>
      <c r="BX51" s="106">
        <v>17</v>
      </c>
      <c r="BY51" s="106">
        <v>14524.8</v>
      </c>
      <c r="BZ51" s="106">
        <v>9.9374672946101654</v>
      </c>
      <c r="CA51" s="106">
        <v>8490.5720565149259</v>
      </c>
      <c r="CB51" s="106">
        <v>5.0581571760898161</v>
      </c>
      <c r="CC51" s="106">
        <v>4321.6894912511389</v>
      </c>
      <c r="CD51" s="106">
        <v>6.2653470308193437</v>
      </c>
      <c r="CE51" s="106">
        <v>5353.1125031320471</v>
      </c>
      <c r="CF51" s="106">
        <v>58.959528418089043</v>
      </c>
      <c r="CG51" s="106">
        <v>50375.021080415274</v>
      </c>
      <c r="CH51" s="106">
        <v>86.401733837498867</v>
      </c>
      <c r="CI51" s="106">
        <v>73821.641390759032</v>
      </c>
      <c r="CJ51" s="106">
        <v>51.837970540098205</v>
      </c>
      <c r="CK51" s="106">
        <v>44290.362029459902</v>
      </c>
      <c r="CL51" s="106">
        <v>48.352012357332882</v>
      </c>
      <c r="CM51" s="106">
        <v>41311.95935810521</v>
      </c>
      <c r="CN51" s="106">
        <v>28</v>
      </c>
      <c r="CO51" s="106">
        <v>23923.200000000001</v>
      </c>
      <c r="CP51" s="106">
        <v>30</v>
      </c>
      <c r="CQ51" s="106">
        <v>25632</v>
      </c>
      <c r="CR51" s="106">
        <v>29</v>
      </c>
      <c r="CS51" s="106">
        <v>24777.599999999999</v>
      </c>
      <c r="CT51" s="106">
        <v>24</v>
      </c>
      <c r="CU51" s="106">
        <v>20505.599999999999</v>
      </c>
    </row>
    <row r="52" spans="2:99" x14ac:dyDescent="0.2">
      <c r="C52" s="105" t="s">
        <v>217</v>
      </c>
      <c r="D52" s="106">
        <v>17</v>
      </c>
      <c r="E52" s="106">
        <v>9180</v>
      </c>
      <c r="F52" s="106">
        <v>18</v>
      </c>
      <c r="G52" s="106">
        <v>9720</v>
      </c>
      <c r="H52" s="106">
        <v>24</v>
      </c>
      <c r="I52" s="106">
        <v>12960</v>
      </c>
      <c r="J52" s="106">
        <v>24</v>
      </c>
      <c r="K52" s="106">
        <v>12960</v>
      </c>
      <c r="L52" s="106">
        <v>25</v>
      </c>
      <c r="M52" s="106">
        <v>13500</v>
      </c>
      <c r="N52" s="106">
        <v>18</v>
      </c>
      <c r="O52" s="106">
        <v>9720</v>
      </c>
      <c r="P52" s="106">
        <v>13</v>
      </c>
      <c r="Q52" s="106">
        <v>7020</v>
      </c>
      <c r="R52" s="106">
        <v>28</v>
      </c>
      <c r="S52" s="106">
        <v>15120</v>
      </c>
      <c r="T52" s="106">
        <v>199</v>
      </c>
      <c r="U52" s="106">
        <v>107460</v>
      </c>
      <c r="V52" s="106">
        <v>116.57253218884124</v>
      </c>
      <c r="W52" s="106">
        <v>62949.167381974265</v>
      </c>
      <c r="X52" s="106">
        <v>67.255662877169001</v>
      </c>
      <c r="Y52" s="106">
        <v>36318.057953671261</v>
      </c>
      <c r="Z52" s="106">
        <v>72.276081931935934</v>
      </c>
      <c r="AA52" s="106">
        <v>39029.084243245401</v>
      </c>
      <c r="AB52" s="106">
        <v>36</v>
      </c>
      <c r="AC52" s="106">
        <v>19440</v>
      </c>
      <c r="AD52" s="106">
        <v>48</v>
      </c>
      <c r="AE52" s="106">
        <v>25920</v>
      </c>
      <c r="AF52" s="106">
        <v>55</v>
      </c>
      <c r="AG52" s="106">
        <v>29700</v>
      </c>
      <c r="AH52" s="106">
        <v>56</v>
      </c>
      <c r="AI52" s="106">
        <v>30240</v>
      </c>
      <c r="AJ52" s="106">
        <v>87</v>
      </c>
      <c r="AK52" s="106">
        <v>46980</v>
      </c>
      <c r="AL52" s="106">
        <v>58</v>
      </c>
      <c r="AM52" s="106">
        <v>31320</v>
      </c>
      <c r="AN52" s="106">
        <v>51</v>
      </c>
      <c r="AO52" s="106">
        <v>27540</v>
      </c>
      <c r="AP52" s="106">
        <v>76</v>
      </c>
      <c r="AQ52" s="106">
        <v>41040</v>
      </c>
      <c r="AR52" s="106">
        <v>19</v>
      </c>
      <c r="AS52" s="106">
        <v>10260</v>
      </c>
      <c r="AT52" s="106">
        <v>18</v>
      </c>
      <c r="AU52" s="106">
        <v>9720</v>
      </c>
      <c r="AV52" s="106">
        <v>20</v>
      </c>
      <c r="AW52" s="106">
        <v>10800</v>
      </c>
      <c r="AX52" s="106">
        <v>14</v>
      </c>
      <c r="AY52" s="106">
        <v>7560</v>
      </c>
      <c r="AZ52" s="106">
        <v>27</v>
      </c>
      <c r="BA52" s="106">
        <v>14580</v>
      </c>
      <c r="BB52" s="106">
        <v>21</v>
      </c>
      <c r="BC52" s="106">
        <v>11340</v>
      </c>
      <c r="BD52" s="106">
        <v>15</v>
      </c>
      <c r="BE52" s="106">
        <v>8100</v>
      </c>
      <c r="BF52" s="106">
        <v>23</v>
      </c>
      <c r="BG52" s="106">
        <v>12420</v>
      </c>
      <c r="BH52" s="106">
        <v>33</v>
      </c>
      <c r="BI52" s="106">
        <v>17820</v>
      </c>
      <c r="BJ52" s="106">
        <v>24</v>
      </c>
      <c r="BK52" s="106">
        <v>12960</v>
      </c>
      <c r="BL52" s="106">
        <v>21</v>
      </c>
      <c r="BM52" s="106">
        <v>11340</v>
      </c>
      <c r="BN52" s="106">
        <v>25</v>
      </c>
      <c r="BO52" s="106">
        <v>13500</v>
      </c>
      <c r="BP52" s="106">
        <v>53</v>
      </c>
      <c r="BQ52" s="106">
        <v>28620</v>
      </c>
      <c r="BR52" s="106">
        <v>47</v>
      </c>
      <c r="BS52" s="106">
        <v>25380</v>
      </c>
      <c r="BT52" s="106">
        <v>39</v>
      </c>
      <c r="BU52" s="106">
        <v>21060</v>
      </c>
      <c r="BV52" s="106">
        <v>54</v>
      </c>
      <c r="BW52" s="106">
        <v>29160</v>
      </c>
      <c r="BX52" s="106">
        <v>17</v>
      </c>
      <c r="BY52" s="106">
        <v>9180</v>
      </c>
      <c r="BZ52" s="106">
        <v>8.8914181057038313</v>
      </c>
      <c r="CA52" s="106">
        <v>4801.3657770800692</v>
      </c>
      <c r="CB52" s="106">
        <v>5.0581571760898161</v>
      </c>
      <c r="CC52" s="106">
        <v>2731.4048750885008</v>
      </c>
      <c r="CD52" s="106">
        <v>6.2653470308193437</v>
      </c>
      <c r="CE52" s="106">
        <v>3383.2873966424454</v>
      </c>
      <c r="CF52" s="106">
        <v>69.226112968502562</v>
      </c>
      <c r="CG52" s="106">
        <v>37382.101002991381</v>
      </c>
      <c r="CH52" s="106">
        <v>94.396200313566368</v>
      </c>
      <c r="CI52" s="106">
        <v>50973.948169325842</v>
      </c>
      <c r="CJ52" s="106">
        <v>51.837970540098205</v>
      </c>
      <c r="CK52" s="106">
        <v>27992.504091653031</v>
      </c>
      <c r="CL52" s="106">
        <v>64.087874367115774</v>
      </c>
      <c r="CM52" s="106">
        <v>34607.452158242515</v>
      </c>
      <c r="CN52" s="106">
        <v>28</v>
      </c>
      <c r="CO52" s="106">
        <v>15120</v>
      </c>
      <c r="CP52" s="106">
        <v>31</v>
      </c>
      <c r="CQ52" s="106">
        <v>16740</v>
      </c>
      <c r="CR52" s="106">
        <v>32</v>
      </c>
      <c r="CS52" s="106">
        <v>17280</v>
      </c>
      <c r="CT52" s="106">
        <v>24</v>
      </c>
      <c r="CU52" s="106">
        <v>12960</v>
      </c>
    </row>
    <row r="53" spans="2:99" x14ac:dyDescent="0.2">
      <c r="C53" s="105" t="s">
        <v>218</v>
      </c>
      <c r="D53" s="106">
        <v>18</v>
      </c>
      <c r="E53" s="106">
        <v>7322.4000000000005</v>
      </c>
      <c r="F53" s="106">
        <v>16</v>
      </c>
      <c r="G53" s="106">
        <v>6508.8</v>
      </c>
      <c r="H53" s="106">
        <v>27</v>
      </c>
      <c r="I53" s="106">
        <v>10983.6</v>
      </c>
      <c r="J53" s="106">
        <v>24</v>
      </c>
      <c r="K53" s="106">
        <v>9763.2000000000007</v>
      </c>
      <c r="L53" s="106">
        <v>25</v>
      </c>
      <c r="M53" s="106">
        <v>10170</v>
      </c>
      <c r="N53" s="106">
        <v>17</v>
      </c>
      <c r="O53" s="106">
        <v>6915.6</v>
      </c>
      <c r="P53" s="106">
        <v>14</v>
      </c>
      <c r="Q53" s="106">
        <v>5695.2</v>
      </c>
      <c r="R53" s="106">
        <v>26</v>
      </c>
      <c r="S53" s="106">
        <v>10576.800000000001</v>
      </c>
      <c r="T53" s="106">
        <v>236</v>
      </c>
      <c r="U53" s="106">
        <v>96004.800000000003</v>
      </c>
      <c r="V53" s="106">
        <v>137.81974248927042</v>
      </c>
      <c r="W53" s="106">
        <v>56065.071244635212</v>
      </c>
      <c r="X53" s="106">
        <v>63.265920164116601</v>
      </c>
      <c r="Y53" s="106">
        <v>25736.576322762634</v>
      </c>
      <c r="Z53" s="106">
        <v>73.338965489758522</v>
      </c>
      <c r="AA53" s="106">
        <v>29834.291161233767</v>
      </c>
      <c r="AB53" s="106">
        <v>37</v>
      </c>
      <c r="AC53" s="106">
        <v>15051.6</v>
      </c>
      <c r="AD53" s="106">
        <v>44</v>
      </c>
      <c r="AE53" s="106">
        <v>17899.2</v>
      </c>
      <c r="AF53" s="106">
        <v>53</v>
      </c>
      <c r="AG53" s="106">
        <v>21560.400000000001</v>
      </c>
      <c r="AH53" s="106">
        <v>58</v>
      </c>
      <c r="AI53" s="106">
        <v>23594.400000000001</v>
      </c>
      <c r="AJ53" s="106">
        <v>88</v>
      </c>
      <c r="AK53" s="106">
        <v>35798.400000000001</v>
      </c>
      <c r="AL53" s="106">
        <v>60</v>
      </c>
      <c r="AM53" s="106">
        <v>24408</v>
      </c>
      <c r="AN53" s="106">
        <v>55</v>
      </c>
      <c r="AO53" s="106">
        <v>22374</v>
      </c>
      <c r="AP53" s="106">
        <v>73</v>
      </c>
      <c r="AQ53" s="106">
        <v>29696.400000000001</v>
      </c>
      <c r="AR53" s="106">
        <v>19</v>
      </c>
      <c r="AS53" s="106">
        <v>7729.2</v>
      </c>
      <c r="AT53" s="106">
        <v>17</v>
      </c>
      <c r="AU53" s="106">
        <v>6915.6</v>
      </c>
      <c r="AV53" s="106">
        <v>20</v>
      </c>
      <c r="AW53" s="106">
        <v>8136</v>
      </c>
      <c r="AX53" s="106">
        <v>15</v>
      </c>
      <c r="AY53" s="106">
        <v>6102</v>
      </c>
      <c r="AZ53" s="106">
        <v>26</v>
      </c>
      <c r="BA53" s="106">
        <v>10576.800000000001</v>
      </c>
      <c r="BB53" s="106">
        <v>23</v>
      </c>
      <c r="BC53" s="106">
        <v>9356.4</v>
      </c>
      <c r="BD53" s="106">
        <v>14</v>
      </c>
      <c r="BE53" s="106">
        <v>5695.2</v>
      </c>
      <c r="BF53" s="106">
        <v>24</v>
      </c>
      <c r="BG53" s="106">
        <v>9763.2000000000007</v>
      </c>
      <c r="BH53" s="106">
        <v>38</v>
      </c>
      <c r="BI53" s="106">
        <v>15458.4</v>
      </c>
      <c r="BJ53" s="106">
        <v>24</v>
      </c>
      <c r="BK53" s="106">
        <v>9763.2000000000007</v>
      </c>
      <c r="BL53" s="106">
        <v>24</v>
      </c>
      <c r="BM53" s="106">
        <v>9763.2000000000007</v>
      </c>
      <c r="BN53" s="106">
        <v>29</v>
      </c>
      <c r="BO53" s="106">
        <v>11797.2</v>
      </c>
      <c r="BP53" s="106">
        <v>59</v>
      </c>
      <c r="BQ53" s="106">
        <v>24001.200000000001</v>
      </c>
      <c r="BR53" s="106">
        <v>48</v>
      </c>
      <c r="BS53" s="106">
        <v>19526.400000000001</v>
      </c>
      <c r="BT53" s="106">
        <v>44</v>
      </c>
      <c r="BU53" s="106">
        <v>17899.2</v>
      </c>
      <c r="BV53" s="106">
        <v>57</v>
      </c>
      <c r="BW53" s="106">
        <v>23187.600000000002</v>
      </c>
      <c r="BX53" s="106">
        <v>15</v>
      </c>
      <c r="BY53" s="106">
        <v>6102</v>
      </c>
      <c r="BZ53" s="106">
        <v>9.9374672946101654</v>
      </c>
      <c r="CA53" s="106">
        <v>4042.5616954474153</v>
      </c>
      <c r="CB53" s="106">
        <v>6.0697886113077786</v>
      </c>
      <c r="CC53" s="106">
        <v>2469.1900070800043</v>
      </c>
      <c r="CD53" s="106">
        <v>6.6830368328739675</v>
      </c>
      <c r="CE53" s="106">
        <v>2718.6593836131301</v>
      </c>
      <c r="CF53" s="106">
        <v>67.466127045574524</v>
      </c>
      <c r="CG53" s="106">
        <v>27445.220482139717</v>
      </c>
      <c r="CH53" s="106">
        <v>111.30757170524764</v>
      </c>
      <c r="CI53" s="106">
        <v>45279.920169694742</v>
      </c>
      <c r="CJ53" s="106">
        <v>59.41662120385525</v>
      </c>
      <c r="CK53" s="106">
        <v>24170.681505728317</v>
      </c>
      <c r="CL53" s="106">
        <v>66.090620441088149</v>
      </c>
      <c r="CM53" s="106">
        <v>26885.664395434658</v>
      </c>
      <c r="CN53" s="106">
        <v>29</v>
      </c>
      <c r="CO53" s="106">
        <v>11797.2</v>
      </c>
      <c r="CP53" s="106">
        <v>36</v>
      </c>
      <c r="CQ53" s="106">
        <v>14644.800000000001</v>
      </c>
      <c r="CR53" s="106">
        <v>31</v>
      </c>
      <c r="CS53" s="106">
        <v>12610.800000000001</v>
      </c>
      <c r="CT53" s="106">
        <v>26</v>
      </c>
      <c r="CU53" s="106">
        <v>10576.800000000001</v>
      </c>
    </row>
    <row r="54" spans="2:99" x14ac:dyDescent="0.2">
      <c r="C54" s="105" t="s">
        <v>219</v>
      </c>
      <c r="D54" s="106">
        <v>22</v>
      </c>
      <c r="E54" s="106">
        <v>7365.6</v>
      </c>
      <c r="F54" s="106">
        <v>17</v>
      </c>
      <c r="G54" s="106">
        <v>5691.6</v>
      </c>
      <c r="H54" s="106">
        <v>25</v>
      </c>
      <c r="I54" s="106">
        <v>8370</v>
      </c>
      <c r="J54" s="106">
        <v>27</v>
      </c>
      <c r="K54" s="106">
        <v>9039.6</v>
      </c>
      <c r="L54" s="106">
        <v>22</v>
      </c>
      <c r="M54" s="106">
        <v>7365.6</v>
      </c>
      <c r="N54" s="106">
        <v>17</v>
      </c>
      <c r="O54" s="106">
        <v>5691.6</v>
      </c>
      <c r="P54" s="106">
        <v>13</v>
      </c>
      <c r="Q54" s="106">
        <v>4352.4000000000005</v>
      </c>
      <c r="R54" s="106">
        <v>27</v>
      </c>
      <c r="S54" s="106">
        <v>9039.6</v>
      </c>
      <c r="T54" s="106">
        <v>231</v>
      </c>
      <c r="U54" s="106">
        <v>77338.8</v>
      </c>
      <c r="V54" s="106">
        <v>137.24549356223181</v>
      </c>
      <c r="W54" s="106">
        <v>45949.791244635213</v>
      </c>
      <c r="X54" s="106">
        <v>70.105479100777856</v>
      </c>
      <c r="Y54" s="106">
        <v>23471.314402940428</v>
      </c>
      <c r="Z54" s="106">
        <v>78.387662389415809</v>
      </c>
      <c r="AA54" s="106">
        <v>26244.189367976414</v>
      </c>
      <c r="AB54" s="106">
        <v>41</v>
      </c>
      <c r="AC54" s="106">
        <v>13726.800000000001</v>
      </c>
      <c r="AD54" s="106">
        <v>51</v>
      </c>
      <c r="AE54" s="106">
        <v>17074.8</v>
      </c>
      <c r="AF54" s="106">
        <v>58</v>
      </c>
      <c r="AG54" s="106">
        <v>19418.400000000001</v>
      </c>
      <c r="AH54" s="106">
        <v>57</v>
      </c>
      <c r="AI54" s="106">
        <v>19083.600000000002</v>
      </c>
      <c r="AJ54" s="106">
        <v>90</v>
      </c>
      <c r="AK54" s="106">
        <v>30132</v>
      </c>
      <c r="AL54" s="106">
        <v>65</v>
      </c>
      <c r="AM54" s="106">
        <v>21762</v>
      </c>
      <c r="AN54" s="106">
        <v>56</v>
      </c>
      <c r="AO54" s="106">
        <v>18748.8</v>
      </c>
      <c r="AP54" s="106">
        <v>69</v>
      </c>
      <c r="AQ54" s="106">
        <v>23101.200000000001</v>
      </c>
      <c r="AR54" s="106">
        <v>20</v>
      </c>
      <c r="AS54" s="106">
        <v>6696</v>
      </c>
      <c r="AT54" s="106">
        <v>19</v>
      </c>
      <c r="AU54" s="106">
        <v>6361.2</v>
      </c>
      <c r="AV54" s="106">
        <v>18</v>
      </c>
      <c r="AW54" s="106">
        <v>6026.4000000000005</v>
      </c>
      <c r="AX54" s="106">
        <v>16</v>
      </c>
      <c r="AY54" s="106">
        <v>5356.8</v>
      </c>
      <c r="AZ54" s="106">
        <v>25</v>
      </c>
      <c r="BA54" s="106">
        <v>8370</v>
      </c>
      <c r="BB54" s="106">
        <v>22</v>
      </c>
      <c r="BC54" s="106">
        <v>7365.6</v>
      </c>
      <c r="BD54" s="106">
        <v>15</v>
      </c>
      <c r="BE54" s="106">
        <v>5022</v>
      </c>
      <c r="BF54" s="106">
        <v>26</v>
      </c>
      <c r="BG54" s="106">
        <v>8704.8000000000011</v>
      </c>
      <c r="BH54" s="106">
        <v>34</v>
      </c>
      <c r="BI54" s="106">
        <v>11383.2</v>
      </c>
      <c r="BJ54" s="106">
        <v>24</v>
      </c>
      <c r="BK54" s="106">
        <v>8035.2000000000007</v>
      </c>
      <c r="BL54" s="106">
        <v>20</v>
      </c>
      <c r="BM54" s="106">
        <v>6696</v>
      </c>
      <c r="BN54" s="106">
        <v>26</v>
      </c>
      <c r="BO54" s="106">
        <v>8704.8000000000011</v>
      </c>
      <c r="BP54" s="106">
        <v>56</v>
      </c>
      <c r="BQ54" s="106">
        <v>18748.8</v>
      </c>
      <c r="BR54" s="106">
        <v>52</v>
      </c>
      <c r="BS54" s="106">
        <v>17409.600000000002</v>
      </c>
      <c r="BT54" s="106">
        <v>42</v>
      </c>
      <c r="BU54" s="106">
        <v>14061.6</v>
      </c>
      <c r="BV54" s="106">
        <v>52</v>
      </c>
      <c r="BW54" s="106">
        <v>17409.600000000002</v>
      </c>
      <c r="BX54" s="106">
        <v>17</v>
      </c>
      <c r="BY54" s="106">
        <v>5691.6</v>
      </c>
      <c r="BZ54" s="106">
        <v>9.9374672946101654</v>
      </c>
      <c r="CA54" s="106">
        <v>3327.0640502354836</v>
      </c>
      <c r="CB54" s="106">
        <v>5.0581571760898161</v>
      </c>
      <c r="CC54" s="106">
        <v>1693.4710225548704</v>
      </c>
      <c r="CD54" s="106">
        <v>6.2653470308193437</v>
      </c>
      <c r="CE54" s="106">
        <v>2097.6381859183161</v>
      </c>
      <c r="CF54" s="106">
        <v>72.452753827203949</v>
      </c>
      <c r="CG54" s="106">
        <v>24257.181981347883</v>
      </c>
      <c r="CH54" s="106">
        <v>100.85326939039012</v>
      </c>
      <c r="CI54" s="106">
        <v>33765.674591902614</v>
      </c>
      <c r="CJ54" s="106">
        <v>62.751227495908353</v>
      </c>
      <c r="CK54" s="106">
        <v>21009.110965630116</v>
      </c>
      <c r="CL54" s="106">
        <v>62.371234875139457</v>
      </c>
      <c r="CM54" s="106">
        <v>20881.889436196692</v>
      </c>
      <c r="CN54" s="106">
        <v>28</v>
      </c>
      <c r="CO54" s="106">
        <v>9374.4</v>
      </c>
      <c r="CP54" s="106">
        <v>37</v>
      </c>
      <c r="CQ54" s="106">
        <v>12387.6</v>
      </c>
      <c r="CR54" s="106">
        <v>34</v>
      </c>
      <c r="CS54" s="106">
        <v>11383.2</v>
      </c>
      <c r="CT54" s="106">
        <v>27</v>
      </c>
      <c r="CU54" s="106">
        <v>9039.6</v>
      </c>
    </row>
    <row r="55" spans="2:99" x14ac:dyDescent="0.2">
      <c r="C55" s="105" t="s">
        <v>220</v>
      </c>
      <c r="D55" s="106">
        <v>20</v>
      </c>
      <c r="E55" s="106">
        <v>13272</v>
      </c>
      <c r="F55" s="106">
        <v>17</v>
      </c>
      <c r="G55" s="106">
        <v>11281.2</v>
      </c>
      <c r="H55" s="106">
        <v>27</v>
      </c>
      <c r="I55" s="106">
        <v>17917.2</v>
      </c>
      <c r="J55" s="106">
        <v>23</v>
      </c>
      <c r="K55" s="106">
        <v>15262.800000000001</v>
      </c>
      <c r="L55" s="106">
        <v>22</v>
      </c>
      <c r="M55" s="106">
        <v>14599.2</v>
      </c>
      <c r="N55" s="106">
        <v>16</v>
      </c>
      <c r="O55" s="106">
        <v>10617.6</v>
      </c>
      <c r="P55" s="106">
        <v>13</v>
      </c>
      <c r="Q55" s="106">
        <v>8626.8000000000011</v>
      </c>
      <c r="R55" s="106">
        <v>27</v>
      </c>
      <c r="S55" s="106">
        <v>17917.2</v>
      </c>
      <c r="T55" s="106">
        <v>210</v>
      </c>
      <c r="U55" s="106">
        <v>139356</v>
      </c>
      <c r="V55" s="106">
        <v>109.10729613733909</v>
      </c>
      <c r="W55" s="106">
        <v>72403.601716738223</v>
      </c>
      <c r="X55" s="106">
        <v>54.431489870929141</v>
      </c>
      <c r="Y55" s="106">
        <v>36120.736678348578</v>
      </c>
      <c r="Z55" s="106">
        <v>63.507292579899591</v>
      </c>
      <c r="AA55" s="106">
        <v>42143.439356021372</v>
      </c>
      <c r="AB55" s="106">
        <v>38</v>
      </c>
      <c r="AC55" s="106">
        <v>25216.799999999999</v>
      </c>
      <c r="AD55" s="106">
        <v>40</v>
      </c>
      <c r="AE55" s="106">
        <v>26544</v>
      </c>
      <c r="AF55" s="106">
        <v>49</v>
      </c>
      <c r="AG55" s="106">
        <v>32516.400000000001</v>
      </c>
      <c r="AH55" s="106">
        <v>52</v>
      </c>
      <c r="AI55" s="106">
        <v>34507.200000000004</v>
      </c>
      <c r="AJ55" s="106">
        <v>79</v>
      </c>
      <c r="AK55" s="106">
        <v>52424.4</v>
      </c>
      <c r="AL55" s="106">
        <v>56</v>
      </c>
      <c r="AM55" s="106">
        <v>37161.599999999999</v>
      </c>
      <c r="AN55" s="106">
        <v>48</v>
      </c>
      <c r="AO55" s="106">
        <v>31852.800000000003</v>
      </c>
      <c r="AP55" s="106">
        <v>61</v>
      </c>
      <c r="AQ55" s="106">
        <v>40479.599999999999</v>
      </c>
      <c r="AR55" s="106">
        <v>18</v>
      </c>
      <c r="AS55" s="106">
        <v>11944.800000000001</v>
      </c>
      <c r="AT55" s="106">
        <v>18</v>
      </c>
      <c r="AU55" s="106">
        <v>11944.800000000001</v>
      </c>
      <c r="AV55" s="106">
        <v>19</v>
      </c>
      <c r="AW55" s="106">
        <v>12608.4</v>
      </c>
      <c r="AX55" s="106">
        <v>16</v>
      </c>
      <c r="AY55" s="106">
        <v>10617.6</v>
      </c>
      <c r="AZ55" s="106">
        <v>29</v>
      </c>
      <c r="BA55" s="106">
        <v>19244.400000000001</v>
      </c>
      <c r="BB55" s="106">
        <v>20</v>
      </c>
      <c r="BC55" s="106">
        <v>13272</v>
      </c>
      <c r="BD55" s="106">
        <v>14</v>
      </c>
      <c r="BE55" s="106">
        <v>9290.4</v>
      </c>
      <c r="BF55" s="106">
        <v>27</v>
      </c>
      <c r="BG55" s="106">
        <v>17917.2</v>
      </c>
      <c r="BH55" s="106">
        <v>32</v>
      </c>
      <c r="BI55" s="106">
        <v>21235.200000000001</v>
      </c>
      <c r="BJ55" s="106">
        <v>20</v>
      </c>
      <c r="BK55" s="106">
        <v>13272</v>
      </c>
      <c r="BL55" s="106">
        <v>19</v>
      </c>
      <c r="BM55" s="106">
        <v>12608.4</v>
      </c>
      <c r="BN55" s="106">
        <v>28</v>
      </c>
      <c r="BO55" s="106">
        <v>18580.8</v>
      </c>
      <c r="BP55" s="106">
        <v>53</v>
      </c>
      <c r="BQ55" s="106">
        <v>35170.800000000003</v>
      </c>
      <c r="BR55" s="106">
        <v>50</v>
      </c>
      <c r="BS55" s="106">
        <v>33180</v>
      </c>
      <c r="BT55" s="106">
        <v>43</v>
      </c>
      <c r="BU55" s="106">
        <v>28534.799999999999</v>
      </c>
      <c r="BV55" s="106">
        <v>52</v>
      </c>
      <c r="BW55" s="106">
        <v>34507.200000000004</v>
      </c>
      <c r="BX55" s="106">
        <v>16</v>
      </c>
      <c r="BY55" s="106">
        <v>10617.6</v>
      </c>
      <c r="BZ55" s="106">
        <v>9.9374672946101654</v>
      </c>
      <c r="CA55" s="106">
        <v>6594.5032967033058</v>
      </c>
      <c r="CB55" s="106">
        <v>5.3953676544958036</v>
      </c>
      <c r="CC55" s="106">
        <v>3580.3659755234153</v>
      </c>
      <c r="CD55" s="106">
        <v>6.2653470308193437</v>
      </c>
      <c r="CE55" s="106">
        <v>4157.6842896517164</v>
      </c>
      <c r="CF55" s="106">
        <v>66.292803096955836</v>
      </c>
      <c r="CG55" s="106">
        <v>43991.904135139892</v>
      </c>
      <c r="CH55" s="106">
        <v>95.933597712810126</v>
      </c>
      <c r="CI55" s="106">
        <v>63661.535442220804</v>
      </c>
      <c r="CJ55" s="106">
        <v>55.172576832151307</v>
      </c>
      <c r="CK55" s="106">
        <v>36612.521985815605</v>
      </c>
      <c r="CL55" s="106">
        <v>54.646357161246037</v>
      </c>
      <c r="CM55" s="106">
        <v>36263.322612202872</v>
      </c>
      <c r="CN55" s="106">
        <v>26</v>
      </c>
      <c r="CO55" s="106">
        <v>17253.600000000002</v>
      </c>
      <c r="CP55" s="106">
        <v>37</v>
      </c>
      <c r="CQ55" s="106">
        <v>24553.200000000001</v>
      </c>
      <c r="CR55" s="106">
        <v>32</v>
      </c>
      <c r="CS55" s="106">
        <v>21235.200000000001</v>
      </c>
      <c r="CT55" s="106">
        <v>23</v>
      </c>
      <c r="CU55" s="106">
        <v>15262.800000000001</v>
      </c>
    </row>
    <row r="56" spans="2:99" x14ac:dyDescent="0.2">
      <c r="C56" s="105" t="s">
        <v>221</v>
      </c>
      <c r="D56" s="106">
        <v>18</v>
      </c>
      <c r="E56" s="106">
        <v>20714.399999999998</v>
      </c>
      <c r="F56" s="106">
        <v>15</v>
      </c>
      <c r="G56" s="106">
        <v>17262</v>
      </c>
      <c r="H56" s="106">
        <v>26</v>
      </c>
      <c r="I56" s="106">
        <v>29920.799999999999</v>
      </c>
      <c r="J56" s="106">
        <v>21</v>
      </c>
      <c r="K56" s="106">
        <v>24166.799999999999</v>
      </c>
      <c r="L56" s="106">
        <v>21</v>
      </c>
      <c r="M56" s="106">
        <v>24166.799999999999</v>
      </c>
      <c r="N56" s="106">
        <v>17</v>
      </c>
      <c r="O56" s="106">
        <v>19563.599999999999</v>
      </c>
      <c r="P56" s="106">
        <v>11.88301329394387</v>
      </c>
      <c r="Q56" s="106">
        <v>13674.971698670604</v>
      </c>
      <c r="R56" s="106">
        <v>20.227862068965518</v>
      </c>
      <c r="S56" s="106">
        <v>23278.223668965518</v>
      </c>
      <c r="T56" s="106">
        <v>162</v>
      </c>
      <c r="U56" s="106">
        <v>186429.6</v>
      </c>
      <c r="V56" s="106">
        <v>171</v>
      </c>
      <c r="W56" s="106">
        <v>196786.8</v>
      </c>
      <c r="X56" s="106">
        <v>165</v>
      </c>
      <c r="Y56" s="106">
        <v>189882</v>
      </c>
      <c r="Z56" s="106">
        <v>213</v>
      </c>
      <c r="AA56" s="106">
        <v>245120.4</v>
      </c>
      <c r="AB56" s="106">
        <v>37</v>
      </c>
      <c r="AC56" s="106">
        <v>42579.6</v>
      </c>
      <c r="AD56" s="106">
        <v>41</v>
      </c>
      <c r="AE56" s="106">
        <v>47182.799999999996</v>
      </c>
      <c r="AF56" s="106">
        <v>45</v>
      </c>
      <c r="AG56" s="106">
        <v>51786</v>
      </c>
      <c r="AH56" s="106">
        <v>46</v>
      </c>
      <c r="AI56" s="106">
        <v>52936.799999999996</v>
      </c>
      <c r="AJ56" s="106">
        <v>67</v>
      </c>
      <c r="AK56" s="106">
        <v>77103.599999999991</v>
      </c>
      <c r="AL56" s="106">
        <v>47</v>
      </c>
      <c r="AM56" s="106">
        <v>54087.6</v>
      </c>
      <c r="AN56" s="106">
        <v>39</v>
      </c>
      <c r="AO56" s="106">
        <v>44881.2</v>
      </c>
      <c r="AP56" s="106">
        <v>56</v>
      </c>
      <c r="AQ56" s="106">
        <v>64444.799999999996</v>
      </c>
      <c r="AR56" s="106">
        <v>18</v>
      </c>
      <c r="AS56" s="106">
        <v>20714.399999999998</v>
      </c>
      <c r="AT56" s="106">
        <v>17</v>
      </c>
      <c r="AU56" s="106">
        <v>19563.599999999999</v>
      </c>
      <c r="AV56" s="106">
        <v>17</v>
      </c>
      <c r="AW56" s="106">
        <v>19563.599999999999</v>
      </c>
      <c r="AX56" s="106">
        <v>15</v>
      </c>
      <c r="AY56" s="106">
        <v>17262</v>
      </c>
      <c r="AZ56" s="106">
        <v>26</v>
      </c>
      <c r="BA56" s="106">
        <v>29920.799999999999</v>
      </c>
      <c r="BB56" s="106">
        <v>19</v>
      </c>
      <c r="BC56" s="106">
        <v>21865.200000000001</v>
      </c>
      <c r="BD56" s="106">
        <v>13</v>
      </c>
      <c r="BE56" s="106">
        <v>14960.4</v>
      </c>
      <c r="BF56" s="106">
        <v>23</v>
      </c>
      <c r="BG56" s="106">
        <v>26468.399999999998</v>
      </c>
      <c r="BH56" s="106">
        <v>33</v>
      </c>
      <c r="BI56" s="106">
        <v>37976.400000000001</v>
      </c>
      <c r="BJ56" s="106">
        <v>20</v>
      </c>
      <c r="BK56" s="106">
        <v>23016</v>
      </c>
      <c r="BL56" s="106">
        <v>19</v>
      </c>
      <c r="BM56" s="106">
        <v>21865.200000000001</v>
      </c>
      <c r="BN56" s="106">
        <v>24</v>
      </c>
      <c r="BO56" s="106">
        <v>27619.199999999997</v>
      </c>
      <c r="BP56" s="106">
        <v>49</v>
      </c>
      <c r="BQ56" s="106">
        <v>56389.2</v>
      </c>
      <c r="BR56" s="106">
        <v>46</v>
      </c>
      <c r="BS56" s="106">
        <v>52936.799999999996</v>
      </c>
      <c r="BT56" s="106">
        <v>39</v>
      </c>
      <c r="BU56" s="106">
        <v>44881.2</v>
      </c>
      <c r="BV56" s="106">
        <v>47</v>
      </c>
      <c r="BW56" s="106">
        <v>54087.6</v>
      </c>
      <c r="BX56" s="106">
        <v>14</v>
      </c>
      <c r="BY56" s="106">
        <v>16111.199999999999</v>
      </c>
      <c r="BZ56" s="106">
        <v>17</v>
      </c>
      <c r="CA56" s="106">
        <v>19563.599999999999</v>
      </c>
      <c r="CB56" s="106">
        <v>15</v>
      </c>
      <c r="CC56" s="106">
        <v>17262</v>
      </c>
      <c r="CD56" s="106">
        <v>16</v>
      </c>
      <c r="CE56" s="106">
        <v>18412.8</v>
      </c>
      <c r="CF56" s="106">
        <v>187</v>
      </c>
      <c r="CG56" s="106">
        <v>215199.6</v>
      </c>
      <c r="CH56" s="106">
        <v>235</v>
      </c>
      <c r="CI56" s="106">
        <v>270438</v>
      </c>
      <c r="CJ56" s="106">
        <v>139</v>
      </c>
      <c r="CK56" s="106">
        <v>159961.19999999998</v>
      </c>
      <c r="CL56" s="106">
        <v>171</v>
      </c>
      <c r="CM56" s="106">
        <v>196786.8</v>
      </c>
      <c r="CN56" s="106">
        <v>24</v>
      </c>
      <c r="CO56" s="106">
        <v>27619.199999999997</v>
      </c>
      <c r="CP56" s="106">
        <v>29</v>
      </c>
      <c r="CQ56" s="106">
        <v>33373.199999999997</v>
      </c>
      <c r="CR56" s="106">
        <v>27</v>
      </c>
      <c r="CS56" s="106">
        <v>31071.599999999999</v>
      </c>
      <c r="CT56" s="106">
        <v>24</v>
      </c>
      <c r="CU56" s="106">
        <v>27619.199999999997</v>
      </c>
    </row>
    <row r="57" spans="2:99" x14ac:dyDescent="0.2">
      <c r="C57" s="105" t="s">
        <v>222</v>
      </c>
      <c r="D57" s="106">
        <v>18</v>
      </c>
      <c r="E57" s="106">
        <v>25401.600000000002</v>
      </c>
      <c r="F57" s="106">
        <v>14</v>
      </c>
      <c r="G57" s="106">
        <v>19756.8</v>
      </c>
      <c r="H57" s="106">
        <v>22</v>
      </c>
      <c r="I57" s="106">
        <v>31046.400000000001</v>
      </c>
      <c r="J57" s="106">
        <v>21</v>
      </c>
      <c r="K57" s="106">
        <v>29635.200000000001</v>
      </c>
      <c r="L57" s="106">
        <v>21</v>
      </c>
      <c r="M57" s="106">
        <v>29635.200000000001</v>
      </c>
      <c r="N57" s="106">
        <v>17</v>
      </c>
      <c r="O57" s="106">
        <v>23990.400000000001</v>
      </c>
      <c r="P57" s="106">
        <v>12</v>
      </c>
      <c r="Q57" s="106">
        <v>16934.400000000001</v>
      </c>
      <c r="R57" s="106">
        <v>21</v>
      </c>
      <c r="S57" s="106">
        <v>29635.200000000001</v>
      </c>
      <c r="T57" s="106">
        <v>170</v>
      </c>
      <c r="U57" s="106">
        <v>239904</v>
      </c>
      <c r="V57" s="106">
        <v>101.06781115879831</v>
      </c>
      <c r="W57" s="106">
        <v>142626.89510729618</v>
      </c>
      <c r="X57" s="106">
        <v>49.58680229079409</v>
      </c>
      <c r="Y57" s="106">
        <v>69976.895392768623</v>
      </c>
      <c r="Z57" s="106">
        <v>48.361201880927716</v>
      </c>
      <c r="AA57" s="106">
        <v>68247.328094365192</v>
      </c>
      <c r="AB57" s="106">
        <v>31</v>
      </c>
      <c r="AC57" s="106">
        <v>43747.200000000004</v>
      </c>
      <c r="AD57" s="106">
        <v>38</v>
      </c>
      <c r="AE57" s="106">
        <v>53625.599999999999</v>
      </c>
      <c r="AF57" s="106">
        <v>45</v>
      </c>
      <c r="AG57" s="106">
        <v>63504</v>
      </c>
      <c r="AH57" s="106">
        <v>50</v>
      </c>
      <c r="AI57" s="106">
        <v>70560</v>
      </c>
      <c r="AJ57" s="106">
        <v>67</v>
      </c>
      <c r="AK57" s="106">
        <v>94550.400000000009</v>
      </c>
      <c r="AL57" s="106">
        <v>49</v>
      </c>
      <c r="AM57" s="106">
        <v>69148.800000000003</v>
      </c>
      <c r="AN57" s="106">
        <v>44</v>
      </c>
      <c r="AO57" s="106">
        <v>62092.800000000003</v>
      </c>
      <c r="AP57" s="106">
        <v>61</v>
      </c>
      <c r="AQ57" s="106">
        <v>86083.199999999997</v>
      </c>
      <c r="AR57" s="106">
        <v>15</v>
      </c>
      <c r="AS57" s="106">
        <v>21168</v>
      </c>
      <c r="AT57" s="106">
        <v>17</v>
      </c>
      <c r="AU57" s="106">
        <v>23990.400000000001</v>
      </c>
      <c r="AV57" s="106">
        <v>18</v>
      </c>
      <c r="AW57" s="106">
        <v>25401.600000000002</v>
      </c>
      <c r="AX57" s="106">
        <v>14</v>
      </c>
      <c r="AY57" s="106">
        <v>19756.8</v>
      </c>
      <c r="AZ57" s="106">
        <v>25</v>
      </c>
      <c r="BA57" s="106">
        <v>35280</v>
      </c>
      <c r="BB57" s="106">
        <v>19</v>
      </c>
      <c r="BC57" s="106">
        <v>26812.799999999999</v>
      </c>
      <c r="BD57" s="106">
        <v>14</v>
      </c>
      <c r="BE57" s="106">
        <v>19756.8</v>
      </c>
      <c r="BF57" s="106">
        <v>20</v>
      </c>
      <c r="BG57" s="106">
        <v>28224</v>
      </c>
      <c r="BH57" s="106">
        <v>32</v>
      </c>
      <c r="BI57" s="106">
        <v>45158.400000000001</v>
      </c>
      <c r="BJ57" s="106">
        <v>18</v>
      </c>
      <c r="BK57" s="106">
        <v>25401.600000000002</v>
      </c>
      <c r="BL57" s="106">
        <v>18</v>
      </c>
      <c r="BM57" s="106">
        <v>25401.600000000002</v>
      </c>
      <c r="BN57" s="106">
        <v>25</v>
      </c>
      <c r="BO57" s="106">
        <v>35280</v>
      </c>
      <c r="BP57" s="106">
        <v>49</v>
      </c>
      <c r="BQ57" s="106">
        <v>69148.800000000003</v>
      </c>
      <c r="BR57" s="106">
        <v>40</v>
      </c>
      <c r="BS57" s="106">
        <v>56448</v>
      </c>
      <c r="BT57" s="106">
        <v>32</v>
      </c>
      <c r="BU57" s="106">
        <v>45158.400000000001</v>
      </c>
      <c r="BV57" s="106">
        <v>41</v>
      </c>
      <c r="BW57" s="106">
        <v>57859.200000000004</v>
      </c>
      <c r="BX57" s="106">
        <v>16</v>
      </c>
      <c r="BY57" s="106">
        <v>22579.200000000001</v>
      </c>
      <c r="BZ57" s="106">
        <v>8.8914181057038313</v>
      </c>
      <c r="CA57" s="106">
        <v>12547.569230769248</v>
      </c>
      <c r="CB57" s="106">
        <v>5.0581571760898161</v>
      </c>
      <c r="CC57" s="106">
        <v>7138.0714068979487</v>
      </c>
      <c r="CD57" s="106">
        <v>6.6830368328739675</v>
      </c>
      <c r="CE57" s="106">
        <v>9431.1015785517429</v>
      </c>
      <c r="CF57" s="106">
        <v>48.10628189336618</v>
      </c>
      <c r="CG57" s="106">
        <v>67887.585007918358</v>
      </c>
      <c r="CH57" s="106">
        <v>73.487595683851339</v>
      </c>
      <c r="CI57" s="106">
        <v>103705.69502905101</v>
      </c>
      <c r="CJ57" s="106">
        <v>43.653027823240599</v>
      </c>
      <c r="CK57" s="106">
        <v>61603.152864157135</v>
      </c>
      <c r="CL57" s="106">
        <v>41.485454389427623</v>
      </c>
      <c r="CM57" s="106">
        <v>58544.273234360262</v>
      </c>
      <c r="CN57" s="106">
        <v>24</v>
      </c>
      <c r="CO57" s="106">
        <v>33868.800000000003</v>
      </c>
      <c r="CP57" s="106">
        <v>29</v>
      </c>
      <c r="CQ57" s="106">
        <v>40924.800000000003</v>
      </c>
      <c r="CR57" s="106">
        <v>28</v>
      </c>
      <c r="CS57" s="106">
        <v>39513.599999999999</v>
      </c>
      <c r="CT57" s="106">
        <v>24</v>
      </c>
      <c r="CU57" s="106">
        <v>33868.800000000003</v>
      </c>
    </row>
    <row r="58" spans="2:99" x14ac:dyDescent="0.2">
      <c r="C58" s="105" t="s">
        <v>223</v>
      </c>
      <c r="D58" s="106">
        <v>17</v>
      </c>
      <c r="E58" s="106">
        <v>20012.400000000001</v>
      </c>
      <c r="F58" s="106">
        <v>15</v>
      </c>
      <c r="G58" s="106">
        <v>17658</v>
      </c>
      <c r="H58" s="106">
        <v>22</v>
      </c>
      <c r="I58" s="106">
        <v>25898.400000000001</v>
      </c>
      <c r="J58" s="106">
        <v>25</v>
      </c>
      <c r="K58" s="106">
        <v>29430</v>
      </c>
      <c r="L58" s="106">
        <v>20</v>
      </c>
      <c r="M58" s="106">
        <v>23544</v>
      </c>
      <c r="N58" s="106">
        <v>17</v>
      </c>
      <c r="O58" s="106">
        <v>20012.400000000001</v>
      </c>
      <c r="P58" s="106">
        <v>13.863515509601182</v>
      </c>
      <c r="Q58" s="106">
        <v>16320.130457902513</v>
      </c>
      <c r="R58" s="106">
        <v>22.066758620689654</v>
      </c>
      <c r="S58" s="106">
        <v>25976.988248275862</v>
      </c>
      <c r="T58" s="106">
        <v>165</v>
      </c>
      <c r="U58" s="106">
        <v>194238</v>
      </c>
      <c r="V58" s="106">
        <v>186</v>
      </c>
      <c r="W58" s="106">
        <v>218959.2</v>
      </c>
      <c r="X58" s="106">
        <v>177</v>
      </c>
      <c r="Y58" s="106">
        <v>208364.4</v>
      </c>
      <c r="Z58" s="106">
        <v>213</v>
      </c>
      <c r="AA58" s="106">
        <v>250743.6</v>
      </c>
      <c r="AB58" s="106">
        <v>33</v>
      </c>
      <c r="AC58" s="106">
        <v>38847.599999999999</v>
      </c>
      <c r="AD58" s="106">
        <v>43</v>
      </c>
      <c r="AE58" s="106">
        <v>50619.6</v>
      </c>
      <c r="AF58" s="106">
        <v>47</v>
      </c>
      <c r="AG58" s="106">
        <v>55328.4</v>
      </c>
      <c r="AH58" s="106">
        <v>46</v>
      </c>
      <c r="AI58" s="106">
        <v>54151.200000000004</v>
      </c>
      <c r="AJ58" s="106">
        <v>77</v>
      </c>
      <c r="AK58" s="106">
        <v>90644.400000000009</v>
      </c>
      <c r="AL58" s="106">
        <v>54</v>
      </c>
      <c r="AM58" s="106">
        <v>63568.800000000003</v>
      </c>
      <c r="AN58" s="106">
        <v>42</v>
      </c>
      <c r="AO58" s="106">
        <v>49442.400000000001</v>
      </c>
      <c r="AP58" s="106">
        <v>65</v>
      </c>
      <c r="AQ58" s="106">
        <v>76518</v>
      </c>
      <c r="AR58" s="106">
        <v>18</v>
      </c>
      <c r="AS58" s="106">
        <v>21189.600000000002</v>
      </c>
      <c r="AT58" s="106">
        <v>15</v>
      </c>
      <c r="AU58" s="106">
        <v>17658</v>
      </c>
      <c r="AV58" s="106">
        <v>17</v>
      </c>
      <c r="AW58" s="106">
        <v>20012.400000000001</v>
      </c>
      <c r="AX58" s="106">
        <v>15</v>
      </c>
      <c r="AY58" s="106">
        <v>17658</v>
      </c>
      <c r="AZ58" s="106">
        <v>27</v>
      </c>
      <c r="BA58" s="106">
        <v>31784.400000000001</v>
      </c>
      <c r="BB58" s="106">
        <v>21</v>
      </c>
      <c r="BC58" s="106">
        <v>24721.200000000001</v>
      </c>
      <c r="BD58" s="106">
        <v>14</v>
      </c>
      <c r="BE58" s="106">
        <v>16480.8</v>
      </c>
      <c r="BF58" s="106">
        <v>24</v>
      </c>
      <c r="BG58" s="106">
        <v>28252.800000000003</v>
      </c>
      <c r="BH58" s="106">
        <v>31</v>
      </c>
      <c r="BI58" s="106">
        <v>36493.200000000004</v>
      </c>
      <c r="BJ58" s="106">
        <v>20</v>
      </c>
      <c r="BK58" s="106">
        <v>23544</v>
      </c>
      <c r="BL58" s="106">
        <v>18</v>
      </c>
      <c r="BM58" s="106">
        <v>21189.600000000002</v>
      </c>
      <c r="BN58" s="106">
        <v>24</v>
      </c>
      <c r="BO58" s="106">
        <v>28252.800000000003</v>
      </c>
      <c r="BP58" s="106">
        <v>54</v>
      </c>
      <c r="BQ58" s="106">
        <v>63568.800000000003</v>
      </c>
      <c r="BR58" s="106">
        <v>45</v>
      </c>
      <c r="BS58" s="106">
        <v>52974</v>
      </c>
      <c r="BT58" s="106">
        <v>39</v>
      </c>
      <c r="BU58" s="106">
        <v>45910.8</v>
      </c>
      <c r="BV58" s="106">
        <v>50</v>
      </c>
      <c r="BW58" s="106">
        <v>58860</v>
      </c>
      <c r="BX58" s="106">
        <v>16</v>
      </c>
      <c r="BY58" s="106">
        <v>18835.2</v>
      </c>
      <c r="BZ58" s="106">
        <v>15</v>
      </c>
      <c r="CA58" s="106">
        <v>17658</v>
      </c>
      <c r="CB58" s="106">
        <v>16</v>
      </c>
      <c r="CC58" s="106">
        <v>18835.2</v>
      </c>
      <c r="CD58" s="106">
        <v>14</v>
      </c>
      <c r="CE58" s="106">
        <v>16480.8</v>
      </c>
      <c r="CF58" s="106">
        <v>188</v>
      </c>
      <c r="CG58" s="106">
        <v>221313.6</v>
      </c>
      <c r="CH58" s="106">
        <v>247</v>
      </c>
      <c r="CI58" s="106">
        <v>290768.40000000002</v>
      </c>
      <c r="CJ58" s="106">
        <v>132</v>
      </c>
      <c r="CK58" s="106">
        <v>155390.39999999999</v>
      </c>
      <c r="CL58" s="106">
        <v>162</v>
      </c>
      <c r="CM58" s="106">
        <v>190706.4</v>
      </c>
      <c r="CN58" s="106">
        <v>25</v>
      </c>
      <c r="CO58" s="106">
        <v>29430</v>
      </c>
      <c r="CP58" s="106">
        <v>28</v>
      </c>
      <c r="CQ58" s="106">
        <v>32961.599999999999</v>
      </c>
      <c r="CR58" s="106">
        <v>29</v>
      </c>
      <c r="CS58" s="106">
        <v>34138.800000000003</v>
      </c>
      <c r="CT58" s="106">
        <v>22</v>
      </c>
      <c r="CU58" s="106">
        <v>25898.400000000001</v>
      </c>
    </row>
    <row r="59" spans="2:99" x14ac:dyDescent="0.2">
      <c r="C59" s="105" t="s">
        <v>224</v>
      </c>
      <c r="D59" s="106">
        <v>22</v>
      </c>
      <c r="E59" s="106">
        <v>6679.1999999999989</v>
      </c>
      <c r="F59" s="106">
        <v>17</v>
      </c>
      <c r="G59" s="106">
        <v>5161.2</v>
      </c>
      <c r="H59" s="106">
        <v>27</v>
      </c>
      <c r="I59" s="106">
        <v>8197.1999999999989</v>
      </c>
      <c r="J59" s="106">
        <v>26</v>
      </c>
      <c r="K59" s="106">
        <v>7893.5999999999995</v>
      </c>
      <c r="L59" s="106">
        <v>26</v>
      </c>
      <c r="M59" s="106">
        <v>7893.5999999999995</v>
      </c>
      <c r="N59" s="106">
        <v>17</v>
      </c>
      <c r="O59" s="106">
        <v>5161.2</v>
      </c>
      <c r="P59" s="106">
        <v>14</v>
      </c>
      <c r="Q59" s="106">
        <v>4250.3999999999996</v>
      </c>
      <c r="R59" s="106">
        <v>25</v>
      </c>
      <c r="S59" s="106">
        <v>7589.9999999999991</v>
      </c>
      <c r="T59" s="106">
        <v>231</v>
      </c>
      <c r="U59" s="106">
        <v>70131.599999999991</v>
      </c>
      <c r="V59" s="106">
        <v>151.02746781115886</v>
      </c>
      <c r="W59" s="106">
        <v>45851.939227467825</v>
      </c>
      <c r="X59" s="106">
        <v>70.960423967860521</v>
      </c>
      <c r="Y59" s="106">
        <v>21543.58471664245</v>
      </c>
      <c r="Z59" s="106">
        <v>73.870407268669808</v>
      </c>
      <c r="AA59" s="106">
        <v>22427.055646768153</v>
      </c>
      <c r="AB59" s="106">
        <v>44</v>
      </c>
      <c r="AC59" s="106">
        <v>13358.399999999998</v>
      </c>
      <c r="AD59" s="106">
        <v>49</v>
      </c>
      <c r="AE59" s="106">
        <v>14876.399999999998</v>
      </c>
      <c r="AF59" s="106">
        <v>60</v>
      </c>
      <c r="AG59" s="106">
        <v>18215.999999999996</v>
      </c>
      <c r="AH59" s="106">
        <v>54</v>
      </c>
      <c r="AI59" s="106">
        <v>16394.399999999998</v>
      </c>
      <c r="AJ59" s="106">
        <v>85</v>
      </c>
      <c r="AK59" s="106">
        <v>25805.999999999996</v>
      </c>
      <c r="AL59" s="106">
        <v>60</v>
      </c>
      <c r="AM59" s="106">
        <v>18215.999999999996</v>
      </c>
      <c r="AN59" s="106">
        <v>56</v>
      </c>
      <c r="AO59" s="106">
        <v>17001.599999999999</v>
      </c>
      <c r="AP59" s="106">
        <v>81</v>
      </c>
      <c r="AQ59" s="106">
        <v>24591.599999999999</v>
      </c>
      <c r="AR59" s="106">
        <v>20</v>
      </c>
      <c r="AS59" s="106">
        <v>6071.9999999999991</v>
      </c>
      <c r="AT59" s="106">
        <v>18</v>
      </c>
      <c r="AU59" s="106">
        <v>5464.7999999999993</v>
      </c>
      <c r="AV59" s="106">
        <v>17</v>
      </c>
      <c r="AW59" s="106">
        <v>5161.2</v>
      </c>
      <c r="AX59" s="106">
        <v>16</v>
      </c>
      <c r="AY59" s="106">
        <v>4857.5999999999995</v>
      </c>
      <c r="AZ59" s="106">
        <v>27</v>
      </c>
      <c r="BA59" s="106">
        <v>8197.1999999999989</v>
      </c>
      <c r="BB59" s="106">
        <v>21</v>
      </c>
      <c r="BC59" s="106">
        <v>6375.5999999999995</v>
      </c>
      <c r="BD59" s="106">
        <v>15</v>
      </c>
      <c r="BE59" s="106">
        <v>4553.9999999999991</v>
      </c>
      <c r="BF59" s="106">
        <v>27</v>
      </c>
      <c r="BG59" s="106">
        <v>8197.1999999999989</v>
      </c>
      <c r="BH59" s="106">
        <v>34</v>
      </c>
      <c r="BI59" s="106">
        <v>10322.4</v>
      </c>
      <c r="BJ59" s="106">
        <v>23</v>
      </c>
      <c r="BK59" s="106">
        <v>6982.7999999999993</v>
      </c>
      <c r="BL59" s="106">
        <v>24</v>
      </c>
      <c r="BM59" s="106">
        <v>7286.4</v>
      </c>
      <c r="BN59" s="106">
        <v>25</v>
      </c>
      <c r="BO59" s="106">
        <v>7589.9999999999991</v>
      </c>
      <c r="BP59" s="106">
        <v>56</v>
      </c>
      <c r="BQ59" s="106">
        <v>17001.599999999999</v>
      </c>
      <c r="BR59" s="106">
        <v>56</v>
      </c>
      <c r="BS59" s="106">
        <v>17001.599999999999</v>
      </c>
      <c r="BT59" s="106">
        <v>38</v>
      </c>
      <c r="BU59" s="106">
        <v>11536.8</v>
      </c>
      <c r="BV59" s="106">
        <v>59</v>
      </c>
      <c r="BW59" s="106">
        <v>17912.399999999998</v>
      </c>
      <c r="BX59" s="106">
        <v>17</v>
      </c>
      <c r="BY59" s="106">
        <v>5161.2</v>
      </c>
      <c r="BZ59" s="106">
        <v>9.9374672946101654</v>
      </c>
      <c r="CA59" s="106">
        <v>3017.0150706436457</v>
      </c>
      <c r="CB59" s="106">
        <v>6.0697886113077786</v>
      </c>
      <c r="CC59" s="106">
        <v>1842.7878223930413</v>
      </c>
      <c r="CD59" s="106">
        <v>6.6830368328739675</v>
      </c>
      <c r="CE59" s="106">
        <v>2028.9699824605364</v>
      </c>
      <c r="CF59" s="106">
        <v>79.199366531761399</v>
      </c>
      <c r="CG59" s="106">
        <v>24044.927679042758</v>
      </c>
      <c r="CH59" s="106">
        <v>115.61228442313015</v>
      </c>
      <c r="CI59" s="106">
        <v>35099.88955086231</v>
      </c>
      <c r="CJ59" s="106">
        <v>63.35751954900892</v>
      </c>
      <c r="CK59" s="106">
        <v>19235.342935079105</v>
      </c>
      <c r="CL59" s="106">
        <v>71.812752081009194</v>
      </c>
      <c r="CM59" s="106">
        <v>21802.351531794389</v>
      </c>
      <c r="CN59" s="106">
        <v>31</v>
      </c>
      <c r="CO59" s="106">
        <v>9411.5999999999985</v>
      </c>
      <c r="CP59" s="106">
        <v>37</v>
      </c>
      <c r="CQ59" s="106">
        <v>11233.199999999999</v>
      </c>
      <c r="CR59" s="106">
        <v>38</v>
      </c>
      <c r="CS59" s="106">
        <v>11536.8</v>
      </c>
      <c r="CT59" s="106">
        <v>26</v>
      </c>
      <c r="CU59" s="106">
        <v>7893.5999999999995</v>
      </c>
    </row>
    <row r="60" spans="2:99" x14ac:dyDescent="0.2">
      <c r="C60" s="105" t="s">
        <v>225</v>
      </c>
      <c r="D60" s="106">
        <v>20</v>
      </c>
      <c r="E60" s="106">
        <v>13032</v>
      </c>
      <c r="F60" s="106">
        <v>15</v>
      </c>
      <c r="G60" s="106">
        <v>9774</v>
      </c>
      <c r="H60" s="106">
        <v>28</v>
      </c>
      <c r="I60" s="106">
        <v>18244.8</v>
      </c>
      <c r="J60" s="106">
        <v>23</v>
      </c>
      <c r="K60" s="106">
        <v>14986.800000000001</v>
      </c>
      <c r="L60" s="106">
        <v>22</v>
      </c>
      <c r="M60" s="106">
        <v>14335.2</v>
      </c>
      <c r="N60" s="106">
        <v>17</v>
      </c>
      <c r="O60" s="106">
        <v>11077.2</v>
      </c>
      <c r="P60" s="106">
        <v>12</v>
      </c>
      <c r="Q60" s="106">
        <v>7819.2000000000007</v>
      </c>
      <c r="R60" s="106">
        <v>27</v>
      </c>
      <c r="S60" s="106">
        <v>17593.2</v>
      </c>
      <c r="T60" s="106">
        <v>190</v>
      </c>
      <c r="U60" s="106">
        <v>123804</v>
      </c>
      <c r="V60" s="106">
        <v>115.9982832618026</v>
      </c>
      <c r="W60" s="106">
        <v>75584.481373390576</v>
      </c>
      <c r="X60" s="106">
        <v>62.695956919394824</v>
      </c>
      <c r="Y60" s="106">
        <v>40852.68552867767</v>
      </c>
      <c r="Z60" s="106">
        <v>74.93329082649241</v>
      </c>
      <c r="AA60" s="106">
        <v>48826.532302542459</v>
      </c>
      <c r="AB60" s="106">
        <v>36</v>
      </c>
      <c r="AC60" s="106">
        <v>23457.600000000002</v>
      </c>
      <c r="AD60" s="106">
        <v>43</v>
      </c>
      <c r="AE60" s="106">
        <v>28018.799999999999</v>
      </c>
      <c r="AF60" s="106">
        <v>51</v>
      </c>
      <c r="AG60" s="106">
        <v>33231.599999999999</v>
      </c>
      <c r="AH60" s="106">
        <v>55</v>
      </c>
      <c r="AI60" s="106">
        <v>35838</v>
      </c>
      <c r="AJ60" s="106">
        <v>85</v>
      </c>
      <c r="AK60" s="106">
        <v>55386</v>
      </c>
      <c r="AL60" s="106">
        <v>59</v>
      </c>
      <c r="AM60" s="106">
        <v>38444.400000000001</v>
      </c>
      <c r="AN60" s="106">
        <v>52</v>
      </c>
      <c r="AO60" s="106">
        <v>33883.200000000004</v>
      </c>
      <c r="AP60" s="106">
        <v>66</v>
      </c>
      <c r="AQ60" s="106">
        <v>43005.599999999999</v>
      </c>
      <c r="AR60" s="106">
        <v>20</v>
      </c>
      <c r="AS60" s="106">
        <v>13032</v>
      </c>
      <c r="AT60" s="106">
        <v>17</v>
      </c>
      <c r="AU60" s="106">
        <v>11077.2</v>
      </c>
      <c r="AV60" s="106">
        <v>17</v>
      </c>
      <c r="AW60" s="106">
        <v>11077.2</v>
      </c>
      <c r="AX60" s="106">
        <v>16</v>
      </c>
      <c r="AY60" s="106">
        <v>10425.6</v>
      </c>
      <c r="AZ60" s="106">
        <v>27</v>
      </c>
      <c r="BA60" s="106">
        <v>17593.2</v>
      </c>
      <c r="BB60" s="106">
        <v>20</v>
      </c>
      <c r="BC60" s="106">
        <v>13032</v>
      </c>
      <c r="BD60" s="106">
        <v>16</v>
      </c>
      <c r="BE60" s="106">
        <v>10425.6</v>
      </c>
      <c r="BF60" s="106">
        <v>23</v>
      </c>
      <c r="BG60" s="106">
        <v>14986.800000000001</v>
      </c>
      <c r="BH60" s="106">
        <v>30</v>
      </c>
      <c r="BI60" s="106">
        <v>19548</v>
      </c>
      <c r="BJ60" s="106">
        <v>21</v>
      </c>
      <c r="BK60" s="106">
        <v>13683.6</v>
      </c>
      <c r="BL60" s="106">
        <v>22</v>
      </c>
      <c r="BM60" s="106">
        <v>14335.2</v>
      </c>
      <c r="BN60" s="106">
        <v>28</v>
      </c>
      <c r="BO60" s="106">
        <v>18244.8</v>
      </c>
      <c r="BP60" s="106">
        <v>62</v>
      </c>
      <c r="BQ60" s="106">
        <v>40399.200000000004</v>
      </c>
      <c r="BR60" s="106">
        <v>45</v>
      </c>
      <c r="BS60" s="106">
        <v>29322</v>
      </c>
      <c r="BT60" s="106">
        <v>39</v>
      </c>
      <c r="BU60" s="106">
        <v>25412.400000000001</v>
      </c>
      <c r="BV60" s="106">
        <v>51</v>
      </c>
      <c r="BW60" s="106">
        <v>33231.599999999999</v>
      </c>
      <c r="BX60" s="106">
        <v>16</v>
      </c>
      <c r="BY60" s="106">
        <v>10425.6</v>
      </c>
      <c r="BZ60" s="106">
        <v>9.9374672946101654</v>
      </c>
      <c r="CA60" s="106">
        <v>6475.2536891679838</v>
      </c>
      <c r="CB60" s="106">
        <v>5.7325781329017911</v>
      </c>
      <c r="CC60" s="106">
        <v>3735.3479113988074</v>
      </c>
      <c r="CD60" s="106">
        <v>7.1007266349285905</v>
      </c>
      <c r="CE60" s="106">
        <v>4626.8334753194695</v>
      </c>
      <c r="CF60" s="106">
        <v>65.119479148337163</v>
      </c>
      <c r="CG60" s="106">
        <v>42431.852613056501</v>
      </c>
      <c r="CH60" s="106">
        <v>89.169049156137618</v>
      </c>
      <c r="CI60" s="106">
        <v>58102.552430139272</v>
      </c>
      <c r="CJ60" s="106">
        <v>49.715948354246237</v>
      </c>
      <c r="CK60" s="106">
        <v>32394.91194762685</v>
      </c>
      <c r="CL60" s="106">
        <v>60.368488801167096</v>
      </c>
      <c r="CM60" s="106">
        <v>39336.107302840479</v>
      </c>
      <c r="CN60" s="106">
        <v>24</v>
      </c>
      <c r="CO60" s="106">
        <v>15638.400000000001</v>
      </c>
      <c r="CP60" s="106">
        <v>34</v>
      </c>
      <c r="CQ60" s="106">
        <v>22154.400000000001</v>
      </c>
      <c r="CR60" s="106">
        <v>34</v>
      </c>
      <c r="CS60" s="106">
        <v>22154.400000000001</v>
      </c>
      <c r="CT60" s="106">
        <v>23</v>
      </c>
      <c r="CU60" s="106">
        <v>14986.800000000001</v>
      </c>
    </row>
    <row r="61" spans="2:99" x14ac:dyDescent="0.2">
      <c r="C61" s="105" t="s">
        <v>226</v>
      </c>
      <c r="D61" s="106">
        <v>18</v>
      </c>
      <c r="E61" s="106">
        <v>17128.8</v>
      </c>
      <c r="F61" s="106">
        <v>15</v>
      </c>
      <c r="G61" s="106">
        <v>14273.999999999998</v>
      </c>
      <c r="H61" s="106">
        <v>23</v>
      </c>
      <c r="I61" s="106">
        <v>21886.799999999999</v>
      </c>
      <c r="J61" s="106">
        <v>24</v>
      </c>
      <c r="K61" s="106">
        <v>22838.399999999998</v>
      </c>
      <c r="L61" s="106">
        <v>20</v>
      </c>
      <c r="M61" s="106">
        <v>19032</v>
      </c>
      <c r="N61" s="106">
        <v>16</v>
      </c>
      <c r="O61" s="106">
        <v>15225.599999999999</v>
      </c>
      <c r="P61" s="106">
        <v>14</v>
      </c>
      <c r="Q61" s="106">
        <v>13322.399999999998</v>
      </c>
      <c r="R61" s="106">
        <v>26</v>
      </c>
      <c r="S61" s="106">
        <v>24741.599999999999</v>
      </c>
      <c r="T61" s="106">
        <v>186</v>
      </c>
      <c r="U61" s="106">
        <v>176997.59999999998</v>
      </c>
      <c r="V61" s="106">
        <v>102.21630901287557</v>
      </c>
      <c r="W61" s="106">
        <v>97269.039656652385</v>
      </c>
      <c r="X61" s="106">
        <v>51.296692024959405</v>
      </c>
      <c r="Y61" s="106">
        <v>48813.932130951369</v>
      </c>
      <c r="Z61" s="106">
        <v>62.710129911532647</v>
      </c>
      <c r="AA61" s="106">
        <v>59674.959623814459</v>
      </c>
      <c r="AB61" s="106">
        <v>36</v>
      </c>
      <c r="AC61" s="106">
        <v>34257.599999999999</v>
      </c>
      <c r="AD61" s="106">
        <v>45</v>
      </c>
      <c r="AE61" s="106">
        <v>42821.999999999993</v>
      </c>
      <c r="AF61" s="106">
        <v>53</v>
      </c>
      <c r="AG61" s="106">
        <v>50434.799999999996</v>
      </c>
      <c r="AH61" s="106">
        <v>52</v>
      </c>
      <c r="AI61" s="106">
        <v>49483.199999999997</v>
      </c>
      <c r="AJ61" s="106">
        <v>74</v>
      </c>
      <c r="AK61" s="106">
        <v>70418.399999999994</v>
      </c>
      <c r="AL61" s="106">
        <v>48</v>
      </c>
      <c r="AM61" s="106">
        <v>45676.799999999996</v>
      </c>
      <c r="AN61" s="106">
        <v>48</v>
      </c>
      <c r="AO61" s="106">
        <v>45676.799999999996</v>
      </c>
      <c r="AP61" s="106">
        <v>65</v>
      </c>
      <c r="AQ61" s="106">
        <v>61853.999999999993</v>
      </c>
      <c r="AR61" s="106">
        <v>17</v>
      </c>
      <c r="AS61" s="106">
        <v>16177.199999999999</v>
      </c>
      <c r="AT61" s="106">
        <v>17</v>
      </c>
      <c r="AU61" s="106">
        <v>16177.199999999999</v>
      </c>
      <c r="AV61" s="106">
        <v>16</v>
      </c>
      <c r="AW61" s="106">
        <v>15225.599999999999</v>
      </c>
      <c r="AX61" s="106">
        <v>16</v>
      </c>
      <c r="AY61" s="106">
        <v>15225.599999999999</v>
      </c>
      <c r="AZ61" s="106">
        <v>25</v>
      </c>
      <c r="BA61" s="106">
        <v>23789.999999999996</v>
      </c>
      <c r="BB61" s="106">
        <v>20</v>
      </c>
      <c r="BC61" s="106">
        <v>19032</v>
      </c>
      <c r="BD61" s="106">
        <v>14</v>
      </c>
      <c r="BE61" s="106">
        <v>13322.399999999998</v>
      </c>
      <c r="BF61" s="106">
        <v>25</v>
      </c>
      <c r="BG61" s="106">
        <v>23789.999999999996</v>
      </c>
      <c r="BH61" s="106">
        <v>34</v>
      </c>
      <c r="BI61" s="106">
        <v>32354.399999999998</v>
      </c>
      <c r="BJ61" s="106">
        <v>19</v>
      </c>
      <c r="BK61" s="106">
        <v>18080.399999999998</v>
      </c>
      <c r="BL61" s="106">
        <v>20</v>
      </c>
      <c r="BM61" s="106">
        <v>19032</v>
      </c>
      <c r="BN61" s="106">
        <v>23</v>
      </c>
      <c r="BO61" s="106">
        <v>21886.799999999999</v>
      </c>
      <c r="BP61" s="106">
        <v>49</v>
      </c>
      <c r="BQ61" s="106">
        <v>46628.399999999994</v>
      </c>
      <c r="BR61" s="106">
        <v>48</v>
      </c>
      <c r="BS61" s="106">
        <v>45676.799999999996</v>
      </c>
      <c r="BT61" s="106">
        <v>40</v>
      </c>
      <c r="BU61" s="106">
        <v>38064</v>
      </c>
      <c r="BV61" s="106">
        <v>52</v>
      </c>
      <c r="BW61" s="106">
        <v>49483.199999999997</v>
      </c>
      <c r="BX61" s="106">
        <v>16</v>
      </c>
      <c r="BY61" s="106">
        <v>15225.599999999999</v>
      </c>
      <c r="BZ61" s="106">
        <v>8.8914181057038313</v>
      </c>
      <c r="CA61" s="106">
        <v>8461.0734693877657</v>
      </c>
      <c r="CB61" s="106">
        <v>5.0581571760898161</v>
      </c>
      <c r="CC61" s="106">
        <v>4813.3423687670684</v>
      </c>
      <c r="CD61" s="106">
        <v>6.6830368328739675</v>
      </c>
      <c r="CE61" s="106">
        <v>6359.5778501628665</v>
      </c>
      <c r="CF61" s="106">
        <v>56.612880520851668</v>
      </c>
      <c r="CG61" s="106">
        <v>53872.817103642439</v>
      </c>
      <c r="CH61" s="106">
        <v>76.869869962187593</v>
      </c>
      <c r="CI61" s="106">
        <v>73149.368256017711</v>
      </c>
      <c r="CJ61" s="106">
        <v>50.322240407346797</v>
      </c>
      <c r="CK61" s="106">
        <v>47886.643971631209</v>
      </c>
      <c r="CL61" s="106">
        <v>55.79078348923025</v>
      </c>
      <c r="CM61" s="106">
        <v>53090.509568351503</v>
      </c>
      <c r="CN61" s="106">
        <v>27</v>
      </c>
      <c r="CO61" s="106">
        <v>25693.199999999997</v>
      </c>
      <c r="CP61" s="106">
        <v>30</v>
      </c>
      <c r="CQ61" s="106">
        <v>28547.999999999996</v>
      </c>
      <c r="CR61" s="106">
        <v>30</v>
      </c>
      <c r="CS61" s="106">
        <v>28547.999999999996</v>
      </c>
      <c r="CT61" s="106">
        <v>22</v>
      </c>
      <c r="CU61" s="106">
        <v>20935.199999999997</v>
      </c>
    </row>
    <row r="62" spans="2:99" x14ac:dyDescent="0.2">
      <c r="C62" s="105" t="s">
        <v>227</v>
      </c>
      <c r="D62" s="106">
        <v>15</v>
      </c>
      <c r="E62" s="106">
        <v>25578</v>
      </c>
      <c r="F62" s="106">
        <v>13</v>
      </c>
      <c r="G62" s="106">
        <v>22167.600000000002</v>
      </c>
      <c r="H62" s="106">
        <v>22</v>
      </c>
      <c r="I62" s="106">
        <v>37514.400000000001</v>
      </c>
      <c r="J62" s="106">
        <v>21</v>
      </c>
      <c r="K62" s="106">
        <v>35809.200000000004</v>
      </c>
      <c r="L62" s="106">
        <v>21</v>
      </c>
      <c r="M62" s="106">
        <v>35809.200000000004</v>
      </c>
      <c r="N62" s="106">
        <v>16</v>
      </c>
      <c r="O62" s="106">
        <v>27283.200000000001</v>
      </c>
      <c r="P62" s="106">
        <v>11</v>
      </c>
      <c r="Q62" s="106">
        <v>18757.2</v>
      </c>
      <c r="R62" s="106">
        <v>20</v>
      </c>
      <c r="S62" s="106">
        <v>34104</v>
      </c>
      <c r="T62" s="106">
        <v>139</v>
      </c>
      <c r="U62" s="106">
        <v>237022.80000000002</v>
      </c>
      <c r="V62" s="106">
        <v>80.394849785407757</v>
      </c>
      <c r="W62" s="106">
        <v>137089.2978540773</v>
      </c>
      <c r="X62" s="106">
        <v>44.172151465937269</v>
      </c>
      <c r="Y62" s="106">
        <v>75322.352679716234</v>
      </c>
      <c r="Z62" s="106">
        <v>52.878457001673716</v>
      </c>
      <c r="AA62" s="106">
        <v>90168.344879254029</v>
      </c>
      <c r="AB62" s="106">
        <v>28</v>
      </c>
      <c r="AC62" s="106">
        <v>47745.599999999999</v>
      </c>
      <c r="AD62" s="106">
        <v>35</v>
      </c>
      <c r="AE62" s="106">
        <v>59682</v>
      </c>
      <c r="AF62" s="106">
        <v>40</v>
      </c>
      <c r="AG62" s="106">
        <v>68208</v>
      </c>
      <c r="AH62" s="106">
        <v>46</v>
      </c>
      <c r="AI62" s="106">
        <v>78439.199999999997</v>
      </c>
      <c r="AJ62" s="106">
        <v>65</v>
      </c>
      <c r="AK62" s="106">
        <v>110838</v>
      </c>
      <c r="AL62" s="106">
        <v>47</v>
      </c>
      <c r="AM62" s="106">
        <v>80144.400000000009</v>
      </c>
      <c r="AN62" s="106">
        <v>38</v>
      </c>
      <c r="AO62" s="106">
        <v>64797.599999999999</v>
      </c>
      <c r="AP62" s="106">
        <v>55</v>
      </c>
      <c r="AQ62" s="106">
        <v>93786</v>
      </c>
      <c r="AR62" s="106">
        <v>15</v>
      </c>
      <c r="AS62" s="106">
        <v>25578</v>
      </c>
      <c r="AT62" s="106">
        <v>14</v>
      </c>
      <c r="AU62" s="106">
        <v>23872.799999999999</v>
      </c>
      <c r="AV62" s="106">
        <v>17</v>
      </c>
      <c r="AW62" s="106">
        <v>28988.400000000001</v>
      </c>
      <c r="AX62" s="106">
        <v>14</v>
      </c>
      <c r="AY62" s="106">
        <v>23872.799999999999</v>
      </c>
      <c r="AZ62" s="106">
        <v>22</v>
      </c>
      <c r="BA62" s="106">
        <v>37514.400000000001</v>
      </c>
      <c r="BB62" s="106">
        <v>17</v>
      </c>
      <c r="BC62" s="106">
        <v>28988.400000000001</v>
      </c>
      <c r="BD62" s="106">
        <v>12</v>
      </c>
      <c r="BE62" s="106">
        <v>20462.400000000001</v>
      </c>
      <c r="BF62" s="106">
        <v>20</v>
      </c>
      <c r="BG62" s="106">
        <v>34104</v>
      </c>
      <c r="BH62" s="106">
        <v>26</v>
      </c>
      <c r="BI62" s="106">
        <v>44335.200000000004</v>
      </c>
      <c r="BJ62" s="106">
        <v>18</v>
      </c>
      <c r="BK62" s="106">
        <v>30693.600000000002</v>
      </c>
      <c r="BL62" s="106">
        <v>19</v>
      </c>
      <c r="BM62" s="106">
        <v>32398.799999999999</v>
      </c>
      <c r="BN62" s="106">
        <v>23</v>
      </c>
      <c r="BO62" s="106">
        <v>39219.599999999999</v>
      </c>
      <c r="BP62" s="106">
        <v>49</v>
      </c>
      <c r="BQ62" s="106">
        <v>83554.8</v>
      </c>
      <c r="BR62" s="106">
        <v>39</v>
      </c>
      <c r="BS62" s="106">
        <v>66502.8</v>
      </c>
      <c r="BT62" s="106">
        <v>30</v>
      </c>
      <c r="BU62" s="106">
        <v>51156</v>
      </c>
      <c r="BV62" s="106">
        <v>45</v>
      </c>
      <c r="BW62" s="106">
        <v>76734</v>
      </c>
      <c r="BX62" s="106">
        <v>15</v>
      </c>
      <c r="BY62" s="106">
        <v>25578</v>
      </c>
      <c r="BZ62" s="106">
        <v>7.8453689167974971</v>
      </c>
      <c r="CA62" s="106">
        <v>13377.923076923093</v>
      </c>
      <c r="CB62" s="106">
        <v>4.7209466976838277</v>
      </c>
      <c r="CC62" s="106">
        <v>8050.1583088904636</v>
      </c>
      <c r="CD62" s="106">
        <v>5.4299674267100988</v>
      </c>
      <c r="CE62" s="106">
        <v>9259.1804560260607</v>
      </c>
      <c r="CF62" s="106">
        <v>45.466303008974144</v>
      </c>
      <c r="CG62" s="106">
        <v>77529.139890902719</v>
      </c>
      <c r="CH62" s="106">
        <v>60.265978050355081</v>
      </c>
      <c r="CI62" s="106">
        <v>102765.54577146549</v>
      </c>
      <c r="CJ62" s="106">
        <v>40.318421531187496</v>
      </c>
      <c r="CK62" s="106">
        <v>68750.972394980927</v>
      </c>
      <c r="CL62" s="106">
        <v>39.482708315455255</v>
      </c>
      <c r="CM62" s="106">
        <v>67325.914219514307</v>
      </c>
      <c r="CN62" s="106">
        <v>23</v>
      </c>
      <c r="CO62" s="106">
        <v>39219.599999999999</v>
      </c>
      <c r="CP62" s="106">
        <v>27</v>
      </c>
      <c r="CQ62" s="106">
        <v>46040.4</v>
      </c>
      <c r="CR62" s="106">
        <v>28</v>
      </c>
      <c r="CS62" s="106">
        <v>47745.599999999999</v>
      </c>
      <c r="CT62" s="106">
        <v>21</v>
      </c>
      <c r="CU62" s="106">
        <v>35809.200000000004</v>
      </c>
    </row>
    <row r="63" spans="2:99" x14ac:dyDescent="0.2">
      <c r="C63" s="105" t="s">
        <v>228</v>
      </c>
      <c r="D63" s="106">
        <v>20</v>
      </c>
      <c r="E63" s="106">
        <v>15912</v>
      </c>
      <c r="F63" s="106">
        <v>15</v>
      </c>
      <c r="G63" s="106">
        <v>11934</v>
      </c>
      <c r="H63" s="106">
        <v>24</v>
      </c>
      <c r="I63" s="106">
        <v>19094.400000000001</v>
      </c>
      <c r="J63" s="106">
        <v>25</v>
      </c>
      <c r="K63" s="106">
        <v>19890</v>
      </c>
      <c r="L63" s="106">
        <v>22</v>
      </c>
      <c r="M63" s="106">
        <v>17503.2</v>
      </c>
      <c r="N63" s="106">
        <v>18</v>
      </c>
      <c r="O63" s="106">
        <v>14320.800000000001</v>
      </c>
      <c r="P63" s="106">
        <v>12</v>
      </c>
      <c r="Q63" s="106">
        <v>9547.2000000000007</v>
      </c>
      <c r="R63" s="106">
        <v>24</v>
      </c>
      <c r="S63" s="106">
        <v>19094.400000000001</v>
      </c>
      <c r="T63" s="106">
        <v>196</v>
      </c>
      <c r="U63" s="106">
        <v>155937.60000000001</v>
      </c>
      <c r="V63" s="106">
        <v>111.97854077253223</v>
      </c>
      <c r="W63" s="106">
        <v>89090.127038626641</v>
      </c>
      <c r="X63" s="106">
        <v>54.431489870929141</v>
      </c>
      <c r="Y63" s="106">
        <v>43305.693341311227</v>
      </c>
      <c r="Z63" s="106">
        <v>68.555989479556871</v>
      </c>
      <c r="AA63" s="106">
        <v>54543.14522993545</v>
      </c>
      <c r="AB63" s="106">
        <v>33</v>
      </c>
      <c r="AC63" s="106">
        <v>26254.799999999999</v>
      </c>
      <c r="AD63" s="106">
        <v>40</v>
      </c>
      <c r="AE63" s="106">
        <v>31824</v>
      </c>
      <c r="AF63" s="106">
        <v>46</v>
      </c>
      <c r="AG63" s="106">
        <v>36597.599999999999</v>
      </c>
      <c r="AH63" s="106">
        <v>59</v>
      </c>
      <c r="AI63" s="106">
        <v>46940.4</v>
      </c>
      <c r="AJ63" s="106">
        <v>78</v>
      </c>
      <c r="AK63" s="106">
        <v>62056.800000000003</v>
      </c>
      <c r="AL63" s="106">
        <v>52</v>
      </c>
      <c r="AM63" s="106">
        <v>41371.200000000004</v>
      </c>
      <c r="AN63" s="106">
        <v>48</v>
      </c>
      <c r="AO63" s="106">
        <v>38188.800000000003</v>
      </c>
      <c r="AP63" s="106">
        <v>66</v>
      </c>
      <c r="AQ63" s="106">
        <v>52509.599999999999</v>
      </c>
      <c r="AR63" s="106">
        <v>18</v>
      </c>
      <c r="AS63" s="106">
        <v>14320.800000000001</v>
      </c>
      <c r="AT63" s="106">
        <v>17</v>
      </c>
      <c r="AU63" s="106">
        <v>13525.2</v>
      </c>
      <c r="AV63" s="106">
        <v>20</v>
      </c>
      <c r="AW63" s="106">
        <v>15912</v>
      </c>
      <c r="AX63" s="106">
        <v>16</v>
      </c>
      <c r="AY63" s="106">
        <v>12729.6</v>
      </c>
      <c r="AZ63" s="106">
        <v>25</v>
      </c>
      <c r="BA63" s="106">
        <v>19890</v>
      </c>
      <c r="BB63" s="106">
        <v>20</v>
      </c>
      <c r="BC63" s="106">
        <v>15912</v>
      </c>
      <c r="BD63" s="106">
        <v>14</v>
      </c>
      <c r="BE63" s="106">
        <v>11138.4</v>
      </c>
      <c r="BF63" s="106">
        <v>22</v>
      </c>
      <c r="BG63" s="106">
        <v>17503.2</v>
      </c>
      <c r="BH63" s="106">
        <v>30</v>
      </c>
      <c r="BI63" s="106">
        <v>23868</v>
      </c>
      <c r="BJ63" s="106">
        <v>21</v>
      </c>
      <c r="BK63" s="106">
        <v>16707.600000000002</v>
      </c>
      <c r="BL63" s="106">
        <v>20</v>
      </c>
      <c r="BM63" s="106">
        <v>15912</v>
      </c>
      <c r="BN63" s="106">
        <v>24</v>
      </c>
      <c r="BO63" s="106">
        <v>19094.400000000001</v>
      </c>
      <c r="BP63" s="106">
        <v>54</v>
      </c>
      <c r="BQ63" s="106">
        <v>42962.400000000001</v>
      </c>
      <c r="BR63" s="106">
        <v>45</v>
      </c>
      <c r="BS63" s="106">
        <v>35802</v>
      </c>
      <c r="BT63" s="106">
        <v>39</v>
      </c>
      <c r="BU63" s="106">
        <v>31028.400000000001</v>
      </c>
      <c r="BV63" s="106">
        <v>51</v>
      </c>
      <c r="BW63" s="106">
        <v>40575.599999999999</v>
      </c>
      <c r="BX63" s="106">
        <v>15</v>
      </c>
      <c r="BY63" s="106">
        <v>11934</v>
      </c>
      <c r="BZ63" s="106">
        <v>8.3683935112506642</v>
      </c>
      <c r="CA63" s="106">
        <v>6657.8938775510287</v>
      </c>
      <c r="CB63" s="106">
        <v>5.0581571760898161</v>
      </c>
      <c r="CC63" s="106">
        <v>4024.2698492970576</v>
      </c>
      <c r="CD63" s="106">
        <v>6.2653470308193437</v>
      </c>
      <c r="CE63" s="106">
        <v>4984.7100977198697</v>
      </c>
      <c r="CF63" s="106">
        <v>58.666197430934375</v>
      </c>
      <c r="CG63" s="106">
        <v>46674.826676051387</v>
      </c>
      <c r="CH63" s="106">
        <v>94.088720833717616</v>
      </c>
      <c r="CI63" s="106">
        <v>74856.986295305731</v>
      </c>
      <c r="CJ63" s="106">
        <v>50.928532460447364</v>
      </c>
      <c r="CK63" s="106">
        <v>40518.740425531927</v>
      </c>
      <c r="CL63" s="106">
        <v>55.79078348923025</v>
      </c>
      <c r="CM63" s="106">
        <v>44387.147344031589</v>
      </c>
      <c r="CN63" s="106">
        <v>25</v>
      </c>
      <c r="CO63" s="106">
        <v>19890</v>
      </c>
      <c r="CP63" s="106">
        <v>34</v>
      </c>
      <c r="CQ63" s="106">
        <v>27050.400000000001</v>
      </c>
      <c r="CR63" s="106">
        <v>29</v>
      </c>
      <c r="CS63" s="106">
        <v>23072.400000000001</v>
      </c>
      <c r="CT63" s="106">
        <v>26</v>
      </c>
      <c r="CU63" s="106">
        <v>20685.600000000002</v>
      </c>
    </row>
    <row r="64" spans="2:99" x14ac:dyDescent="0.2">
      <c r="C64" s="105" t="s">
        <v>229</v>
      </c>
      <c r="D64" s="106">
        <v>18</v>
      </c>
      <c r="E64" s="106">
        <v>18165.599999999999</v>
      </c>
      <c r="F64" s="106">
        <v>16</v>
      </c>
      <c r="G64" s="106">
        <v>16147.199999999997</v>
      </c>
      <c r="H64" s="106">
        <v>25</v>
      </c>
      <c r="I64" s="106">
        <v>25229.999999999996</v>
      </c>
      <c r="J64" s="106">
        <v>25</v>
      </c>
      <c r="K64" s="106">
        <v>25229.999999999996</v>
      </c>
      <c r="L64" s="106">
        <v>21</v>
      </c>
      <c r="M64" s="106">
        <v>21193.199999999997</v>
      </c>
      <c r="N64" s="106">
        <v>17</v>
      </c>
      <c r="O64" s="106">
        <v>17156.399999999998</v>
      </c>
      <c r="P64" s="106">
        <v>12</v>
      </c>
      <c r="Q64" s="106">
        <v>12110.399999999998</v>
      </c>
      <c r="R64" s="106">
        <v>24</v>
      </c>
      <c r="S64" s="106">
        <v>24220.799999999996</v>
      </c>
      <c r="T64" s="106">
        <v>178</v>
      </c>
      <c r="U64" s="106">
        <v>179637.59999999998</v>
      </c>
      <c r="V64" s="106">
        <v>98.770815450643795</v>
      </c>
      <c r="W64" s="106">
        <v>99679.506952789699</v>
      </c>
      <c r="X64" s="106">
        <v>52.436618514402944</v>
      </c>
      <c r="Y64" s="106">
        <v>52919.035404735441</v>
      </c>
      <c r="Z64" s="106">
        <v>66.16450147445606</v>
      </c>
      <c r="AA64" s="106">
        <v>66773.214888021044</v>
      </c>
      <c r="AB64" s="106">
        <v>37</v>
      </c>
      <c r="AC64" s="106">
        <v>37340.399999999994</v>
      </c>
      <c r="AD64" s="106">
        <v>43</v>
      </c>
      <c r="AE64" s="106">
        <v>43395.599999999991</v>
      </c>
      <c r="AF64" s="106">
        <v>46</v>
      </c>
      <c r="AG64" s="106">
        <v>46423.19999999999</v>
      </c>
      <c r="AH64" s="106">
        <v>48</v>
      </c>
      <c r="AI64" s="106">
        <v>48441.599999999991</v>
      </c>
      <c r="AJ64" s="106">
        <v>76</v>
      </c>
      <c r="AK64" s="106">
        <v>76699.199999999983</v>
      </c>
      <c r="AL64" s="106">
        <v>48</v>
      </c>
      <c r="AM64" s="106">
        <v>48441.599999999991</v>
      </c>
      <c r="AN64" s="106">
        <v>47</v>
      </c>
      <c r="AO64" s="106">
        <v>47432.399999999994</v>
      </c>
      <c r="AP64" s="106">
        <v>67</v>
      </c>
      <c r="AQ64" s="106">
        <v>67616.399999999994</v>
      </c>
      <c r="AR64" s="106">
        <v>19</v>
      </c>
      <c r="AS64" s="106">
        <v>19174.799999999996</v>
      </c>
      <c r="AT64" s="106">
        <v>16</v>
      </c>
      <c r="AU64" s="106">
        <v>16147.199999999997</v>
      </c>
      <c r="AV64" s="106">
        <v>18</v>
      </c>
      <c r="AW64" s="106">
        <v>18165.599999999999</v>
      </c>
      <c r="AX64" s="106">
        <v>14</v>
      </c>
      <c r="AY64" s="106">
        <v>14128.799999999997</v>
      </c>
      <c r="AZ64" s="106">
        <v>26</v>
      </c>
      <c r="BA64" s="106">
        <v>26239.199999999997</v>
      </c>
      <c r="BB64" s="106">
        <v>21</v>
      </c>
      <c r="BC64" s="106">
        <v>21193.199999999997</v>
      </c>
      <c r="BD64" s="106">
        <v>14</v>
      </c>
      <c r="BE64" s="106">
        <v>14128.799999999997</v>
      </c>
      <c r="BF64" s="106">
        <v>24</v>
      </c>
      <c r="BG64" s="106">
        <v>24220.799999999996</v>
      </c>
      <c r="BH64" s="106">
        <v>34</v>
      </c>
      <c r="BI64" s="106">
        <v>34312.799999999996</v>
      </c>
      <c r="BJ64" s="106">
        <v>22</v>
      </c>
      <c r="BK64" s="106">
        <v>22202.399999999994</v>
      </c>
      <c r="BL64" s="106">
        <v>22</v>
      </c>
      <c r="BM64" s="106">
        <v>22202.399999999994</v>
      </c>
      <c r="BN64" s="106">
        <v>23</v>
      </c>
      <c r="BO64" s="106">
        <v>23211.599999999995</v>
      </c>
      <c r="BP64" s="106">
        <v>51</v>
      </c>
      <c r="BQ64" s="106">
        <v>51469.19999999999</v>
      </c>
      <c r="BR64" s="106">
        <v>43</v>
      </c>
      <c r="BS64" s="106">
        <v>43395.599999999991</v>
      </c>
      <c r="BT64" s="106">
        <v>37</v>
      </c>
      <c r="BU64" s="106">
        <v>37340.399999999994</v>
      </c>
      <c r="BV64" s="106">
        <v>49</v>
      </c>
      <c r="BW64" s="106">
        <v>49450.799999999988</v>
      </c>
      <c r="BX64" s="106">
        <v>16</v>
      </c>
      <c r="BY64" s="106">
        <v>16147.199999999997</v>
      </c>
      <c r="BZ64" s="106">
        <v>8.3683935112506642</v>
      </c>
      <c r="CA64" s="106">
        <v>8445.3827315541694</v>
      </c>
      <c r="CB64" s="106">
        <v>5.0581571760898161</v>
      </c>
      <c r="CC64" s="106">
        <v>5104.6922221098412</v>
      </c>
      <c r="CD64" s="106">
        <v>5.8476572287647217</v>
      </c>
      <c r="CE64" s="106">
        <v>5901.4556752693561</v>
      </c>
      <c r="CF64" s="106">
        <v>57.199542495161019</v>
      </c>
      <c r="CG64" s="106">
        <v>57725.778286116489</v>
      </c>
      <c r="CH64" s="106">
        <v>75.947431522641352</v>
      </c>
      <c r="CI64" s="106">
        <v>76646.147892649635</v>
      </c>
      <c r="CJ64" s="106">
        <v>42.440443717039471</v>
      </c>
      <c r="CK64" s="106">
        <v>42830.895799236227</v>
      </c>
      <c r="CL64" s="106">
        <v>46.349266283360514</v>
      </c>
      <c r="CM64" s="106">
        <v>46775.679533167422</v>
      </c>
      <c r="CN64" s="106">
        <v>26</v>
      </c>
      <c r="CO64" s="106">
        <v>26239.199999999997</v>
      </c>
      <c r="CP64" s="106">
        <v>35</v>
      </c>
      <c r="CQ64" s="106">
        <v>35321.999999999993</v>
      </c>
      <c r="CR64" s="106">
        <v>28</v>
      </c>
      <c r="CS64" s="106">
        <v>28257.599999999995</v>
      </c>
      <c r="CT64" s="106">
        <v>22</v>
      </c>
      <c r="CU64" s="106">
        <v>22202.399999999994</v>
      </c>
    </row>
    <row r="65" spans="2:99" x14ac:dyDescent="0.2">
      <c r="C65" s="105" t="s">
        <v>230</v>
      </c>
      <c r="D65" s="106">
        <v>17</v>
      </c>
      <c r="E65" s="106">
        <v>17442</v>
      </c>
      <c r="F65" s="106">
        <v>15</v>
      </c>
      <c r="G65" s="106">
        <v>15390</v>
      </c>
      <c r="H65" s="106">
        <v>25</v>
      </c>
      <c r="I65" s="106">
        <v>25650</v>
      </c>
      <c r="J65" s="106">
        <v>23</v>
      </c>
      <c r="K65" s="106">
        <v>23598</v>
      </c>
      <c r="L65" s="106">
        <v>21</v>
      </c>
      <c r="M65" s="106">
        <v>21546</v>
      </c>
      <c r="N65" s="106">
        <v>16</v>
      </c>
      <c r="O65" s="106">
        <v>16416</v>
      </c>
      <c r="P65" s="106">
        <v>13</v>
      </c>
      <c r="Q65" s="106">
        <v>13338</v>
      </c>
      <c r="R65" s="106">
        <v>25</v>
      </c>
      <c r="S65" s="106">
        <v>25650</v>
      </c>
      <c r="T65" s="106">
        <v>195</v>
      </c>
      <c r="U65" s="106">
        <v>200070</v>
      </c>
      <c r="V65" s="106">
        <v>110.83004291845496</v>
      </c>
      <c r="W65" s="106">
        <v>113711.62403433479</v>
      </c>
      <c r="X65" s="106">
        <v>55.001453115650911</v>
      </c>
      <c r="Y65" s="106">
        <v>56431.490896657837</v>
      </c>
      <c r="Z65" s="106">
        <v>64.570176137722171</v>
      </c>
      <c r="AA65" s="106">
        <v>66249.000717302944</v>
      </c>
      <c r="AB65" s="106">
        <v>35</v>
      </c>
      <c r="AC65" s="106">
        <v>35910</v>
      </c>
      <c r="AD65" s="106">
        <v>41</v>
      </c>
      <c r="AE65" s="106">
        <v>42066</v>
      </c>
      <c r="AF65" s="106">
        <v>48</v>
      </c>
      <c r="AG65" s="106">
        <v>49248</v>
      </c>
      <c r="AH65" s="106">
        <v>52</v>
      </c>
      <c r="AI65" s="106">
        <v>53352</v>
      </c>
      <c r="AJ65" s="106">
        <v>73</v>
      </c>
      <c r="AK65" s="106">
        <v>74898</v>
      </c>
      <c r="AL65" s="106">
        <v>55</v>
      </c>
      <c r="AM65" s="106">
        <v>56430</v>
      </c>
      <c r="AN65" s="106">
        <v>42</v>
      </c>
      <c r="AO65" s="106">
        <v>43092</v>
      </c>
      <c r="AP65" s="106">
        <v>63</v>
      </c>
      <c r="AQ65" s="106">
        <v>64638</v>
      </c>
      <c r="AR65" s="106">
        <v>18</v>
      </c>
      <c r="AS65" s="106">
        <v>18468</v>
      </c>
      <c r="AT65" s="106">
        <v>15</v>
      </c>
      <c r="AU65" s="106">
        <v>15390</v>
      </c>
      <c r="AV65" s="106">
        <v>18</v>
      </c>
      <c r="AW65" s="106">
        <v>18468</v>
      </c>
      <c r="AX65" s="106">
        <v>13</v>
      </c>
      <c r="AY65" s="106">
        <v>13338</v>
      </c>
      <c r="AZ65" s="106">
        <v>26</v>
      </c>
      <c r="BA65" s="106">
        <v>26676</v>
      </c>
      <c r="BB65" s="106">
        <v>19</v>
      </c>
      <c r="BC65" s="106">
        <v>19494</v>
      </c>
      <c r="BD65" s="106">
        <v>15</v>
      </c>
      <c r="BE65" s="106">
        <v>15390</v>
      </c>
      <c r="BF65" s="106">
        <v>24</v>
      </c>
      <c r="BG65" s="106">
        <v>24624</v>
      </c>
      <c r="BH65" s="106">
        <v>29</v>
      </c>
      <c r="BI65" s="106">
        <v>29754</v>
      </c>
      <c r="BJ65" s="106">
        <v>21</v>
      </c>
      <c r="BK65" s="106">
        <v>21546</v>
      </c>
      <c r="BL65" s="106">
        <v>20</v>
      </c>
      <c r="BM65" s="106">
        <v>20520</v>
      </c>
      <c r="BN65" s="106">
        <v>22</v>
      </c>
      <c r="BO65" s="106">
        <v>22572</v>
      </c>
      <c r="BP65" s="106">
        <v>57</v>
      </c>
      <c r="BQ65" s="106">
        <v>58482</v>
      </c>
      <c r="BR65" s="106">
        <v>42</v>
      </c>
      <c r="BS65" s="106">
        <v>43092</v>
      </c>
      <c r="BT65" s="106">
        <v>35</v>
      </c>
      <c r="BU65" s="106">
        <v>35910</v>
      </c>
      <c r="BV65" s="106">
        <v>47</v>
      </c>
      <c r="BW65" s="106">
        <v>48222</v>
      </c>
      <c r="BX65" s="106">
        <v>14</v>
      </c>
      <c r="BY65" s="106">
        <v>14364</v>
      </c>
      <c r="BZ65" s="106">
        <v>9.4144427001569966</v>
      </c>
      <c r="CA65" s="106">
        <v>9659.2182103610794</v>
      </c>
      <c r="CB65" s="106">
        <v>5.3953676544958036</v>
      </c>
      <c r="CC65" s="106">
        <v>5535.6472135126942</v>
      </c>
      <c r="CD65" s="106">
        <v>7.1007266349285905</v>
      </c>
      <c r="CE65" s="106">
        <v>7285.3455274367334</v>
      </c>
      <c r="CF65" s="106">
        <v>56.319549533697</v>
      </c>
      <c r="CG65" s="106">
        <v>57783.857821573125</v>
      </c>
      <c r="CH65" s="106">
        <v>85.786774877801349</v>
      </c>
      <c r="CI65" s="106">
        <v>88017.231024624183</v>
      </c>
      <c r="CJ65" s="106">
        <v>50.01909438079651</v>
      </c>
      <c r="CK65" s="106">
        <v>51319.590834697221</v>
      </c>
      <c r="CL65" s="106">
        <v>51.213078177293404</v>
      </c>
      <c r="CM65" s="106">
        <v>52544.618209903034</v>
      </c>
      <c r="CN65" s="106">
        <v>24</v>
      </c>
      <c r="CO65" s="106">
        <v>24624</v>
      </c>
      <c r="CP65" s="106">
        <v>31</v>
      </c>
      <c r="CQ65" s="106">
        <v>31806</v>
      </c>
      <c r="CR65" s="106">
        <v>33</v>
      </c>
      <c r="CS65" s="106">
        <v>33858</v>
      </c>
      <c r="CT65" s="106">
        <v>25</v>
      </c>
      <c r="CU65" s="106">
        <v>25650</v>
      </c>
    </row>
    <row r="66" spans="2:99" x14ac:dyDescent="0.2">
      <c r="C66" s="105" t="s">
        <v>231</v>
      </c>
      <c r="D66" s="106">
        <v>18</v>
      </c>
      <c r="E66" s="106">
        <v>21427.199999999997</v>
      </c>
      <c r="F66" s="106">
        <v>16</v>
      </c>
      <c r="G66" s="106">
        <v>19046.399999999998</v>
      </c>
      <c r="H66" s="106">
        <v>26</v>
      </c>
      <c r="I66" s="106">
        <v>30950.399999999998</v>
      </c>
      <c r="J66" s="106">
        <v>22</v>
      </c>
      <c r="K66" s="106">
        <v>26188.799999999996</v>
      </c>
      <c r="L66" s="106">
        <v>21</v>
      </c>
      <c r="M66" s="106">
        <v>24998.399999999998</v>
      </c>
      <c r="N66" s="106">
        <v>18</v>
      </c>
      <c r="O66" s="106">
        <v>21427.199999999997</v>
      </c>
      <c r="P66" s="106">
        <v>13</v>
      </c>
      <c r="Q66" s="106">
        <v>15475.199999999999</v>
      </c>
      <c r="R66" s="106">
        <v>24</v>
      </c>
      <c r="S66" s="106">
        <v>28569.599999999999</v>
      </c>
      <c r="T66" s="106">
        <v>171</v>
      </c>
      <c r="U66" s="106">
        <v>203558.39999999997</v>
      </c>
      <c r="V66" s="106">
        <v>103.36480686695282</v>
      </c>
      <c r="W66" s="106">
        <v>123045.46609442063</v>
      </c>
      <c r="X66" s="106">
        <v>48.731857423711439</v>
      </c>
      <c r="Y66" s="106">
        <v>58010.403077186093</v>
      </c>
      <c r="Z66" s="106">
        <v>55.535665896230185</v>
      </c>
      <c r="AA66" s="106">
        <v>66109.656682872403</v>
      </c>
      <c r="AB66" s="106">
        <v>33</v>
      </c>
      <c r="AC66" s="106">
        <v>39283.199999999997</v>
      </c>
      <c r="AD66" s="106">
        <v>42</v>
      </c>
      <c r="AE66" s="106">
        <v>49996.799999999996</v>
      </c>
      <c r="AF66" s="106">
        <v>49</v>
      </c>
      <c r="AG66" s="106">
        <v>58329.599999999991</v>
      </c>
      <c r="AH66" s="106">
        <v>51</v>
      </c>
      <c r="AI66" s="106">
        <v>60710.399999999994</v>
      </c>
      <c r="AJ66" s="106">
        <v>76</v>
      </c>
      <c r="AK66" s="106">
        <v>90470.399999999994</v>
      </c>
      <c r="AL66" s="106">
        <v>50</v>
      </c>
      <c r="AM66" s="106">
        <v>59519.999999999993</v>
      </c>
      <c r="AN66" s="106">
        <v>41</v>
      </c>
      <c r="AO66" s="106">
        <v>48806.399999999994</v>
      </c>
      <c r="AP66" s="106">
        <v>56</v>
      </c>
      <c r="AQ66" s="106">
        <v>66662.399999999994</v>
      </c>
      <c r="AR66" s="106">
        <v>17</v>
      </c>
      <c r="AS66" s="106">
        <v>20236.8</v>
      </c>
      <c r="AT66" s="106">
        <v>17</v>
      </c>
      <c r="AU66" s="106">
        <v>20236.8</v>
      </c>
      <c r="AV66" s="106">
        <v>17</v>
      </c>
      <c r="AW66" s="106">
        <v>20236.8</v>
      </c>
      <c r="AX66" s="106">
        <v>13</v>
      </c>
      <c r="AY66" s="106">
        <v>15475.199999999999</v>
      </c>
      <c r="AZ66" s="106">
        <v>23</v>
      </c>
      <c r="BA66" s="106">
        <v>27379.199999999997</v>
      </c>
      <c r="BB66" s="106">
        <v>20</v>
      </c>
      <c r="BC66" s="106">
        <v>23807.999999999996</v>
      </c>
      <c r="BD66" s="106">
        <v>15</v>
      </c>
      <c r="BE66" s="106">
        <v>17855.999999999996</v>
      </c>
      <c r="BF66" s="106">
        <v>21</v>
      </c>
      <c r="BG66" s="106">
        <v>24998.399999999998</v>
      </c>
      <c r="BH66" s="106">
        <v>29</v>
      </c>
      <c r="BI66" s="106">
        <v>34521.599999999999</v>
      </c>
      <c r="BJ66" s="106">
        <v>18</v>
      </c>
      <c r="BK66" s="106">
        <v>21427.199999999997</v>
      </c>
      <c r="BL66" s="106">
        <v>19</v>
      </c>
      <c r="BM66" s="106">
        <v>22617.599999999999</v>
      </c>
      <c r="BN66" s="106">
        <v>25</v>
      </c>
      <c r="BO66" s="106">
        <v>29759.999999999996</v>
      </c>
      <c r="BP66" s="106">
        <v>48</v>
      </c>
      <c r="BQ66" s="106">
        <v>57139.199999999997</v>
      </c>
      <c r="BR66" s="106">
        <v>48</v>
      </c>
      <c r="BS66" s="106">
        <v>57139.199999999997</v>
      </c>
      <c r="BT66" s="106">
        <v>34</v>
      </c>
      <c r="BU66" s="106">
        <v>40473.599999999999</v>
      </c>
      <c r="BV66" s="106">
        <v>43</v>
      </c>
      <c r="BW66" s="106">
        <v>51187.199999999997</v>
      </c>
      <c r="BX66" s="106">
        <v>15</v>
      </c>
      <c r="BY66" s="106">
        <v>17855.999999999996</v>
      </c>
      <c r="BZ66" s="106">
        <v>8.8914181057038313</v>
      </c>
      <c r="CA66" s="106">
        <v>10584.34411302984</v>
      </c>
      <c r="CB66" s="106">
        <v>5.0581571760898161</v>
      </c>
      <c r="CC66" s="106">
        <v>6021.2303024173161</v>
      </c>
      <c r="CD66" s="106">
        <v>6.6830368328739675</v>
      </c>
      <c r="CE66" s="106">
        <v>7955.4870458531705</v>
      </c>
      <c r="CF66" s="106">
        <v>48.692943867675531</v>
      </c>
      <c r="CG66" s="106">
        <v>57964.080380080944</v>
      </c>
      <c r="CH66" s="106">
        <v>76.869869962187593</v>
      </c>
      <c r="CI66" s="106">
        <v>91505.893202988096</v>
      </c>
      <c r="CJ66" s="106">
        <v>42.743589743589745</v>
      </c>
      <c r="CK66" s="106">
        <v>50881.969230769224</v>
      </c>
      <c r="CL66" s="106">
        <v>44.060413627392094</v>
      </c>
      <c r="CM66" s="106">
        <v>52449.516382047543</v>
      </c>
      <c r="CN66" s="106">
        <v>22</v>
      </c>
      <c r="CO66" s="106">
        <v>26188.799999999996</v>
      </c>
      <c r="CP66" s="106">
        <v>29</v>
      </c>
      <c r="CQ66" s="106">
        <v>34521.599999999999</v>
      </c>
      <c r="CR66" s="106">
        <v>32</v>
      </c>
      <c r="CS66" s="106">
        <v>38092.799999999996</v>
      </c>
      <c r="CT66" s="106">
        <v>22</v>
      </c>
      <c r="CU66" s="106">
        <v>26188.799999999996</v>
      </c>
    </row>
    <row r="67" spans="2:99" x14ac:dyDescent="0.2">
      <c r="C67" s="105" t="s">
        <v>232</v>
      </c>
      <c r="D67" s="106">
        <v>19</v>
      </c>
      <c r="E67" s="106">
        <v>21340.799999999999</v>
      </c>
      <c r="F67" s="106">
        <v>15</v>
      </c>
      <c r="G67" s="106">
        <v>16848</v>
      </c>
      <c r="H67" s="106">
        <v>26</v>
      </c>
      <c r="I67" s="106">
        <v>29203.200000000001</v>
      </c>
      <c r="J67" s="106">
        <v>26</v>
      </c>
      <c r="K67" s="106">
        <v>29203.200000000001</v>
      </c>
      <c r="L67" s="106">
        <v>22</v>
      </c>
      <c r="M67" s="106">
        <v>24710.400000000001</v>
      </c>
      <c r="N67" s="106">
        <v>16</v>
      </c>
      <c r="O67" s="106">
        <v>17971.2</v>
      </c>
      <c r="P67" s="106">
        <v>12</v>
      </c>
      <c r="Q67" s="106">
        <v>13478.400000000001</v>
      </c>
      <c r="R67" s="106">
        <v>23</v>
      </c>
      <c r="S67" s="106">
        <v>25833.600000000002</v>
      </c>
      <c r="T67" s="106">
        <v>169</v>
      </c>
      <c r="U67" s="106">
        <v>189820.80000000002</v>
      </c>
      <c r="V67" s="106">
        <v>98.770815450643795</v>
      </c>
      <c r="W67" s="106">
        <v>110939.37991416312</v>
      </c>
      <c r="X67" s="106">
        <v>49.58680229079409</v>
      </c>
      <c r="Y67" s="106">
        <v>55695.896333019926</v>
      </c>
      <c r="Z67" s="106">
        <v>55.535665896230185</v>
      </c>
      <c r="AA67" s="106">
        <v>62377.659934645744</v>
      </c>
      <c r="AB67" s="106">
        <v>33</v>
      </c>
      <c r="AC67" s="106">
        <v>37065.599999999999</v>
      </c>
      <c r="AD67" s="106">
        <v>42</v>
      </c>
      <c r="AE67" s="106">
        <v>47174.400000000001</v>
      </c>
      <c r="AF67" s="106">
        <v>51</v>
      </c>
      <c r="AG67" s="106">
        <v>57283.200000000004</v>
      </c>
      <c r="AH67" s="106">
        <v>56</v>
      </c>
      <c r="AI67" s="106">
        <v>62899.200000000004</v>
      </c>
      <c r="AJ67" s="106">
        <v>68</v>
      </c>
      <c r="AK67" s="106">
        <v>76377.600000000006</v>
      </c>
      <c r="AL67" s="106">
        <v>50</v>
      </c>
      <c r="AM67" s="106">
        <v>56160</v>
      </c>
      <c r="AN67" s="106">
        <v>45</v>
      </c>
      <c r="AO67" s="106">
        <v>50544</v>
      </c>
      <c r="AP67" s="106">
        <v>61</v>
      </c>
      <c r="AQ67" s="106">
        <v>68515.199999999997</v>
      </c>
      <c r="AR67" s="106">
        <v>18</v>
      </c>
      <c r="AS67" s="106">
        <v>20217.600000000002</v>
      </c>
      <c r="AT67" s="106">
        <v>17</v>
      </c>
      <c r="AU67" s="106">
        <v>19094.400000000001</v>
      </c>
      <c r="AV67" s="106">
        <v>19</v>
      </c>
      <c r="AW67" s="106">
        <v>21340.799999999999</v>
      </c>
      <c r="AX67" s="106">
        <v>13</v>
      </c>
      <c r="AY67" s="106">
        <v>14601.6</v>
      </c>
      <c r="AZ67" s="106">
        <v>25</v>
      </c>
      <c r="BA67" s="106">
        <v>28080</v>
      </c>
      <c r="BB67" s="106">
        <v>20</v>
      </c>
      <c r="BC67" s="106">
        <v>22464</v>
      </c>
      <c r="BD67" s="106">
        <v>14</v>
      </c>
      <c r="BE67" s="106">
        <v>15724.800000000001</v>
      </c>
      <c r="BF67" s="106">
        <v>21</v>
      </c>
      <c r="BG67" s="106">
        <v>23587.200000000001</v>
      </c>
      <c r="BH67" s="106">
        <v>34</v>
      </c>
      <c r="BI67" s="106">
        <v>38188.800000000003</v>
      </c>
      <c r="BJ67" s="106">
        <v>21</v>
      </c>
      <c r="BK67" s="106">
        <v>23587.200000000001</v>
      </c>
      <c r="BL67" s="106">
        <v>20</v>
      </c>
      <c r="BM67" s="106">
        <v>22464</v>
      </c>
      <c r="BN67" s="106">
        <v>23</v>
      </c>
      <c r="BO67" s="106">
        <v>25833.600000000002</v>
      </c>
      <c r="BP67" s="106">
        <v>52</v>
      </c>
      <c r="BQ67" s="106">
        <v>58406.400000000001</v>
      </c>
      <c r="BR67" s="106">
        <v>47</v>
      </c>
      <c r="BS67" s="106">
        <v>52790.400000000001</v>
      </c>
      <c r="BT67" s="106">
        <v>37</v>
      </c>
      <c r="BU67" s="106">
        <v>41558.400000000001</v>
      </c>
      <c r="BV67" s="106">
        <v>51</v>
      </c>
      <c r="BW67" s="106">
        <v>57283.200000000004</v>
      </c>
      <c r="BX67" s="106">
        <v>15</v>
      </c>
      <c r="BY67" s="106">
        <v>16848</v>
      </c>
      <c r="BZ67" s="106">
        <v>9.4144427001569966</v>
      </c>
      <c r="CA67" s="106">
        <v>10574.302040816339</v>
      </c>
      <c r="CB67" s="106">
        <v>5.0581571760898161</v>
      </c>
      <c r="CC67" s="106">
        <v>5681.3221401840819</v>
      </c>
      <c r="CD67" s="106">
        <v>5.8476572287647217</v>
      </c>
      <c r="CE67" s="106">
        <v>6568.0885993485354</v>
      </c>
      <c r="CF67" s="106">
        <v>47.812950906211512</v>
      </c>
      <c r="CG67" s="106">
        <v>53703.506457856769</v>
      </c>
      <c r="CH67" s="106">
        <v>70.412800885363836</v>
      </c>
      <c r="CI67" s="106">
        <v>79087.65795444067</v>
      </c>
      <c r="CJ67" s="106">
        <v>41.531005637388617</v>
      </c>
      <c r="CK67" s="106">
        <v>46647.625531914899</v>
      </c>
      <c r="CL67" s="106">
        <v>47.493692611344727</v>
      </c>
      <c r="CM67" s="106">
        <v>53344.915541062401</v>
      </c>
      <c r="CN67" s="106">
        <v>26</v>
      </c>
      <c r="CO67" s="106">
        <v>29203.200000000001</v>
      </c>
      <c r="CP67" s="106">
        <v>32</v>
      </c>
      <c r="CQ67" s="106">
        <v>35942.400000000001</v>
      </c>
      <c r="CR67" s="106">
        <v>30</v>
      </c>
      <c r="CS67" s="106">
        <v>33696</v>
      </c>
      <c r="CT67" s="106">
        <v>25</v>
      </c>
      <c r="CU67" s="106">
        <v>28080</v>
      </c>
    </row>
    <row r="68" spans="2:99" x14ac:dyDescent="0.2">
      <c r="C68" s="105" t="s">
        <v>233</v>
      </c>
      <c r="D68" s="106">
        <v>19</v>
      </c>
      <c r="E68" s="106">
        <v>19630.8</v>
      </c>
      <c r="F68" s="106">
        <v>14</v>
      </c>
      <c r="G68" s="106">
        <v>14464.800000000001</v>
      </c>
      <c r="H68" s="106">
        <v>27</v>
      </c>
      <c r="I68" s="106">
        <v>27896.400000000001</v>
      </c>
      <c r="J68" s="106">
        <v>25</v>
      </c>
      <c r="K68" s="106">
        <v>25830</v>
      </c>
      <c r="L68" s="106">
        <v>20</v>
      </c>
      <c r="M68" s="106">
        <v>20664</v>
      </c>
      <c r="N68" s="106">
        <v>16</v>
      </c>
      <c r="O68" s="106">
        <v>16531.2</v>
      </c>
      <c r="P68" s="106">
        <v>11</v>
      </c>
      <c r="Q68" s="106">
        <v>11365.2</v>
      </c>
      <c r="R68" s="106">
        <v>22</v>
      </c>
      <c r="S68" s="106">
        <v>22730.400000000001</v>
      </c>
      <c r="T68" s="106">
        <v>161</v>
      </c>
      <c r="U68" s="106">
        <v>166345.20000000001</v>
      </c>
      <c r="V68" s="106">
        <v>114.27553648068674</v>
      </c>
      <c r="W68" s="106">
        <v>118069.48429184554</v>
      </c>
      <c r="X68" s="106">
        <v>49.58680229079409</v>
      </c>
      <c r="Y68" s="106">
        <v>51233.084126848458</v>
      </c>
      <c r="Z68" s="106">
        <v>62.710129911532647</v>
      </c>
      <c r="AA68" s="106">
        <v>64792.106224595533</v>
      </c>
      <c r="AB68" s="106">
        <v>37</v>
      </c>
      <c r="AC68" s="106">
        <v>38228.400000000001</v>
      </c>
      <c r="AD68" s="106">
        <v>43</v>
      </c>
      <c r="AE68" s="106">
        <v>44427.6</v>
      </c>
      <c r="AF68" s="106">
        <v>53</v>
      </c>
      <c r="AG68" s="106">
        <v>54759.600000000006</v>
      </c>
      <c r="AH68" s="106">
        <v>51</v>
      </c>
      <c r="AI68" s="106">
        <v>52693.200000000004</v>
      </c>
      <c r="AJ68" s="106">
        <v>74</v>
      </c>
      <c r="AK68" s="106">
        <v>76456.800000000003</v>
      </c>
      <c r="AL68" s="106">
        <v>46</v>
      </c>
      <c r="AM68" s="106">
        <v>47527.200000000004</v>
      </c>
      <c r="AN68" s="106">
        <v>48</v>
      </c>
      <c r="AO68" s="106">
        <v>49593.600000000006</v>
      </c>
      <c r="AP68" s="106">
        <v>63</v>
      </c>
      <c r="AQ68" s="106">
        <v>65091.600000000006</v>
      </c>
      <c r="AR68" s="106">
        <v>16</v>
      </c>
      <c r="AS68" s="106">
        <v>16531.2</v>
      </c>
      <c r="AT68" s="106">
        <v>16</v>
      </c>
      <c r="AU68" s="106">
        <v>16531.2</v>
      </c>
      <c r="AV68" s="106">
        <v>17</v>
      </c>
      <c r="AW68" s="106">
        <v>17564.400000000001</v>
      </c>
      <c r="AX68" s="106">
        <v>15</v>
      </c>
      <c r="AY68" s="106">
        <v>15498</v>
      </c>
      <c r="AZ68" s="106">
        <v>24</v>
      </c>
      <c r="BA68" s="106">
        <v>24796.800000000003</v>
      </c>
      <c r="BB68" s="106">
        <v>22</v>
      </c>
      <c r="BC68" s="106">
        <v>22730.400000000001</v>
      </c>
      <c r="BD68" s="106">
        <v>14</v>
      </c>
      <c r="BE68" s="106">
        <v>14464.800000000001</v>
      </c>
      <c r="BF68" s="106">
        <v>24</v>
      </c>
      <c r="BG68" s="106">
        <v>24796.800000000003</v>
      </c>
      <c r="BH68" s="106">
        <v>31</v>
      </c>
      <c r="BI68" s="106">
        <v>32029.200000000001</v>
      </c>
      <c r="BJ68" s="106">
        <v>22</v>
      </c>
      <c r="BK68" s="106">
        <v>22730.400000000001</v>
      </c>
      <c r="BL68" s="106">
        <v>19</v>
      </c>
      <c r="BM68" s="106">
        <v>19630.8</v>
      </c>
      <c r="BN68" s="106">
        <v>25</v>
      </c>
      <c r="BO68" s="106">
        <v>25830</v>
      </c>
      <c r="BP68" s="106">
        <v>52</v>
      </c>
      <c r="BQ68" s="106">
        <v>53726.400000000001</v>
      </c>
      <c r="BR68" s="106">
        <v>48</v>
      </c>
      <c r="BS68" s="106">
        <v>49593.600000000006</v>
      </c>
      <c r="BT68" s="106">
        <v>40</v>
      </c>
      <c r="BU68" s="106">
        <v>41328</v>
      </c>
      <c r="BV68" s="106">
        <v>45</v>
      </c>
      <c r="BW68" s="106">
        <v>46494</v>
      </c>
      <c r="BX68" s="106">
        <v>16</v>
      </c>
      <c r="BY68" s="106">
        <v>16531.2</v>
      </c>
      <c r="BZ68" s="106">
        <v>8.3683935112506642</v>
      </c>
      <c r="CA68" s="106">
        <v>8646.2241758241871</v>
      </c>
      <c r="CB68" s="106">
        <v>5.3953676544958036</v>
      </c>
      <c r="CC68" s="106">
        <v>5574.4938606250644</v>
      </c>
      <c r="CD68" s="106">
        <v>6.2653470308193437</v>
      </c>
      <c r="CE68" s="106">
        <v>6473.3565522425461</v>
      </c>
      <c r="CF68" s="106">
        <v>50.746260777758231</v>
      </c>
      <c r="CG68" s="106">
        <v>52431.036635579803</v>
      </c>
      <c r="CH68" s="106">
        <v>79.637185280826344</v>
      </c>
      <c r="CI68" s="106">
        <v>82281.139832149784</v>
      </c>
      <c r="CJ68" s="106">
        <v>49.41280232769595</v>
      </c>
      <c r="CK68" s="106">
        <v>51053.307364975459</v>
      </c>
      <c r="CL68" s="106">
        <v>48.924225521324992</v>
      </c>
      <c r="CM68" s="106">
        <v>50548.509808632982</v>
      </c>
      <c r="CN68" s="106">
        <v>27</v>
      </c>
      <c r="CO68" s="106">
        <v>27896.400000000001</v>
      </c>
      <c r="CP68" s="106">
        <v>30</v>
      </c>
      <c r="CQ68" s="106">
        <v>30996</v>
      </c>
      <c r="CR68" s="106">
        <v>28</v>
      </c>
      <c r="CS68" s="106">
        <v>28929.600000000002</v>
      </c>
      <c r="CT68" s="106">
        <v>25</v>
      </c>
      <c r="CU68" s="106">
        <v>25830</v>
      </c>
    </row>
    <row r="69" spans="2:99" x14ac:dyDescent="0.2">
      <c r="C69" s="105" t="s">
        <v>234</v>
      </c>
      <c r="D69" s="106">
        <v>19</v>
      </c>
      <c r="E69" s="106">
        <v>14409.6</v>
      </c>
      <c r="F69" s="106">
        <v>15</v>
      </c>
      <c r="G69" s="106">
        <v>11376</v>
      </c>
      <c r="H69" s="106">
        <v>24</v>
      </c>
      <c r="I69" s="106">
        <v>18201.599999999999</v>
      </c>
      <c r="J69" s="106">
        <v>23</v>
      </c>
      <c r="K69" s="106">
        <v>17443.2</v>
      </c>
      <c r="L69" s="106">
        <v>24</v>
      </c>
      <c r="M69" s="106">
        <v>18201.599999999999</v>
      </c>
      <c r="N69" s="106">
        <v>18</v>
      </c>
      <c r="O69" s="106">
        <v>13651.199999999999</v>
      </c>
      <c r="P69" s="106">
        <v>13</v>
      </c>
      <c r="Q69" s="106">
        <v>9859.1999999999989</v>
      </c>
      <c r="R69" s="106">
        <v>26</v>
      </c>
      <c r="S69" s="106">
        <v>19718.399999999998</v>
      </c>
      <c r="T69" s="106">
        <v>192</v>
      </c>
      <c r="U69" s="106">
        <v>145612.79999999999</v>
      </c>
      <c r="V69" s="106">
        <v>117.14678111587986</v>
      </c>
      <c r="W69" s="106">
        <v>88844.118798283278</v>
      </c>
      <c r="X69" s="106">
        <v>55.001453115650911</v>
      </c>
      <c r="Y69" s="106">
        <v>41713.102042909646</v>
      </c>
      <c r="Z69" s="106">
        <v>69.884593926835109</v>
      </c>
      <c r="AA69" s="106">
        <v>53000.476034111744</v>
      </c>
      <c r="AB69" s="106">
        <v>37</v>
      </c>
      <c r="AC69" s="106">
        <v>28060.799999999999</v>
      </c>
      <c r="AD69" s="106">
        <v>46</v>
      </c>
      <c r="AE69" s="106">
        <v>34886.400000000001</v>
      </c>
      <c r="AF69" s="106">
        <v>55</v>
      </c>
      <c r="AG69" s="106">
        <v>41712</v>
      </c>
      <c r="AH69" s="106">
        <v>59</v>
      </c>
      <c r="AI69" s="106">
        <v>44745.599999999999</v>
      </c>
      <c r="AJ69" s="106">
        <v>73</v>
      </c>
      <c r="AK69" s="106">
        <v>55363.199999999997</v>
      </c>
      <c r="AL69" s="106">
        <v>54</v>
      </c>
      <c r="AM69" s="106">
        <v>40953.599999999999</v>
      </c>
      <c r="AN69" s="106">
        <v>42</v>
      </c>
      <c r="AO69" s="106">
        <v>31852.799999999999</v>
      </c>
      <c r="AP69" s="106">
        <v>61</v>
      </c>
      <c r="AQ69" s="106">
        <v>46262.400000000001</v>
      </c>
      <c r="AR69" s="106">
        <v>18</v>
      </c>
      <c r="AS69" s="106">
        <v>13651.199999999999</v>
      </c>
      <c r="AT69" s="106">
        <v>16</v>
      </c>
      <c r="AU69" s="106">
        <v>12134.4</v>
      </c>
      <c r="AV69" s="106">
        <v>18</v>
      </c>
      <c r="AW69" s="106">
        <v>13651.199999999999</v>
      </c>
      <c r="AX69" s="106">
        <v>15</v>
      </c>
      <c r="AY69" s="106">
        <v>11376</v>
      </c>
      <c r="AZ69" s="106">
        <v>28</v>
      </c>
      <c r="BA69" s="106">
        <v>21235.200000000001</v>
      </c>
      <c r="BB69" s="106">
        <v>20</v>
      </c>
      <c r="BC69" s="106">
        <v>15168</v>
      </c>
      <c r="BD69" s="106">
        <v>13</v>
      </c>
      <c r="BE69" s="106">
        <v>9859.1999999999989</v>
      </c>
      <c r="BF69" s="106">
        <v>23</v>
      </c>
      <c r="BG69" s="106">
        <v>17443.2</v>
      </c>
      <c r="BH69" s="106">
        <v>31</v>
      </c>
      <c r="BI69" s="106">
        <v>23510.399999999998</v>
      </c>
      <c r="BJ69" s="106">
        <v>23</v>
      </c>
      <c r="BK69" s="106">
        <v>17443.2</v>
      </c>
      <c r="BL69" s="106">
        <v>21</v>
      </c>
      <c r="BM69" s="106">
        <v>15926.4</v>
      </c>
      <c r="BN69" s="106">
        <v>25</v>
      </c>
      <c r="BO69" s="106">
        <v>18960</v>
      </c>
      <c r="BP69" s="106">
        <v>50</v>
      </c>
      <c r="BQ69" s="106">
        <v>37920</v>
      </c>
      <c r="BR69" s="106">
        <v>48</v>
      </c>
      <c r="BS69" s="106">
        <v>36403.199999999997</v>
      </c>
      <c r="BT69" s="106">
        <v>40</v>
      </c>
      <c r="BU69" s="106">
        <v>30336</v>
      </c>
      <c r="BV69" s="106">
        <v>53</v>
      </c>
      <c r="BW69" s="106">
        <v>40195.199999999997</v>
      </c>
      <c r="BX69" s="106">
        <v>15</v>
      </c>
      <c r="BY69" s="106">
        <v>11376</v>
      </c>
      <c r="BZ69" s="106">
        <v>9.9374672946101654</v>
      </c>
      <c r="CA69" s="106">
        <v>7536.5751962323493</v>
      </c>
      <c r="CB69" s="106">
        <v>5.0581571760898161</v>
      </c>
      <c r="CC69" s="106">
        <v>3836.1064023465165</v>
      </c>
      <c r="CD69" s="106">
        <v>6.6830368328739675</v>
      </c>
      <c r="CE69" s="106">
        <v>5068.4151340516164</v>
      </c>
      <c r="CF69" s="106">
        <v>61.599507302481094</v>
      </c>
      <c r="CG69" s="106">
        <v>46717.066338201657</v>
      </c>
      <c r="CH69" s="106">
        <v>95.626118232961375</v>
      </c>
      <c r="CI69" s="106">
        <v>72522.848067877901</v>
      </c>
      <c r="CJ69" s="106">
        <v>55.475722858701594</v>
      </c>
      <c r="CK69" s="106">
        <v>42072.788216039291</v>
      </c>
      <c r="CL69" s="106">
        <v>59.796275637174986</v>
      </c>
      <c r="CM69" s="106">
        <v>45349.495443233507</v>
      </c>
      <c r="CN69" s="106">
        <v>27</v>
      </c>
      <c r="CO69" s="106">
        <v>20476.8</v>
      </c>
      <c r="CP69" s="106">
        <v>36</v>
      </c>
      <c r="CQ69" s="106">
        <v>27302.399999999998</v>
      </c>
      <c r="CR69" s="106">
        <v>30</v>
      </c>
      <c r="CS69" s="106">
        <v>22752</v>
      </c>
      <c r="CT69" s="106">
        <v>26</v>
      </c>
      <c r="CU69" s="106">
        <v>19718.399999999998</v>
      </c>
    </row>
    <row r="70" spans="2:99" x14ac:dyDescent="0.2">
      <c r="C70" s="105" t="s">
        <v>235</v>
      </c>
      <c r="D70" s="106">
        <v>19</v>
      </c>
      <c r="E70" s="106">
        <v>10168.799999999999</v>
      </c>
      <c r="F70" s="106">
        <v>18</v>
      </c>
      <c r="G70" s="106">
        <v>9633.5999999999985</v>
      </c>
      <c r="H70" s="106">
        <v>27</v>
      </c>
      <c r="I70" s="106">
        <v>14450.399999999998</v>
      </c>
      <c r="J70" s="106">
        <v>25</v>
      </c>
      <c r="K70" s="106">
        <v>13379.999999999998</v>
      </c>
      <c r="L70" s="106">
        <v>23</v>
      </c>
      <c r="M70" s="106">
        <v>12309.599999999999</v>
      </c>
      <c r="N70" s="106">
        <v>19</v>
      </c>
      <c r="O70" s="106">
        <v>10168.799999999999</v>
      </c>
      <c r="P70" s="106">
        <v>12</v>
      </c>
      <c r="Q70" s="106">
        <v>6422.4</v>
      </c>
      <c r="R70" s="106">
        <v>27</v>
      </c>
      <c r="S70" s="106">
        <v>14450.399999999998</v>
      </c>
      <c r="T70" s="106">
        <v>210</v>
      </c>
      <c r="U70" s="106">
        <v>112391.99999999999</v>
      </c>
      <c r="V70" s="106">
        <v>137.81974248927042</v>
      </c>
      <c r="W70" s="106">
        <v>73761.126180257517</v>
      </c>
      <c r="X70" s="106">
        <v>66.400718010086337</v>
      </c>
      <c r="Y70" s="106">
        <v>35537.6642789982</v>
      </c>
      <c r="Z70" s="106">
        <v>70.150314816290759</v>
      </c>
      <c r="AA70" s="106">
        <v>37544.448489678813</v>
      </c>
      <c r="AB70" s="106">
        <v>39</v>
      </c>
      <c r="AC70" s="106">
        <v>20872.799999999996</v>
      </c>
      <c r="AD70" s="106">
        <v>48</v>
      </c>
      <c r="AE70" s="106">
        <v>25689.599999999999</v>
      </c>
      <c r="AF70" s="106">
        <v>58</v>
      </c>
      <c r="AG70" s="106">
        <v>31041.599999999995</v>
      </c>
      <c r="AH70" s="106">
        <v>59</v>
      </c>
      <c r="AI70" s="106">
        <v>31576.799999999996</v>
      </c>
      <c r="AJ70" s="106">
        <v>80</v>
      </c>
      <c r="AK70" s="106">
        <v>42815.999999999993</v>
      </c>
      <c r="AL70" s="106">
        <v>55</v>
      </c>
      <c r="AM70" s="106">
        <v>29435.999999999996</v>
      </c>
      <c r="AN70" s="106">
        <v>45</v>
      </c>
      <c r="AO70" s="106">
        <v>24083.999999999996</v>
      </c>
      <c r="AP70" s="106">
        <v>65</v>
      </c>
      <c r="AQ70" s="106">
        <v>34787.999999999993</v>
      </c>
      <c r="AR70" s="106">
        <v>18</v>
      </c>
      <c r="AS70" s="106">
        <v>9633.5999999999985</v>
      </c>
      <c r="AT70" s="106">
        <v>19</v>
      </c>
      <c r="AU70" s="106">
        <v>10168.799999999999</v>
      </c>
      <c r="AV70" s="106">
        <v>20</v>
      </c>
      <c r="AW70" s="106">
        <v>10703.999999999998</v>
      </c>
      <c r="AX70" s="106">
        <v>16</v>
      </c>
      <c r="AY70" s="106">
        <v>8563.1999999999989</v>
      </c>
      <c r="AZ70" s="106">
        <v>28</v>
      </c>
      <c r="BA70" s="106">
        <v>14985.599999999999</v>
      </c>
      <c r="BB70" s="106">
        <v>20</v>
      </c>
      <c r="BC70" s="106">
        <v>10703.999999999998</v>
      </c>
      <c r="BD70" s="106">
        <v>14</v>
      </c>
      <c r="BE70" s="106">
        <v>7492.7999999999993</v>
      </c>
      <c r="BF70" s="106">
        <v>23</v>
      </c>
      <c r="BG70" s="106">
        <v>12309.599999999999</v>
      </c>
      <c r="BH70" s="106">
        <v>32</v>
      </c>
      <c r="BI70" s="106">
        <v>17126.399999999998</v>
      </c>
      <c r="BJ70" s="106">
        <v>24</v>
      </c>
      <c r="BK70" s="106">
        <v>12844.8</v>
      </c>
      <c r="BL70" s="106">
        <v>21</v>
      </c>
      <c r="BM70" s="106">
        <v>11239.199999999999</v>
      </c>
      <c r="BN70" s="106">
        <v>28</v>
      </c>
      <c r="BO70" s="106">
        <v>14985.599999999999</v>
      </c>
      <c r="BP70" s="106">
        <v>62</v>
      </c>
      <c r="BQ70" s="106">
        <v>33182.399999999994</v>
      </c>
      <c r="BR70" s="106">
        <v>53</v>
      </c>
      <c r="BS70" s="106">
        <v>28365.599999999995</v>
      </c>
      <c r="BT70" s="106">
        <v>39</v>
      </c>
      <c r="BU70" s="106">
        <v>20872.799999999996</v>
      </c>
      <c r="BV70" s="106">
        <v>50</v>
      </c>
      <c r="BW70" s="106">
        <v>26759.999999999996</v>
      </c>
      <c r="BX70" s="106">
        <v>17</v>
      </c>
      <c r="BY70" s="106">
        <v>9098.4</v>
      </c>
      <c r="BZ70" s="106">
        <v>8.3683935112506642</v>
      </c>
      <c r="CA70" s="106">
        <v>4478.7642072213548</v>
      </c>
      <c r="CB70" s="106">
        <v>5.3953676544958036</v>
      </c>
      <c r="CC70" s="106">
        <v>2887.6007686861535</v>
      </c>
      <c r="CD70" s="106">
        <v>7.1007266349285905</v>
      </c>
      <c r="CE70" s="106">
        <v>3800.3088950137812</v>
      </c>
      <c r="CF70" s="106">
        <v>64.826148161182488</v>
      </c>
      <c r="CG70" s="106">
        <v>34694.954495864862</v>
      </c>
      <c r="CH70" s="106">
        <v>105.15798210827263</v>
      </c>
      <c r="CI70" s="106">
        <v>56280.552024347504</v>
      </c>
      <c r="CJ70" s="106">
        <v>55.172576832151307</v>
      </c>
      <c r="CK70" s="106">
        <v>29528.363120567377</v>
      </c>
      <c r="CL70" s="106">
        <v>55.79078348923025</v>
      </c>
      <c r="CM70" s="106">
        <v>29859.227323436025</v>
      </c>
      <c r="CN70" s="106">
        <v>25</v>
      </c>
      <c r="CO70" s="106">
        <v>13379.999999999998</v>
      </c>
      <c r="CP70" s="106">
        <v>36</v>
      </c>
      <c r="CQ70" s="106">
        <v>19267.199999999997</v>
      </c>
      <c r="CR70" s="106">
        <v>30</v>
      </c>
      <c r="CS70" s="106">
        <v>16055.999999999998</v>
      </c>
      <c r="CT70" s="106">
        <v>25</v>
      </c>
      <c r="CU70" s="106">
        <v>13379.999999999998</v>
      </c>
    </row>
    <row r="71" spans="2:99" x14ac:dyDescent="0.2">
      <c r="B71" s="105" t="s">
        <v>130</v>
      </c>
      <c r="C71" s="105" t="s">
        <v>236</v>
      </c>
      <c r="D71" s="106">
        <v>136</v>
      </c>
      <c r="E71" s="106">
        <v>76704</v>
      </c>
      <c r="F71" s="106">
        <v>130</v>
      </c>
      <c r="G71" s="106">
        <v>73320</v>
      </c>
      <c r="H71" s="106">
        <v>148</v>
      </c>
      <c r="I71" s="106">
        <v>83472</v>
      </c>
      <c r="J71" s="106">
        <v>139</v>
      </c>
      <c r="K71" s="106">
        <v>78396</v>
      </c>
      <c r="L71" s="106">
        <v>117</v>
      </c>
      <c r="M71" s="106">
        <v>65988</v>
      </c>
      <c r="N71" s="106">
        <v>132</v>
      </c>
      <c r="O71" s="106">
        <v>74448</v>
      </c>
      <c r="P71" s="106">
        <v>88.132348596750376</v>
      </c>
      <c r="Q71" s="106">
        <v>49706.644608567214</v>
      </c>
      <c r="R71" s="106">
        <v>100.21986206896551</v>
      </c>
      <c r="S71" s="106">
        <v>56524.002206896548</v>
      </c>
      <c r="T71" s="106">
        <v>76</v>
      </c>
      <c r="U71" s="106">
        <v>42864</v>
      </c>
      <c r="V71" s="106">
        <v>74</v>
      </c>
      <c r="W71" s="106">
        <v>41736</v>
      </c>
      <c r="X71" s="106">
        <v>78</v>
      </c>
      <c r="Y71" s="106">
        <v>43992</v>
      </c>
      <c r="Z71" s="106">
        <v>55</v>
      </c>
      <c r="AA71" s="106">
        <v>31020</v>
      </c>
      <c r="AB71" s="106">
        <v>46</v>
      </c>
      <c r="AC71" s="106">
        <v>25944</v>
      </c>
      <c r="AD71" s="106">
        <v>38</v>
      </c>
      <c r="AE71" s="106">
        <v>21432</v>
      </c>
      <c r="AF71" s="106">
        <v>59</v>
      </c>
      <c r="AG71" s="106">
        <v>33276</v>
      </c>
      <c r="AH71" s="106">
        <v>44</v>
      </c>
      <c r="AI71" s="106">
        <v>24816</v>
      </c>
      <c r="AJ71" s="106">
        <v>116</v>
      </c>
      <c r="AK71" s="106">
        <v>65424</v>
      </c>
      <c r="AL71" s="106">
        <v>148</v>
      </c>
      <c r="AM71" s="106">
        <v>83472</v>
      </c>
      <c r="AN71" s="106">
        <v>137</v>
      </c>
      <c r="AO71" s="106">
        <v>77268</v>
      </c>
      <c r="AP71" s="106">
        <v>128</v>
      </c>
      <c r="AQ71" s="106">
        <v>72192</v>
      </c>
      <c r="AR71" s="106">
        <v>200</v>
      </c>
      <c r="AS71" s="106">
        <v>112800</v>
      </c>
      <c r="AT71" s="106">
        <v>130</v>
      </c>
      <c r="AU71" s="106">
        <v>73320</v>
      </c>
      <c r="AV71" s="106">
        <v>131</v>
      </c>
      <c r="AW71" s="106">
        <v>73884</v>
      </c>
      <c r="AX71" s="106">
        <v>211</v>
      </c>
      <c r="AY71" s="106">
        <v>119004</v>
      </c>
      <c r="AZ71" s="106">
        <v>16</v>
      </c>
      <c r="BA71" s="106">
        <v>9024</v>
      </c>
      <c r="BB71" s="106">
        <v>19</v>
      </c>
      <c r="BC71" s="106">
        <v>10716</v>
      </c>
      <c r="BD71" s="106">
        <v>17</v>
      </c>
      <c r="BE71" s="106">
        <v>9588</v>
      </c>
      <c r="BF71" s="106">
        <v>13</v>
      </c>
      <c r="BG71" s="106">
        <v>7332</v>
      </c>
      <c r="BH71" s="106">
        <v>15</v>
      </c>
      <c r="BI71" s="106">
        <v>8460</v>
      </c>
      <c r="BJ71" s="106">
        <v>18</v>
      </c>
      <c r="BK71" s="106">
        <v>10152</v>
      </c>
      <c r="BL71" s="106">
        <v>11</v>
      </c>
      <c r="BM71" s="106">
        <v>6204</v>
      </c>
      <c r="BN71" s="106">
        <v>11</v>
      </c>
      <c r="BO71" s="106">
        <v>6204</v>
      </c>
      <c r="BP71" s="106">
        <v>20</v>
      </c>
      <c r="BQ71" s="106">
        <v>11280</v>
      </c>
      <c r="BR71" s="106">
        <v>24</v>
      </c>
      <c r="BS71" s="106">
        <v>13536</v>
      </c>
      <c r="BT71" s="106">
        <v>15</v>
      </c>
      <c r="BU71" s="106">
        <v>8460</v>
      </c>
      <c r="BV71" s="106">
        <v>14</v>
      </c>
      <c r="BW71" s="106">
        <v>7896</v>
      </c>
      <c r="BX71" s="106">
        <v>87</v>
      </c>
      <c r="BY71" s="106">
        <v>49068</v>
      </c>
      <c r="BZ71" s="106">
        <v>98</v>
      </c>
      <c r="CA71" s="106">
        <v>55272</v>
      </c>
      <c r="CB71" s="106">
        <v>106</v>
      </c>
      <c r="CC71" s="106">
        <v>59784</v>
      </c>
      <c r="CD71" s="106">
        <v>98</v>
      </c>
      <c r="CE71" s="106">
        <v>55272</v>
      </c>
      <c r="CF71" s="106">
        <v>12</v>
      </c>
      <c r="CG71" s="106">
        <v>6768</v>
      </c>
      <c r="CH71" s="106">
        <v>16</v>
      </c>
      <c r="CI71" s="106">
        <v>9024</v>
      </c>
      <c r="CJ71" s="106">
        <v>9</v>
      </c>
      <c r="CK71" s="106">
        <v>5076</v>
      </c>
      <c r="CL71" s="106">
        <v>12</v>
      </c>
      <c r="CM71" s="106">
        <v>6768</v>
      </c>
      <c r="CN71" s="106">
        <v>24</v>
      </c>
      <c r="CO71" s="106">
        <v>13536</v>
      </c>
      <c r="CP71" s="106">
        <v>20</v>
      </c>
      <c r="CQ71" s="106">
        <v>11280</v>
      </c>
      <c r="CR71" s="106">
        <v>33</v>
      </c>
      <c r="CS71" s="106">
        <v>18612</v>
      </c>
      <c r="CT71" s="106">
        <v>21</v>
      </c>
      <c r="CU71" s="106">
        <v>11844</v>
      </c>
    </row>
    <row r="72" spans="2:99" x14ac:dyDescent="0.2">
      <c r="C72" s="105" t="s">
        <v>237</v>
      </c>
      <c r="D72" s="106">
        <v>149</v>
      </c>
      <c r="E72" s="106">
        <v>11085.599999999999</v>
      </c>
      <c r="F72" s="106">
        <v>134</v>
      </c>
      <c r="G72" s="106">
        <v>9969.5999999999985</v>
      </c>
      <c r="H72" s="106">
        <v>153</v>
      </c>
      <c r="I72" s="106">
        <v>11383.199999999999</v>
      </c>
      <c r="J72" s="106">
        <v>169</v>
      </c>
      <c r="K72" s="106">
        <v>12573.599999999999</v>
      </c>
      <c r="L72" s="106">
        <v>134</v>
      </c>
      <c r="M72" s="106">
        <v>9969.5999999999985</v>
      </c>
      <c r="N72" s="106">
        <v>185</v>
      </c>
      <c r="O72" s="106">
        <v>13763.999999999998</v>
      </c>
      <c r="P72" s="106">
        <v>102.9861152141802</v>
      </c>
      <c r="Q72" s="106">
        <v>7662.1669719350066</v>
      </c>
      <c r="R72" s="106">
        <v>131.48110344827586</v>
      </c>
      <c r="S72" s="106">
        <v>9782.1940965517224</v>
      </c>
      <c r="T72" s="106">
        <v>90</v>
      </c>
      <c r="U72" s="106">
        <v>6695.9999999999991</v>
      </c>
      <c r="V72" s="106">
        <v>87</v>
      </c>
      <c r="W72" s="106">
        <v>6472.7999999999993</v>
      </c>
      <c r="X72" s="106">
        <v>105</v>
      </c>
      <c r="Y72" s="106">
        <v>7811.9999999999991</v>
      </c>
      <c r="Z72" s="106">
        <v>63</v>
      </c>
      <c r="AA72" s="106">
        <v>4687.2</v>
      </c>
      <c r="AB72" s="106">
        <v>48</v>
      </c>
      <c r="AC72" s="106">
        <v>3571.2</v>
      </c>
      <c r="AD72" s="106">
        <v>51</v>
      </c>
      <c r="AE72" s="106">
        <v>3794.3999999999996</v>
      </c>
      <c r="AF72" s="106">
        <v>61</v>
      </c>
      <c r="AG72" s="106">
        <v>4538.3999999999996</v>
      </c>
      <c r="AH72" s="106">
        <v>58</v>
      </c>
      <c r="AI72" s="106">
        <v>4315.2</v>
      </c>
      <c r="AJ72" s="106">
        <v>156</v>
      </c>
      <c r="AK72" s="106">
        <v>11606.399999999998</v>
      </c>
      <c r="AL72" s="106">
        <v>176</v>
      </c>
      <c r="AM72" s="106">
        <v>13094.399999999998</v>
      </c>
      <c r="AN72" s="106">
        <v>162</v>
      </c>
      <c r="AO72" s="106">
        <v>12052.8</v>
      </c>
      <c r="AP72" s="106">
        <v>162</v>
      </c>
      <c r="AQ72" s="106">
        <v>12052.8</v>
      </c>
      <c r="AR72" s="106">
        <v>215</v>
      </c>
      <c r="AS72" s="106">
        <v>15995.999999999998</v>
      </c>
      <c r="AT72" s="106">
        <v>143</v>
      </c>
      <c r="AU72" s="106">
        <v>10639.199999999999</v>
      </c>
      <c r="AV72" s="106">
        <v>132</v>
      </c>
      <c r="AW72" s="106">
        <v>9820.7999999999993</v>
      </c>
      <c r="AX72" s="106">
        <v>238</v>
      </c>
      <c r="AY72" s="106">
        <v>17707.199999999997</v>
      </c>
      <c r="AZ72" s="106">
        <v>19</v>
      </c>
      <c r="BA72" s="106">
        <v>1413.6</v>
      </c>
      <c r="BB72" s="106">
        <v>19</v>
      </c>
      <c r="BC72" s="106">
        <v>1413.6</v>
      </c>
      <c r="BD72" s="106">
        <v>19</v>
      </c>
      <c r="BE72" s="106">
        <v>1413.6</v>
      </c>
      <c r="BF72" s="106">
        <v>13</v>
      </c>
      <c r="BG72" s="106">
        <v>967.19999999999993</v>
      </c>
      <c r="BH72" s="106">
        <v>16</v>
      </c>
      <c r="BI72" s="106">
        <v>1190.3999999999999</v>
      </c>
      <c r="BJ72" s="106">
        <v>20</v>
      </c>
      <c r="BK72" s="106">
        <v>1487.9999999999998</v>
      </c>
      <c r="BL72" s="106">
        <v>11</v>
      </c>
      <c r="BM72" s="106">
        <v>818.39999999999986</v>
      </c>
      <c r="BN72" s="106">
        <v>12</v>
      </c>
      <c r="BO72" s="106">
        <v>892.8</v>
      </c>
      <c r="BP72" s="106">
        <v>25</v>
      </c>
      <c r="BQ72" s="106">
        <v>1859.9999999999998</v>
      </c>
      <c r="BR72" s="106">
        <v>24</v>
      </c>
      <c r="BS72" s="106">
        <v>1785.6</v>
      </c>
      <c r="BT72" s="106">
        <v>18</v>
      </c>
      <c r="BU72" s="106">
        <v>1339.1999999999998</v>
      </c>
      <c r="BV72" s="106">
        <v>17</v>
      </c>
      <c r="BW72" s="106">
        <v>1264.8</v>
      </c>
      <c r="BX72" s="106">
        <v>103</v>
      </c>
      <c r="BY72" s="106">
        <v>7663.1999999999989</v>
      </c>
      <c r="BZ72" s="106">
        <v>120</v>
      </c>
      <c r="CA72" s="106">
        <v>8927.9999999999982</v>
      </c>
      <c r="CB72" s="106">
        <v>138</v>
      </c>
      <c r="CC72" s="106">
        <v>10267.199999999999</v>
      </c>
      <c r="CD72" s="106">
        <v>104</v>
      </c>
      <c r="CE72" s="106">
        <v>7737.5999999999995</v>
      </c>
      <c r="CF72" s="106">
        <v>13</v>
      </c>
      <c r="CG72" s="106">
        <v>967.19999999999993</v>
      </c>
      <c r="CH72" s="106">
        <v>16</v>
      </c>
      <c r="CI72" s="106">
        <v>1190.3999999999999</v>
      </c>
      <c r="CJ72" s="106">
        <v>9</v>
      </c>
      <c r="CK72" s="106">
        <v>669.59999999999991</v>
      </c>
      <c r="CL72" s="106">
        <v>12</v>
      </c>
      <c r="CM72" s="106">
        <v>892.8</v>
      </c>
      <c r="CN72" s="106">
        <v>26</v>
      </c>
      <c r="CO72" s="106">
        <v>1934.3999999999999</v>
      </c>
      <c r="CP72" s="106">
        <v>24</v>
      </c>
      <c r="CQ72" s="106">
        <v>1785.6</v>
      </c>
      <c r="CR72" s="106">
        <v>36</v>
      </c>
      <c r="CS72" s="106">
        <v>2678.3999999999996</v>
      </c>
      <c r="CT72" s="106">
        <v>21</v>
      </c>
      <c r="CU72" s="106">
        <v>1562.3999999999999</v>
      </c>
    </row>
    <row r="73" spans="2:99" x14ac:dyDescent="0.2">
      <c r="C73" s="105" t="s">
        <v>238</v>
      </c>
      <c r="D73" s="106">
        <v>119</v>
      </c>
      <c r="E73" s="106">
        <v>66544.799999999988</v>
      </c>
      <c r="F73" s="106">
        <v>125</v>
      </c>
      <c r="G73" s="106">
        <v>69899.999999999985</v>
      </c>
      <c r="H73" s="106">
        <v>145</v>
      </c>
      <c r="I73" s="106">
        <v>81083.999999999985</v>
      </c>
      <c r="J73" s="106">
        <v>157</v>
      </c>
      <c r="K73" s="106">
        <v>87794.4</v>
      </c>
      <c r="L73" s="106">
        <v>125</v>
      </c>
      <c r="M73" s="106">
        <v>69899.999999999985</v>
      </c>
      <c r="N73" s="106">
        <v>158</v>
      </c>
      <c r="O73" s="106">
        <v>88353.599999999991</v>
      </c>
      <c r="P73" s="106">
        <v>104.96661742983753</v>
      </c>
      <c r="Q73" s="106">
        <v>58697.33246676514</v>
      </c>
      <c r="R73" s="106">
        <v>110.33379310344827</v>
      </c>
      <c r="S73" s="106">
        <v>61698.657103448269</v>
      </c>
      <c r="T73" s="106">
        <v>72</v>
      </c>
      <c r="U73" s="106">
        <v>40262.399999999994</v>
      </c>
      <c r="V73" s="106">
        <v>69</v>
      </c>
      <c r="W73" s="106">
        <v>38584.799999999996</v>
      </c>
      <c r="X73" s="106">
        <v>86</v>
      </c>
      <c r="Y73" s="106">
        <v>48091.199999999997</v>
      </c>
      <c r="Z73" s="106">
        <v>64</v>
      </c>
      <c r="AA73" s="106">
        <v>35788.799999999996</v>
      </c>
      <c r="AB73" s="106">
        <v>42</v>
      </c>
      <c r="AC73" s="106">
        <v>23486.399999999998</v>
      </c>
      <c r="AD73" s="106">
        <v>42</v>
      </c>
      <c r="AE73" s="106">
        <v>23486.399999999998</v>
      </c>
      <c r="AF73" s="106">
        <v>55</v>
      </c>
      <c r="AG73" s="106">
        <v>30755.999999999996</v>
      </c>
      <c r="AH73" s="106">
        <v>45</v>
      </c>
      <c r="AI73" s="106">
        <v>25163.999999999996</v>
      </c>
      <c r="AJ73" s="106">
        <v>121</v>
      </c>
      <c r="AK73" s="106">
        <v>67663.199999999997</v>
      </c>
      <c r="AL73" s="106">
        <v>151</v>
      </c>
      <c r="AM73" s="106">
        <v>84439.199999999983</v>
      </c>
      <c r="AN73" s="106">
        <v>140</v>
      </c>
      <c r="AO73" s="106">
        <v>78287.999999999985</v>
      </c>
      <c r="AP73" s="106">
        <v>128</v>
      </c>
      <c r="AQ73" s="106">
        <v>71577.599999999991</v>
      </c>
      <c r="AR73" s="106">
        <v>189</v>
      </c>
      <c r="AS73" s="106">
        <v>105688.79999999999</v>
      </c>
      <c r="AT73" s="106">
        <v>139</v>
      </c>
      <c r="AU73" s="106">
        <v>77728.799999999988</v>
      </c>
      <c r="AV73" s="106">
        <v>111</v>
      </c>
      <c r="AW73" s="106">
        <v>62071.19999999999</v>
      </c>
      <c r="AX73" s="106">
        <v>199</v>
      </c>
      <c r="AY73" s="106">
        <v>111280.79999999999</v>
      </c>
      <c r="AZ73" s="106">
        <v>16</v>
      </c>
      <c r="BA73" s="106">
        <v>8947.1999999999989</v>
      </c>
      <c r="BB73" s="106">
        <v>20</v>
      </c>
      <c r="BC73" s="106">
        <v>11183.999999999998</v>
      </c>
      <c r="BD73" s="106">
        <v>19</v>
      </c>
      <c r="BE73" s="106">
        <v>10624.8</v>
      </c>
      <c r="BF73" s="106">
        <v>12</v>
      </c>
      <c r="BG73" s="106">
        <v>6710.4</v>
      </c>
      <c r="BH73" s="106">
        <v>14</v>
      </c>
      <c r="BI73" s="106">
        <v>7828.7999999999993</v>
      </c>
      <c r="BJ73" s="106">
        <v>19</v>
      </c>
      <c r="BK73" s="106">
        <v>10624.8</v>
      </c>
      <c r="BL73" s="106">
        <v>9</v>
      </c>
      <c r="BM73" s="106">
        <v>5032.7999999999993</v>
      </c>
      <c r="BN73" s="106">
        <v>12</v>
      </c>
      <c r="BO73" s="106">
        <v>6710.4</v>
      </c>
      <c r="BP73" s="106">
        <v>23</v>
      </c>
      <c r="BQ73" s="106">
        <v>12861.599999999999</v>
      </c>
      <c r="BR73" s="106">
        <v>22</v>
      </c>
      <c r="BS73" s="106">
        <v>12302.399999999998</v>
      </c>
      <c r="BT73" s="106">
        <v>16</v>
      </c>
      <c r="BU73" s="106">
        <v>8947.1999999999989</v>
      </c>
      <c r="BV73" s="106">
        <v>15</v>
      </c>
      <c r="BW73" s="106">
        <v>8387.9999999999982</v>
      </c>
      <c r="BX73" s="106">
        <v>81</v>
      </c>
      <c r="BY73" s="106">
        <v>45295.199999999997</v>
      </c>
      <c r="BZ73" s="106">
        <v>116</v>
      </c>
      <c r="CA73" s="106">
        <v>64867.19999999999</v>
      </c>
      <c r="CB73" s="106">
        <v>118</v>
      </c>
      <c r="CC73" s="106">
        <v>65985.599999999991</v>
      </c>
      <c r="CD73" s="106">
        <v>86</v>
      </c>
      <c r="CE73" s="106">
        <v>48091.199999999997</v>
      </c>
      <c r="CF73" s="106">
        <v>13</v>
      </c>
      <c r="CG73" s="106">
        <v>7269.5999999999995</v>
      </c>
      <c r="CH73" s="106">
        <v>14</v>
      </c>
      <c r="CI73" s="106">
        <v>7828.7999999999993</v>
      </c>
      <c r="CJ73" s="106">
        <v>9</v>
      </c>
      <c r="CK73" s="106">
        <v>5032.7999999999993</v>
      </c>
      <c r="CL73" s="106">
        <v>12</v>
      </c>
      <c r="CM73" s="106">
        <v>6710.4</v>
      </c>
      <c r="CN73" s="106">
        <v>27</v>
      </c>
      <c r="CO73" s="106">
        <v>15098.399999999998</v>
      </c>
      <c r="CP73" s="106">
        <v>21</v>
      </c>
      <c r="CQ73" s="106">
        <v>11743.199999999999</v>
      </c>
      <c r="CR73" s="106">
        <v>29</v>
      </c>
      <c r="CS73" s="106">
        <v>16216.799999999997</v>
      </c>
      <c r="CT73" s="106">
        <v>20</v>
      </c>
      <c r="CU73" s="106">
        <v>11183.999999999998</v>
      </c>
    </row>
    <row r="74" spans="2:99" x14ac:dyDescent="0.2">
      <c r="C74" s="105" t="s">
        <v>239</v>
      </c>
      <c r="D74" s="106">
        <v>130</v>
      </c>
      <c r="E74" s="106">
        <v>52416</v>
      </c>
      <c r="F74" s="106">
        <v>130</v>
      </c>
      <c r="G74" s="106">
        <v>52416</v>
      </c>
      <c r="H74" s="106">
        <v>161</v>
      </c>
      <c r="I74" s="106">
        <v>64915.199999999997</v>
      </c>
      <c r="J74" s="106">
        <v>167</v>
      </c>
      <c r="K74" s="106">
        <v>67334.399999999994</v>
      </c>
      <c r="L74" s="106">
        <v>142</v>
      </c>
      <c r="M74" s="106">
        <v>57254.400000000001</v>
      </c>
      <c r="N74" s="106">
        <v>165</v>
      </c>
      <c r="O74" s="106">
        <v>66528</v>
      </c>
      <c r="P74" s="106">
        <v>96.054357459379617</v>
      </c>
      <c r="Q74" s="106">
        <v>38729.116927621857</v>
      </c>
      <c r="R74" s="106">
        <v>108.49489655172412</v>
      </c>
      <c r="S74" s="106">
        <v>43745.142289655167</v>
      </c>
      <c r="T74" s="106">
        <v>76</v>
      </c>
      <c r="U74" s="106">
        <v>30643.200000000001</v>
      </c>
      <c r="V74" s="106">
        <v>73</v>
      </c>
      <c r="W74" s="106">
        <v>29433.599999999999</v>
      </c>
      <c r="X74" s="106">
        <v>91</v>
      </c>
      <c r="Y74" s="106">
        <v>36691.199999999997</v>
      </c>
      <c r="Z74" s="106">
        <v>66</v>
      </c>
      <c r="AA74" s="106">
        <v>26611.200000000001</v>
      </c>
      <c r="AB74" s="106">
        <v>42</v>
      </c>
      <c r="AC74" s="106">
        <v>16934.399999999998</v>
      </c>
      <c r="AD74" s="106">
        <v>46</v>
      </c>
      <c r="AE74" s="106">
        <v>18547.2</v>
      </c>
      <c r="AF74" s="106">
        <v>54</v>
      </c>
      <c r="AG74" s="106">
        <v>21772.799999999999</v>
      </c>
      <c r="AH74" s="106">
        <v>50</v>
      </c>
      <c r="AI74" s="106">
        <v>20160</v>
      </c>
      <c r="AJ74" s="106">
        <v>144</v>
      </c>
      <c r="AK74" s="106">
        <v>58060.799999999996</v>
      </c>
      <c r="AL74" s="106">
        <v>150</v>
      </c>
      <c r="AM74" s="106">
        <v>60480</v>
      </c>
      <c r="AN74" s="106">
        <v>138</v>
      </c>
      <c r="AO74" s="106">
        <v>55641.599999999999</v>
      </c>
      <c r="AP74" s="106">
        <v>138</v>
      </c>
      <c r="AQ74" s="106">
        <v>55641.599999999999</v>
      </c>
      <c r="AR74" s="106">
        <v>179</v>
      </c>
      <c r="AS74" s="106">
        <v>72172.800000000003</v>
      </c>
      <c r="AT74" s="106">
        <v>142</v>
      </c>
      <c r="AU74" s="106">
        <v>57254.400000000001</v>
      </c>
      <c r="AV74" s="106">
        <v>123</v>
      </c>
      <c r="AW74" s="106">
        <v>49593.599999999999</v>
      </c>
      <c r="AX74" s="106">
        <v>211</v>
      </c>
      <c r="AY74" s="106">
        <v>85075.199999999997</v>
      </c>
      <c r="AZ74" s="106">
        <v>16</v>
      </c>
      <c r="BA74" s="106">
        <v>6451.2</v>
      </c>
      <c r="BB74" s="106">
        <v>17</v>
      </c>
      <c r="BC74" s="106">
        <v>6854.4</v>
      </c>
      <c r="BD74" s="106">
        <v>17</v>
      </c>
      <c r="BE74" s="106">
        <v>6854.4</v>
      </c>
      <c r="BF74" s="106">
        <v>11</v>
      </c>
      <c r="BG74" s="106">
        <v>4435.2</v>
      </c>
      <c r="BH74" s="106">
        <v>17</v>
      </c>
      <c r="BI74" s="106">
        <v>6854.4</v>
      </c>
      <c r="BJ74" s="106">
        <v>17</v>
      </c>
      <c r="BK74" s="106">
        <v>6854.4</v>
      </c>
      <c r="BL74" s="106">
        <v>11</v>
      </c>
      <c r="BM74" s="106">
        <v>4435.2</v>
      </c>
      <c r="BN74" s="106">
        <v>11</v>
      </c>
      <c r="BO74" s="106">
        <v>4435.2</v>
      </c>
      <c r="BP74" s="106">
        <v>22</v>
      </c>
      <c r="BQ74" s="106">
        <v>8870.4</v>
      </c>
      <c r="BR74" s="106">
        <v>25</v>
      </c>
      <c r="BS74" s="106">
        <v>10080</v>
      </c>
      <c r="BT74" s="106">
        <v>17</v>
      </c>
      <c r="BU74" s="106">
        <v>6854.4</v>
      </c>
      <c r="BV74" s="106">
        <v>16</v>
      </c>
      <c r="BW74" s="106">
        <v>6451.2</v>
      </c>
      <c r="BX74" s="106">
        <v>100</v>
      </c>
      <c r="BY74" s="106">
        <v>40320</v>
      </c>
      <c r="BZ74" s="106">
        <v>118</v>
      </c>
      <c r="CA74" s="106">
        <v>47577.599999999999</v>
      </c>
      <c r="CB74" s="106">
        <v>110</v>
      </c>
      <c r="CC74" s="106">
        <v>44352</v>
      </c>
      <c r="CD74" s="106">
        <v>89</v>
      </c>
      <c r="CE74" s="106">
        <v>35884.799999999996</v>
      </c>
      <c r="CF74" s="106">
        <v>14</v>
      </c>
      <c r="CG74" s="106">
        <v>5644.8</v>
      </c>
      <c r="CH74" s="106">
        <v>16</v>
      </c>
      <c r="CI74" s="106">
        <v>6451.2</v>
      </c>
      <c r="CJ74" s="106">
        <v>9</v>
      </c>
      <c r="CK74" s="106">
        <v>3628.7999999999997</v>
      </c>
      <c r="CL74" s="106">
        <v>12</v>
      </c>
      <c r="CM74" s="106">
        <v>4838.3999999999996</v>
      </c>
      <c r="CN74" s="106">
        <v>28</v>
      </c>
      <c r="CO74" s="106">
        <v>11289.6</v>
      </c>
      <c r="CP74" s="106">
        <v>22</v>
      </c>
      <c r="CQ74" s="106">
        <v>8870.4</v>
      </c>
      <c r="CR74" s="106">
        <v>29</v>
      </c>
      <c r="CS74" s="106">
        <v>11692.8</v>
      </c>
      <c r="CT74" s="106">
        <v>20</v>
      </c>
      <c r="CU74" s="106">
        <v>8064</v>
      </c>
    </row>
    <row r="75" spans="2:99" x14ac:dyDescent="0.2">
      <c r="C75" s="105" t="s">
        <v>240</v>
      </c>
      <c r="D75" s="106">
        <v>109</v>
      </c>
      <c r="E75" s="106">
        <v>70108.799999999988</v>
      </c>
      <c r="F75" s="106">
        <v>123</v>
      </c>
      <c r="G75" s="106">
        <v>79113.599999999991</v>
      </c>
      <c r="H75" s="106">
        <v>127</v>
      </c>
      <c r="I75" s="106">
        <v>81686.399999999994</v>
      </c>
      <c r="J75" s="106">
        <v>154</v>
      </c>
      <c r="K75" s="106">
        <v>99052.799999999988</v>
      </c>
      <c r="L75" s="106">
        <v>125</v>
      </c>
      <c r="M75" s="106">
        <v>80399.999999999985</v>
      </c>
      <c r="N75" s="106">
        <v>147</v>
      </c>
      <c r="O75" s="106">
        <v>94550.399999999994</v>
      </c>
      <c r="P75" s="106">
        <v>98.034859675036927</v>
      </c>
      <c r="Q75" s="106">
        <v>63056.021742983743</v>
      </c>
      <c r="R75" s="106">
        <v>100.21986206896551</v>
      </c>
      <c r="S75" s="106">
        <v>64461.415282758608</v>
      </c>
      <c r="T75" s="106">
        <v>70</v>
      </c>
      <c r="U75" s="106">
        <v>45023.999999999993</v>
      </c>
      <c r="V75" s="106">
        <v>67</v>
      </c>
      <c r="W75" s="106">
        <v>43094.399999999994</v>
      </c>
      <c r="X75" s="106">
        <v>75</v>
      </c>
      <c r="Y75" s="106">
        <v>48239.999999999993</v>
      </c>
      <c r="Z75" s="106">
        <v>56</v>
      </c>
      <c r="AA75" s="106">
        <v>36019.199999999997</v>
      </c>
      <c r="AB75" s="106">
        <v>43</v>
      </c>
      <c r="AC75" s="106">
        <v>27657.599999999999</v>
      </c>
      <c r="AD75" s="106">
        <v>43</v>
      </c>
      <c r="AE75" s="106">
        <v>27657.599999999999</v>
      </c>
      <c r="AF75" s="106">
        <v>50</v>
      </c>
      <c r="AG75" s="106">
        <v>32159.999999999996</v>
      </c>
      <c r="AH75" s="106">
        <v>49</v>
      </c>
      <c r="AI75" s="106">
        <v>31516.799999999996</v>
      </c>
      <c r="AJ75" s="106">
        <v>129</v>
      </c>
      <c r="AK75" s="106">
        <v>82972.799999999988</v>
      </c>
      <c r="AL75" s="106">
        <v>123</v>
      </c>
      <c r="AM75" s="106">
        <v>79113.599999999991</v>
      </c>
      <c r="AN75" s="106">
        <v>130</v>
      </c>
      <c r="AO75" s="106">
        <v>83615.999999999985</v>
      </c>
      <c r="AP75" s="106">
        <v>128</v>
      </c>
      <c r="AQ75" s="106">
        <v>82329.599999999991</v>
      </c>
      <c r="AR75" s="106">
        <v>167</v>
      </c>
      <c r="AS75" s="106">
        <v>107414.39999999999</v>
      </c>
      <c r="AT75" s="106">
        <v>115</v>
      </c>
      <c r="AU75" s="106">
        <v>73967.999999999985</v>
      </c>
      <c r="AV75" s="106">
        <v>114</v>
      </c>
      <c r="AW75" s="106">
        <v>73324.799999999988</v>
      </c>
      <c r="AX75" s="106">
        <v>202</v>
      </c>
      <c r="AY75" s="106">
        <v>129926.39999999998</v>
      </c>
      <c r="AZ75" s="106">
        <v>16</v>
      </c>
      <c r="BA75" s="106">
        <v>10291.199999999999</v>
      </c>
      <c r="BB75" s="106">
        <v>19</v>
      </c>
      <c r="BC75" s="106">
        <v>12220.8</v>
      </c>
      <c r="BD75" s="106">
        <v>18</v>
      </c>
      <c r="BE75" s="106">
        <v>11577.599999999999</v>
      </c>
      <c r="BF75" s="106">
        <v>11</v>
      </c>
      <c r="BG75" s="106">
        <v>7075.1999999999989</v>
      </c>
      <c r="BH75" s="106">
        <v>16</v>
      </c>
      <c r="BI75" s="106">
        <v>10291.199999999999</v>
      </c>
      <c r="BJ75" s="106">
        <v>17</v>
      </c>
      <c r="BK75" s="106">
        <v>10934.4</v>
      </c>
      <c r="BL75" s="106">
        <v>11</v>
      </c>
      <c r="BM75" s="106">
        <v>7075.1999999999989</v>
      </c>
      <c r="BN75" s="106">
        <v>10</v>
      </c>
      <c r="BO75" s="106">
        <v>6431.9999999999991</v>
      </c>
      <c r="BP75" s="106">
        <v>23</v>
      </c>
      <c r="BQ75" s="106">
        <v>14793.599999999999</v>
      </c>
      <c r="BR75" s="106">
        <v>23</v>
      </c>
      <c r="BS75" s="106">
        <v>14793.599999999999</v>
      </c>
      <c r="BT75" s="106">
        <v>17</v>
      </c>
      <c r="BU75" s="106">
        <v>10934.4</v>
      </c>
      <c r="BV75" s="106">
        <v>14</v>
      </c>
      <c r="BW75" s="106">
        <v>9004.7999999999993</v>
      </c>
      <c r="BX75" s="106">
        <v>80</v>
      </c>
      <c r="BY75" s="106">
        <v>51455.999999999993</v>
      </c>
      <c r="BZ75" s="106">
        <v>115</v>
      </c>
      <c r="CA75" s="106">
        <v>73967.999999999985</v>
      </c>
      <c r="CB75" s="106">
        <v>116</v>
      </c>
      <c r="CC75" s="106">
        <v>74611.199999999997</v>
      </c>
      <c r="CD75" s="106">
        <v>93</v>
      </c>
      <c r="CE75" s="106">
        <v>59817.599999999991</v>
      </c>
      <c r="CF75" s="106">
        <v>13</v>
      </c>
      <c r="CG75" s="106">
        <v>8361.5999999999985</v>
      </c>
      <c r="CH75" s="106">
        <v>14</v>
      </c>
      <c r="CI75" s="106">
        <v>9004.7999999999993</v>
      </c>
      <c r="CJ75" s="106">
        <v>10</v>
      </c>
      <c r="CK75" s="106">
        <v>6431.9999999999991</v>
      </c>
      <c r="CL75" s="106">
        <v>11</v>
      </c>
      <c r="CM75" s="106">
        <v>7075.1999999999989</v>
      </c>
      <c r="CN75" s="106">
        <v>24</v>
      </c>
      <c r="CO75" s="106">
        <v>15436.8</v>
      </c>
      <c r="CP75" s="106">
        <v>21</v>
      </c>
      <c r="CQ75" s="106">
        <v>13507.199999999999</v>
      </c>
      <c r="CR75" s="106">
        <v>32</v>
      </c>
      <c r="CS75" s="106">
        <v>20582.399999999998</v>
      </c>
      <c r="CT75" s="106">
        <v>20</v>
      </c>
      <c r="CU75" s="106">
        <v>12863.999999999998</v>
      </c>
    </row>
    <row r="76" spans="2:99" x14ac:dyDescent="0.2">
      <c r="C76" s="105" t="s">
        <v>241</v>
      </c>
      <c r="D76" s="106">
        <v>119</v>
      </c>
      <c r="E76" s="106">
        <v>92677.2</v>
      </c>
      <c r="F76" s="106">
        <v>118</v>
      </c>
      <c r="G76" s="106">
        <v>91898.4</v>
      </c>
      <c r="H76" s="106">
        <v>146</v>
      </c>
      <c r="I76" s="106">
        <v>113704.79999999999</v>
      </c>
      <c r="J76" s="106">
        <v>152</v>
      </c>
      <c r="K76" s="106">
        <v>118377.59999999999</v>
      </c>
      <c r="L76" s="106">
        <v>107</v>
      </c>
      <c r="M76" s="106">
        <v>83331.599999999991</v>
      </c>
      <c r="N76" s="106">
        <v>136</v>
      </c>
      <c r="O76" s="106">
        <v>105916.79999999999</v>
      </c>
      <c r="P76" s="106">
        <v>81.200590841949776</v>
      </c>
      <c r="Q76" s="106">
        <v>63239.020147710478</v>
      </c>
      <c r="R76" s="106">
        <v>97.461517241379312</v>
      </c>
      <c r="S76" s="106">
        <v>75903.029627586206</v>
      </c>
      <c r="T76" s="106">
        <v>72</v>
      </c>
      <c r="U76" s="106">
        <v>56073.599999999999</v>
      </c>
      <c r="V76" s="106">
        <v>68</v>
      </c>
      <c r="W76" s="106">
        <v>52958.399999999994</v>
      </c>
      <c r="X76" s="106">
        <v>72</v>
      </c>
      <c r="Y76" s="106">
        <v>56073.599999999999</v>
      </c>
      <c r="Z76" s="106">
        <v>54</v>
      </c>
      <c r="AA76" s="106">
        <v>42055.199999999997</v>
      </c>
      <c r="AB76" s="106">
        <v>36</v>
      </c>
      <c r="AC76" s="106">
        <v>28036.799999999999</v>
      </c>
      <c r="AD76" s="106">
        <v>35</v>
      </c>
      <c r="AE76" s="106">
        <v>27258</v>
      </c>
      <c r="AF76" s="106">
        <v>48</v>
      </c>
      <c r="AG76" s="106">
        <v>37382.399999999994</v>
      </c>
      <c r="AH76" s="106">
        <v>43</v>
      </c>
      <c r="AI76" s="106">
        <v>33488.400000000001</v>
      </c>
      <c r="AJ76" s="106">
        <v>123</v>
      </c>
      <c r="AK76" s="106">
        <v>95792.4</v>
      </c>
      <c r="AL76" s="106">
        <v>133</v>
      </c>
      <c r="AM76" s="106">
        <v>103580.4</v>
      </c>
      <c r="AN76" s="106">
        <v>113</v>
      </c>
      <c r="AO76" s="106">
        <v>88004.4</v>
      </c>
      <c r="AP76" s="106">
        <v>135</v>
      </c>
      <c r="AQ76" s="106">
        <v>105138</v>
      </c>
      <c r="AR76" s="106">
        <v>154</v>
      </c>
      <c r="AS76" s="106">
        <v>119935.2</v>
      </c>
      <c r="AT76" s="106">
        <v>121</v>
      </c>
      <c r="AU76" s="106">
        <v>94234.799999999988</v>
      </c>
      <c r="AV76" s="106">
        <v>121</v>
      </c>
      <c r="AW76" s="106">
        <v>94234.799999999988</v>
      </c>
      <c r="AX76" s="106">
        <v>167</v>
      </c>
      <c r="AY76" s="106">
        <v>130059.59999999999</v>
      </c>
      <c r="AZ76" s="106">
        <v>15</v>
      </c>
      <c r="BA76" s="106">
        <v>11682</v>
      </c>
      <c r="BB76" s="106">
        <v>18</v>
      </c>
      <c r="BC76" s="106">
        <v>14018.4</v>
      </c>
      <c r="BD76" s="106">
        <v>18</v>
      </c>
      <c r="BE76" s="106">
        <v>14018.4</v>
      </c>
      <c r="BF76" s="106">
        <v>11</v>
      </c>
      <c r="BG76" s="106">
        <v>8566.7999999999993</v>
      </c>
      <c r="BH76" s="106">
        <v>13</v>
      </c>
      <c r="BI76" s="106">
        <v>10124.4</v>
      </c>
      <c r="BJ76" s="106">
        <v>19</v>
      </c>
      <c r="BK76" s="106">
        <v>14797.199999999999</v>
      </c>
      <c r="BL76" s="106">
        <v>11</v>
      </c>
      <c r="BM76" s="106">
        <v>8566.7999999999993</v>
      </c>
      <c r="BN76" s="106">
        <v>11</v>
      </c>
      <c r="BO76" s="106">
        <v>8566.7999999999993</v>
      </c>
      <c r="BP76" s="106">
        <v>21</v>
      </c>
      <c r="BQ76" s="106">
        <v>16354.8</v>
      </c>
      <c r="BR76" s="106">
        <v>23</v>
      </c>
      <c r="BS76" s="106">
        <v>17912.399999999998</v>
      </c>
      <c r="BT76" s="106">
        <v>16</v>
      </c>
      <c r="BU76" s="106">
        <v>12460.8</v>
      </c>
      <c r="BV76" s="106">
        <v>16</v>
      </c>
      <c r="BW76" s="106">
        <v>12460.8</v>
      </c>
      <c r="BX76" s="106">
        <v>85</v>
      </c>
      <c r="BY76" s="106">
        <v>66198</v>
      </c>
      <c r="BZ76" s="106">
        <v>97</v>
      </c>
      <c r="CA76" s="106">
        <v>75543.599999999991</v>
      </c>
      <c r="CB76" s="106">
        <v>98</v>
      </c>
      <c r="CC76" s="106">
        <v>76322.399999999994</v>
      </c>
      <c r="CD76" s="106">
        <v>84</v>
      </c>
      <c r="CE76" s="106">
        <v>65419.199999999997</v>
      </c>
      <c r="CF76" s="106">
        <v>14</v>
      </c>
      <c r="CG76" s="106">
        <v>10903.199999999999</v>
      </c>
      <c r="CH76" s="106">
        <v>15</v>
      </c>
      <c r="CI76" s="106">
        <v>11682</v>
      </c>
      <c r="CJ76" s="106">
        <v>8</v>
      </c>
      <c r="CK76" s="106">
        <v>6230.4</v>
      </c>
      <c r="CL76" s="106">
        <v>11</v>
      </c>
      <c r="CM76" s="106">
        <v>8566.7999999999993</v>
      </c>
      <c r="CN76" s="106">
        <v>23</v>
      </c>
      <c r="CO76" s="106">
        <v>17912.399999999998</v>
      </c>
      <c r="CP76" s="106">
        <v>19</v>
      </c>
      <c r="CQ76" s="106">
        <v>14797.199999999999</v>
      </c>
      <c r="CR76" s="106">
        <v>30</v>
      </c>
      <c r="CS76" s="106">
        <v>23364</v>
      </c>
      <c r="CT76" s="106">
        <v>18</v>
      </c>
      <c r="CU76" s="106">
        <v>14018.4</v>
      </c>
    </row>
    <row r="77" spans="2:99" x14ac:dyDescent="0.2">
      <c r="C77" s="105" t="s">
        <v>242</v>
      </c>
      <c r="D77" s="106">
        <v>140</v>
      </c>
      <c r="E77" s="106">
        <v>38976</v>
      </c>
      <c r="F77" s="106">
        <v>123</v>
      </c>
      <c r="G77" s="106">
        <v>34243.199999999997</v>
      </c>
      <c r="H77" s="106">
        <v>163</v>
      </c>
      <c r="I77" s="106">
        <v>45379.199999999997</v>
      </c>
      <c r="J77" s="106">
        <v>150</v>
      </c>
      <c r="K77" s="106">
        <v>41760</v>
      </c>
      <c r="L77" s="106">
        <v>134</v>
      </c>
      <c r="M77" s="106">
        <v>37305.599999999999</v>
      </c>
      <c r="N77" s="106">
        <v>164</v>
      </c>
      <c r="O77" s="106">
        <v>45657.599999999999</v>
      </c>
      <c r="P77" s="106">
        <v>114.86912850812408</v>
      </c>
      <c r="Q77" s="106">
        <v>31979.56537666174</v>
      </c>
      <c r="R77" s="106">
        <v>100.21986206896551</v>
      </c>
      <c r="S77" s="106">
        <v>27901.209599999995</v>
      </c>
      <c r="T77" s="106">
        <v>79</v>
      </c>
      <c r="U77" s="106">
        <v>21993.599999999999</v>
      </c>
      <c r="V77" s="106">
        <v>80</v>
      </c>
      <c r="W77" s="106">
        <v>22272</v>
      </c>
      <c r="X77" s="106">
        <v>83</v>
      </c>
      <c r="Y77" s="106">
        <v>23107.199999999997</v>
      </c>
      <c r="Z77" s="106">
        <v>60</v>
      </c>
      <c r="AA77" s="106">
        <v>16704</v>
      </c>
      <c r="AB77" s="106">
        <v>41</v>
      </c>
      <c r="AC77" s="106">
        <v>11414.4</v>
      </c>
      <c r="AD77" s="106">
        <v>41</v>
      </c>
      <c r="AE77" s="106">
        <v>11414.4</v>
      </c>
      <c r="AF77" s="106">
        <v>59</v>
      </c>
      <c r="AG77" s="106">
        <v>16425.599999999999</v>
      </c>
      <c r="AH77" s="106">
        <v>51</v>
      </c>
      <c r="AI77" s="106">
        <v>14198.4</v>
      </c>
      <c r="AJ77" s="106">
        <v>127</v>
      </c>
      <c r="AK77" s="106">
        <v>35356.799999999996</v>
      </c>
      <c r="AL77" s="106">
        <v>163</v>
      </c>
      <c r="AM77" s="106">
        <v>45379.199999999997</v>
      </c>
      <c r="AN77" s="106">
        <v>140</v>
      </c>
      <c r="AO77" s="106">
        <v>38976</v>
      </c>
      <c r="AP77" s="106">
        <v>157</v>
      </c>
      <c r="AQ77" s="106">
        <v>43708.799999999996</v>
      </c>
      <c r="AR77" s="106">
        <v>222</v>
      </c>
      <c r="AS77" s="106">
        <v>61804.799999999996</v>
      </c>
      <c r="AT77" s="106">
        <v>138</v>
      </c>
      <c r="AU77" s="106">
        <v>38419.199999999997</v>
      </c>
      <c r="AV77" s="106">
        <v>131</v>
      </c>
      <c r="AW77" s="106">
        <v>36470.399999999994</v>
      </c>
      <c r="AX77" s="106">
        <v>207</v>
      </c>
      <c r="AY77" s="106">
        <v>57628.799999999996</v>
      </c>
      <c r="AZ77" s="106">
        <v>18</v>
      </c>
      <c r="BA77" s="106">
        <v>5011.2</v>
      </c>
      <c r="BB77" s="106">
        <v>17</v>
      </c>
      <c r="BC77" s="106">
        <v>4732.7999999999993</v>
      </c>
      <c r="BD77" s="106">
        <v>18</v>
      </c>
      <c r="BE77" s="106">
        <v>5011.2</v>
      </c>
      <c r="BF77" s="106">
        <v>11</v>
      </c>
      <c r="BG77" s="106">
        <v>3062.3999999999996</v>
      </c>
      <c r="BH77" s="106">
        <v>15</v>
      </c>
      <c r="BI77" s="106">
        <v>4176</v>
      </c>
      <c r="BJ77" s="106">
        <v>18</v>
      </c>
      <c r="BK77" s="106">
        <v>5011.2</v>
      </c>
      <c r="BL77" s="106">
        <v>11</v>
      </c>
      <c r="BM77" s="106">
        <v>3062.3999999999996</v>
      </c>
      <c r="BN77" s="106">
        <v>11</v>
      </c>
      <c r="BO77" s="106">
        <v>3062.3999999999996</v>
      </c>
      <c r="BP77" s="106">
        <v>21</v>
      </c>
      <c r="BQ77" s="106">
        <v>5846.4</v>
      </c>
      <c r="BR77" s="106">
        <v>22</v>
      </c>
      <c r="BS77" s="106">
        <v>6124.7999999999993</v>
      </c>
      <c r="BT77" s="106">
        <v>18</v>
      </c>
      <c r="BU77" s="106">
        <v>5011.2</v>
      </c>
      <c r="BV77" s="106">
        <v>16</v>
      </c>
      <c r="BW77" s="106">
        <v>4454.3999999999996</v>
      </c>
      <c r="BX77" s="106">
        <v>90</v>
      </c>
      <c r="BY77" s="106">
        <v>25055.999999999996</v>
      </c>
      <c r="BZ77" s="106">
        <v>125</v>
      </c>
      <c r="CA77" s="106">
        <v>34800</v>
      </c>
      <c r="CB77" s="106">
        <v>121</v>
      </c>
      <c r="CC77" s="106">
        <v>33686.399999999994</v>
      </c>
      <c r="CD77" s="106">
        <v>103</v>
      </c>
      <c r="CE77" s="106">
        <v>28675.199999999997</v>
      </c>
      <c r="CF77" s="106">
        <v>14</v>
      </c>
      <c r="CG77" s="106">
        <v>3897.5999999999995</v>
      </c>
      <c r="CH77" s="106">
        <v>15</v>
      </c>
      <c r="CI77" s="106">
        <v>4176</v>
      </c>
      <c r="CJ77" s="106">
        <v>9</v>
      </c>
      <c r="CK77" s="106">
        <v>2505.6</v>
      </c>
      <c r="CL77" s="106">
        <v>12</v>
      </c>
      <c r="CM77" s="106">
        <v>3340.7999999999997</v>
      </c>
      <c r="CN77" s="106">
        <v>27</v>
      </c>
      <c r="CO77" s="106">
        <v>7516.7999999999993</v>
      </c>
      <c r="CP77" s="106">
        <v>23</v>
      </c>
      <c r="CQ77" s="106">
        <v>6403.2</v>
      </c>
      <c r="CR77" s="106">
        <v>33</v>
      </c>
      <c r="CS77" s="106">
        <v>9187.1999999999989</v>
      </c>
      <c r="CT77" s="106">
        <v>22</v>
      </c>
      <c r="CU77" s="106">
        <v>6124.7999999999993</v>
      </c>
    </row>
    <row r="78" spans="2:99" x14ac:dyDescent="0.2">
      <c r="C78" s="105" t="s">
        <v>243</v>
      </c>
      <c r="D78" s="106">
        <v>136</v>
      </c>
      <c r="E78" s="106">
        <v>75072</v>
      </c>
      <c r="F78" s="106">
        <v>112</v>
      </c>
      <c r="G78" s="106">
        <v>61824</v>
      </c>
      <c r="H78" s="106">
        <v>150</v>
      </c>
      <c r="I78" s="106">
        <v>82800</v>
      </c>
      <c r="J78" s="106">
        <v>146</v>
      </c>
      <c r="K78" s="106">
        <v>80592</v>
      </c>
      <c r="L78" s="106">
        <v>126</v>
      </c>
      <c r="M78" s="106">
        <v>69552</v>
      </c>
      <c r="N78" s="106">
        <v>137</v>
      </c>
      <c r="O78" s="106">
        <v>75624</v>
      </c>
      <c r="P78" s="106">
        <v>96.054357459379617</v>
      </c>
      <c r="Q78" s="106">
        <v>53022.005317577547</v>
      </c>
      <c r="R78" s="106">
        <v>102.97820689655173</v>
      </c>
      <c r="S78" s="106">
        <v>56843.970206896549</v>
      </c>
      <c r="T78" s="106">
        <v>81</v>
      </c>
      <c r="U78" s="106">
        <v>44712</v>
      </c>
      <c r="V78" s="106">
        <v>70</v>
      </c>
      <c r="W78" s="106">
        <v>38640</v>
      </c>
      <c r="X78" s="106">
        <v>85</v>
      </c>
      <c r="Y78" s="106">
        <v>46920</v>
      </c>
      <c r="Z78" s="106">
        <v>66</v>
      </c>
      <c r="AA78" s="106">
        <v>36432</v>
      </c>
      <c r="AB78" s="106">
        <v>43</v>
      </c>
      <c r="AC78" s="106">
        <v>23736</v>
      </c>
      <c r="AD78" s="106">
        <v>44</v>
      </c>
      <c r="AE78" s="106">
        <v>24288</v>
      </c>
      <c r="AF78" s="106">
        <v>59</v>
      </c>
      <c r="AG78" s="106">
        <v>32568</v>
      </c>
      <c r="AH78" s="106">
        <v>50</v>
      </c>
      <c r="AI78" s="106">
        <v>27600</v>
      </c>
      <c r="AJ78" s="106">
        <v>141</v>
      </c>
      <c r="AK78" s="106">
        <v>77832</v>
      </c>
      <c r="AL78" s="106">
        <v>129</v>
      </c>
      <c r="AM78" s="106">
        <v>71208</v>
      </c>
      <c r="AN78" s="106">
        <v>128</v>
      </c>
      <c r="AO78" s="106">
        <v>70656</v>
      </c>
      <c r="AP78" s="106">
        <v>150</v>
      </c>
      <c r="AQ78" s="106">
        <v>82800</v>
      </c>
      <c r="AR78" s="106">
        <v>194</v>
      </c>
      <c r="AS78" s="106">
        <v>107088</v>
      </c>
      <c r="AT78" s="106">
        <v>123</v>
      </c>
      <c r="AU78" s="106">
        <v>67896</v>
      </c>
      <c r="AV78" s="106">
        <v>132</v>
      </c>
      <c r="AW78" s="106">
        <v>72864</v>
      </c>
      <c r="AX78" s="106">
        <v>206</v>
      </c>
      <c r="AY78" s="106">
        <v>113712</v>
      </c>
      <c r="AZ78" s="106">
        <v>16</v>
      </c>
      <c r="BA78" s="106">
        <v>8832</v>
      </c>
      <c r="BB78" s="106">
        <v>18</v>
      </c>
      <c r="BC78" s="106">
        <v>9936</v>
      </c>
      <c r="BD78" s="106">
        <v>16</v>
      </c>
      <c r="BE78" s="106">
        <v>8832</v>
      </c>
      <c r="BF78" s="106">
        <v>11</v>
      </c>
      <c r="BG78" s="106">
        <v>6072</v>
      </c>
      <c r="BH78" s="106">
        <v>14</v>
      </c>
      <c r="BI78" s="106">
        <v>7728</v>
      </c>
      <c r="BJ78" s="106">
        <v>17</v>
      </c>
      <c r="BK78" s="106">
        <v>9384</v>
      </c>
      <c r="BL78" s="106">
        <v>10</v>
      </c>
      <c r="BM78" s="106">
        <v>5520</v>
      </c>
      <c r="BN78" s="106">
        <v>12</v>
      </c>
      <c r="BO78" s="106">
        <v>6624</v>
      </c>
      <c r="BP78" s="106">
        <v>21</v>
      </c>
      <c r="BQ78" s="106">
        <v>11592</v>
      </c>
      <c r="BR78" s="106">
        <v>23</v>
      </c>
      <c r="BS78" s="106">
        <v>12696</v>
      </c>
      <c r="BT78" s="106">
        <v>15</v>
      </c>
      <c r="BU78" s="106">
        <v>8280</v>
      </c>
      <c r="BV78" s="106">
        <v>15</v>
      </c>
      <c r="BW78" s="106">
        <v>8280</v>
      </c>
      <c r="BX78" s="106">
        <v>87</v>
      </c>
      <c r="BY78" s="106">
        <v>48024</v>
      </c>
      <c r="BZ78" s="106">
        <v>106</v>
      </c>
      <c r="CA78" s="106">
        <v>58512</v>
      </c>
      <c r="CB78" s="106">
        <v>103</v>
      </c>
      <c r="CC78" s="106">
        <v>56856</v>
      </c>
      <c r="CD78" s="106">
        <v>83</v>
      </c>
      <c r="CE78" s="106">
        <v>45816</v>
      </c>
      <c r="CF78" s="106">
        <v>14</v>
      </c>
      <c r="CG78" s="106">
        <v>7728</v>
      </c>
      <c r="CH78" s="106">
        <v>14</v>
      </c>
      <c r="CI78" s="106">
        <v>7728</v>
      </c>
      <c r="CJ78" s="106">
        <v>9</v>
      </c>
      <c r="CK78" s="106">
        <v>4968</v>
      </c>
      <c r="CL78" s="106">
        <v>13</v>
      </c>
      <c r="CM78" s="106">
        <v>7176</v>
      </c>
      <c r="CN78" s="106">
        <v>25</v>
      </c>
      <c r="CO78" s="106">
        <v>13800</v>
      </c>
      <c r="CP78" s="106">
        <v>21</v>
      </c>
      <c r="CQ78" s="106">
        <v>11592</v>
      </c>
      <c r="CR78" s="106">
        <v>29</v>
      </c>
      <c r="CS78" s="106">
        <v>16008</v>
      </c>
      <c r="CT78" s="106">
        <v>22</v>
      </c>
      <c r="CU78" s="106">
        <v>12144</v>
      </c>
    </row>
    <row r="79" spans="2:99" x14ac:dyDescent="0.2">
      <c r="C79" s="105" t="s">
        <v>244</v>
      </c>
      <c r="D79" s="106">
        <v>117</v>
      </c>
      <c r="E79" s="106">
        <v>88592.4</v>
      </c>
      <c r="F79" s="106">
        <v>116</v>
      </c>
      <c r="G79" s="106">
        <v>87835.199999999997</v>
      </c>
      <c r="H79" s="106">
        <v>142</v>
      </c>
      <c r="I79" s="106">
        <v>107522.4</v>
      </c>
      <c r="J79" s="106">
        <v>152</v>
      </c>
      <c r="K79" s="106">
        <v>115094.39999999999</v>
      </c>
      <c r="L79" s="106">
        <v>111</v>
      </c>
      <c r="M79" s="106">
        <v>84049.2</v>
      </c>
      <c r="N79" s="106">
        <v>144</v>
      </c>
      <c r="O79" s="106">
        <v>109036.79999999999</v>
      </c>
      <c r="P79" s="106">
        <v>99.025110782865582</v>
      </c>
      <c r="Q79" s="106">
        <v>74981.813884785806</v>
      </c>
      <c r="R79" s="106">
        <v>95.622620689655179</v>
      </c>
      <c r="S79" s="106">
        <v>72405.448386206888</v>
      </c>
      <c r="T79" s="106">
        <v>70</v>
      </c>
      <c r="U79" s="106">
        <v>53003.999999999993</v>
      </c>
      <c r="V79" s="106">
        <v>73</v>
      </c>
      <c r="W79" s="106">
        <v>55275.6</v>
      </c>
      <c r="X79" s="106">
        <v>73</v>
      </c>
      <c r="Y79" s="106">
        <v>55275.6</v>
      </c>
      <c r="Z79" s="106">
        <v>54</v>
      </c>
      <c r="AA79" s="106">
        <v>40888.799999999996</v>
      </c>
      <c r="AB79" s="106">
        <v>37</v>
      </c>
      <c r="AC79" s="106">
        <v>28016.399999999998</v>
      </c>
      <c r="AD79" s="106">
        <v>39</v>
      </c>
      <c r="AE79" s="106">
        <v>29530.799999999996</v>
      </c>
      <c r="AF79" s="106">
        <v>50</v>
      </c>
      <c r="AG79" s="106">
        <v>37860</v>
      </c>
      <c r="AH79" s="106">
        <v>43</v>
      </c>
      <c r="AI79" s="106">
        <v>32559.599999999999</v>
      </c>
      <c r="AJ79" s="106">
        <v>109</v>
      </c>
      <c r="AK79" s="106">
        <v>82534.799999999988</v>
      </c>
      <c r="AL79" s="106">
        <v>125</v>
      </c>
      <c r="AM79" s="106">
        <v>94649.999999999985</v>
      </c>
      <c r="AN79" s="106">
        <v>131</v>
      </c>
      <c r="AO79" s="106">
        <v>99193.2</v>
      </c>
      <c r="AP79" s="106">
        <v>130</v>
      </c>
      <c r="AQ79" s="106">
        <v>98435.999999999985</v>
      </c>
      <c r="AR79" s="106">
        <v>185</v>
      </c>
      <c r="AS79" s="106">
        <v>140082</v>
      </c>
      <c r="AT79" s="106">
        <v>130</v>
      </c>
      <c r="AU79" s="106">
        <v>98435.999999999985</v>
      </c>
      <c r="AV79" s="106">
        <v>102</v>
      </c>
      <c r="AW79" s="106">
        <v>77234.399999999994</v>
      </c>
      <c r="AX79" s="106">
        <v>200</v>
      </c>
      <c r="AY79" s="106">
        <v>151440</v>
      </c>
      <c r="AZ79" s="106">
        <v>16</v>
      </c>
      <c r="BA79" s="106">
        <v>12115.199999999999</v>
      </c>
      <c r="BB79" s="106">
        <v>18</v>
      </c>
      <c r="BC79" s="106">
        <v>13629.599999999999</v>
      </c>
      <c r="BD79" s="106">
        <v>16</v>
      </c>
      <c r="BE79" s="106">
        <v>12115.199999999999</v>
      </c>
      <c r="BF79" s="106">
        <v>11</v>
      </c>
      <c r="BG79" s="106">
        <v>8329.1999999999989</v>
      </c>
      <c r="BH79" s="106">
        <v>16</v>
      </c>
      <c r="BI79" s="106">
        <v>12115.199999999999</v>
      </c>
      <c r="BJ79" s="106">
        <v>18</v>
      </c>
      <c r="BK79" s="106">
        <v>13629.599999999999</v>
      </c>
      <c r="BL79" s="106">
        <v>10</v>
      </c>
      <c r="BM79" s="106">
        <v>7571.9999999999991</v>
      </c>
      <c r="BN79" s="106">
        <v>10</v>
      </c>
      <c r="BO79" s="106">
        <v>7571.9999999999991</v>
      </c>
      <c r="BP79" s="106">
        <v>22</v>
      </c>
      <c r="BQ79" s="106">
        <v>16658.399999999998</v>
      </c>
      <c r="BR79" s="106">
        <v>23</v>
      </c>
      <c r="BS79" s="106">
        <v>17415.599999999999</v>
      </c>
      <c r="BT79" s="106">
        <v>17</v>
      </c>
      <c r="BU79" s="106">
        <v>12872.4</v>
      </c>
      <c r="BV79" s="106">
        <v>13</v>
      </c>
      <c r="BW79" s="106">
        <v>9843.5999999999985</v>
      </c>
      <c r="BX79" s="106">
        <v>80</v>
      </c>
      <c r="BY79" s="106">
        <v>60575.999999999993</v>
      </c>
      <c r="BZ79" s="106">
        <v>93</v>
      </c>
      <c r="CA79" s="106">
        <v>70419.599999999991</v>
      </c>
      <c r="CB79" s="106">
        <v>104</v>
      </c>
      <c r="CC79" s="106">
        <v>78748.799999999988</v>
      </c>
      <c r="CD79" s="106">
        <v>83</v>
      </c>
      <c r="CE79" s="106">
        <v>62847.599999999991</v>
      </c>
      <c r="CF79" s="106">
        <v>14</v>
      </c>
      <c r="CG79" s="106">
        <v>10600.8</v>
      </c>
      <c r="CH79" s="106">
        <v>14</v>
      </c>
      <c r="CI79" s="106">
        <v>10600.8</v>
      </c>
      <c r="CJ79" s="106">
        <v>10</v>
      </c>
      <c r="CK79" s="106">
        <v>7571.9999999999991</v>
      </c>
      <c r="CL79" s="106">
        <v>12</v>
      </c>
      <c r="CM79" s="106">
        <v>9086.4</v>
      </c>
      <c r="CN79" s="106">
        <v>24</v>
      </c>
      <c r="CO79" s="106">
        <v>18172.8</v>
      </c>
      <c r="CP79" s="106">
        <v>21</v>
      </c>
      <c r="CQ79" s="106">
        <v>15901.199999999999</v>
      </c>
      <c r="CR79" s="106">
        <v>31</v>
      </c>
      <c r="CS79" s="106">
        <v>23473.199999999997</v>
      </c>
      <c r="CT79" s="106">
        <v>18</v>
      </c>
      <c r="CU79" s="106">
        <v>13629.599999999999</v>
      </c>
    </row>
    <row r="80" spans="2:99" x14ac:dyDescent="0.2">
      <c r="C80" s="105" t="s">
        <v>245</v>
      </c>
      <c r="D80" s="106">
        <v>119</v>
      </c>
      <c r="E80" s="106">
        <v>95818.799999999988</v>
      </c>
      <c r="F80" s="106">
        <v>124</v>
      </c>
      <c r="G80" s="106">
        <v>99844.799999999988</v>
      </c>
      <c r="H80" s="106">
        <v>145</v>
      </c>
      <c r="I80" s="106">
        <v>116753.99999999999</v>
      </c>
      <c r="J80" s="106">
        <v>136</v>
      </c>
      <c r="K80" s="106">
        <v>109507.2</v>
      </c>
      <c r="L80" s="106">
        <v>124</v>
      </c>
      <c r="M80" s="106">
        <v>99844.799999999988</v>
      </c>
      <c r="N80" s="106">
        <v>133</v>
      </c>
      <c r="O80" s="106">
        <v>107091.59999999999</v>
      </c>
      <c r="P80" s="106">
        <v>97.044608567208272</v>
      </c>
      <c r="Q80" s="106">
        <v>78140.318818316096</v>
      </c>
      <c r="R80" s="106">
        <v>89.186482758620699</v>
      </c>
      <c r="S80" s="106">
        <v>71812.955917241386</v>
      </c>
      <c r="T80" s="106">
        <v>67</v>
      </c>
      <c r="U80" s="106">
        <v>53948.399999999994</v>
      </c>
      <c r="V80" s="106">
        <v>72</v>
      </c>
      <c r="W80" s="106">
        <v>57974.399999999994</v>
      </c>
      <c r="X80" s="106">
        <v>87</v>
      </c>
      <c r="Y80" s="106">
        <v>70052.399999999994</v>
      </c>
      <c r="Z80" s="106">
        <v>56</v>
      </c>
      <c r="AA80" s="106">
        <v>45091.199999999997</v>
      </c>
      <c r="AB80" s="106">
        <v>40</v>
      </c>
      <c r="AC80" s="106">
        <v>32207.999999999996</v>
      </c>
      <c r="AD80" s="106">
        <v>38</v>
      </c>
      <c r="AE80" s="106">
        <v>30597.599999999999</v>
      </c>
      <c r="AF80" s="106">
        <v>52</v>
      </c>
      <c r="AG80" s="106">
        <v>41870.399999999994</v>
      </c>
      <c r="AH80" s="106">
        <v>43</v>
      </c>
      <c r="AI80" s="106">
        <v>34623.599999999999</v>
      </c>
      <c r="AJ80" s="106">
        <v>118</v>
      </c>
      <c r="AK80" s="106">
        <v>95013.599999999991</v>
      </c>
      <c r="AL80" s="106">
        <v>141</v>
      </c>
      <c r="AM80" s="106">
        <v>113533.2</v>
      </c>
      <c r="AN80" s="106">
        <v>113</v>
      </c>
      <c r="AO80" s="106">
        <v>90987.599999999991</v>
      </c>
      <c r="AP80" s="106">
        <v>131</v>
      </c>
      <c r="AQ80" s="106">
        <v>105481.2</v>
      </c>
      <c r="AR80" s="106">
        <v>158</v>
      </c>
      <c r="AS80" s="106">
        <v>127221.59999999999</v>
      </c>
      <c r="AT80" s="106">
        <v>123</v>
      </c>
      <c r="AU80" s="106">
        <v>99039.599999999991</v>
      </c>
      <c r="AV80" s="106">
        <v>106</v>
      </c>
      <c r="AW80" s="106">
        <v>85351.2</v>
      </c>
      <c r="AX80" s="106">
        <v>197</v>
      </c>
      <c r="AY80" s="106">
        <v>158624.4</v>
      </c>
      <c r="AZ80" s="106">
        <v>16</v>
      </c>
      <c r="BA80" s="106">
        <v>12883.199999999999</v>
      </c>
      <c r="BB80" s="106">
        <v>19</v>
      </c>
      <c r="BC80" s="106">
        <v>15298.8</v>
      </c>
      <c r="BD80" s="106">
        <v>15</v>
      </c>
      <c r="BE80" s="106">
        <v>12077.999999999998</v>
      </c>
      <c r="BF80" s="106">
        <v>11</v>
      </c>
      <c r="BG80" s="106">
        <v>8857.1999999999989</v>
      </c>
      <c r="BH80" s="106">
        <v>13</v>
      </c>
      <c r="BI80" s="106">
        <v>10467.599999999999</v>
      </c>
      <c r="BJ80" s="106">
        <v>16</v>
      </c>
      <c r="BK80" s="106">
        <v>12883.199999999999</v>
      </c>
      <c r="BL80" s="106">
        <v>10</v>
      </c>
      <c r="BM80" s="106">
        <v>8051.9999999999991</v>
      </c>
      <c r="BN80" s="106">
        <v>11</v>
      </c>
      <c r="BO80" s="106">
        <v>8857.1999999999989</v>
      </c>
      <c r="BP80" s="106">
        <v>21</v>
      </c>
      <c r="BQ80" s="106">
        <v>16909.199999999997</v>
      </c>
      <c r="BR80" s="106">
        <v>21</v>
      </c>
      <c r="BS80" s="106">
        <v>16909.199999999997</v>
      </c>
      <c r="BT80" s="106">
        <v>17</v>
      </c>
      <c r="BU80" s="106">
        <v>13688.4</v>
      </c>
      <c r="BV80" s="106">
        <v>14</v>
      </c>
      <c r="BW80" s="106">
        <v>11272.8</v>
      </c>
      <c r="BX80" s="106">
        <v>76</v>
      </c>
      <c r="BY80" s="106">
        <v>61195.199999999997</v>
      </c>
      <c r="BZ80" s="106">
        <v>105</v>
      </c>
      <c r="CA80" s="106">
        <v>84546</v>
      </c>
      <c r="CB80" s="106">
        <v>106</v>
      </c>
      <c r="CC80" s="106">
        <v>85351.2</v>
      </c>
      <c r="CD80" s="106">
        <v>75</v>
      </c>
      <c r="CE80" s="106">
        <v>60389.999999999993</v>
      </c>
      <c r="CF80" s="106">
        <v>14</v>
      </c>
      <c r="CG80" s="106">
        <v>11272.8</v>
      </c>
      <c r="CH80" s="106">
        <v>16</v>
      </c>
      <c r="CI80" s="106">
        <v>12883.199999999999</v>
      </c>
      <c r="CJ80" s="106">
        <v>9</v>
      </c>
      <c r="CK80" s="106">
        <v>7246.7999999999993</v>
      </c>
      <c r="CL80" s="106">
        <v>12</v>
      </c>
      <c r="CM80" s="106">
        <v>9662.4</v>
      </c>
      <c r="CN80" s="106">
        <v>24</v>
      </c>
      <c r="CO80" s="106">
        <v>19324.8</v>
      </c>
      <c r="CP80" s="106">
        <v>20</v>
      </c>
      <c r="CQ80" s="106">
        <v>16103.999999999998</v>
      </c>
      <c r="CR80" s="106">
        <v>27</v>
      </c>
      <c r="CS80" s="106">
        <v>21740.399999999998</v>
      </c>
      <c r="CT80" s="106">
        <v>20</v>
      </c>
      <c r="CU80" s="106">
        <v>16103.999999999998</v>
      </c>
    </row>
    <row r="81" spans="2:99" x14ac:dyDescent="0.2">
      <c r="C81" s="105" t="s">
        <v>246</v>
      </c>
      <c r="D81" s="106">
        <v>112</v>
      </c>
      <c r="E81" s="106">
        <v>84403.199999999997</v>
      </c>
      <c r="F81" s="106">
        <v>115</v>
      </c>
      <c r="G81" s="106">
        <v>86664</v>
      </c>
      <c r="H81" s="106">
        <v>127</v>
      </c>
      <c r="I81" s="106">
        <v>95707.199999999997</v>
      </c>
      <c r="J81" s="106">
        <v>138</v>
      </c>
      <c r="K81" s="106">
        <v>103996.8</v>
      </c>
      <c r="L81" s="106">
        <v>113</v>
      </c>
      <c r="M81" s="106">
        <v>85156.800000000003</v>
      </c>
      <c r="N81" s="106">
        <v>141</v>
      </c>
      <c r="O81" s="106">
        <v>106257.60000000001</v>
      </c>
      <c r="P81" s="106">
        <v>92.093353028064982</v>
      </c>
      <c r="Q81" s="106">
        <v>69401.550841949778</v>
      </c>
      <c r="R81" s="106">
        <v>90.105931034482751</v>
      </c>
      <c r="S81" s="106">
        <v>67903.829627586209</v>
      </c>
      <c r="T81" s="106">
        <v>67</v>
      </c>
      <c r="U81" s="106">
        <v>50491.200000000004</v>
      </c>
      <c r="V81" s="106">
        <v>67</v>
      </c>
      <c r="W81" s="106">
        <v>50491.200000000004</v>
      </c>
      <c r="X81" s="106">
        <v>86</v>
      </c>
      <c r="Y81" s="106">
        <v>64809.599999999999</v>
      </c>
      <c r="Z81" s="106">
        <v>58</v>
      </c>
      <c r="AA81" s="106">
        <v>43708.800000000003</v>
      </c>
      <c r="AB81" s="106">
        <v>38</v>
      </c>
      <c r="AC81" s="106">
        <v>28636.799999999999</v>
      </c>
      <c r="AD81" s="106">
        <v>40</v>
      </c>
      <c r="AE81" s="106">
        <v>30144</v>
      </c>
      <c r="AF81" s="106">
        <v>54</v>
      </c>
      <c r="AG81" s="106">
        <v>40694.400000000001</v>
      </c>
      <c r="AH81" s="106">
        <v>42</v>
      </c>
      <c r="AI81" s="106">
        <v>31651.200000000001</v>
      </c>
      <c r="AJ81" s="106">
        <v>132</v>
      </c>
      <c r="AK81" s="106">
        <v>99475.199999999997</v>
      </c>
      <c r="AL81" s="106">
        <v>138</v>
      </c>
      <c r="AM81" s="106">
        <v>103996.8</v>
      </c>
      <c r="AN81" s="106">
        <v>118</v>
      </c>
      <c r="AO81" s="106">
        <v>88924.800000000003</v>
      </c>
      <c r="AP81" s="106">
        <v>136</v>
      </c>
      <c r="AQ81" s="106">
        <v>102489.60000000001</v>
      </c>
      <c r="AR81" s="106">
        <v>181</v>
      </c>
      <c r="AS81" s="106">
        <v>136401.60000000001</v>
      </c>
      <c r="AT81" s="106">
        <v>124</v>
      </c>
      <c r="AU81" s="106">
        <v>93446.400000000009</v>
      </c>
      <c r="AV81" s="106">
        <v>108</v>
      </c>
      <c r="AW81" s="106">
        <v>81388.800000000003</v>
      </c>
      <c r="AX81" s="106">
        <v>193</v>
      </c>
      <c r="AY81" s="106">
        <v>145444.80000000002</v>
      </c>
      <c r="AZ81" s="106">
        <v>16</v>
      </c>
      <c r="BA81" s="106">
        <v>12057.6</v>
      </c>
      <c r="BB81" s="106">
        <v>17</v>
      </c>
      <c r="BC81" s="106">
        <v>12811.2</v>
      </c>
      <c r="BD81" s="106">
        <v>18</v>
      </c>
      <c r="BE81" s="106">
        <v>13564.800000000001</v>
      </c>
      <c r="BF81" s="106">
        <v>12</v>
      </c>
      <c r="BG81" s="106">
        <v>9043.2000000000007</v>
      </c>
      <c r="BH81" s="106">
        <v>15</v>
      </c>
      <c r="BI81" s="106">
        <v>11304</v>
      </c>
      <c r="BJ81" s="106">
        <v>17</v>
      </c>
      <c r="BK81" s="106">
        <v>12811.2</v>
      </c>
      <c r="BL81" s="106">
        <v>11</v>
      </c>
      <c r="BM81" s="106">
        <v>8289.6</v>
      </c>
      <c r="BN81" s="106">
        <v>10</v>
      </c>
      <c r="BO81" s="106">
        <v>7536</v>
      </c>
      <c r="BP81" s="106">
        <v>20</v>
      </c>
      <c r="BQ81" s="106">
        <v>15072</v>
      </c>
      <c r="BR81" s="106">
        <v>21</v>
      </c>
      <c r="BS81" s="106">
        <v>15825.6</v>
      </c>
      <c r="BT81" s="106">
        <v>14</v>
      </c>
      <c r="BU81" s="106">
        <v>10550.4</v>
      </c>
      <c r="BV81" s="106">
        <v>16</v>
      </c>
      <c r="BW81" s="106">
        <v>12057.6</v>
      </c>
      <c r="BX81" s="106">
        <v>92</v>
      </c>
      <c r="BY81" s="106">
        <v>69331.199999999997</v>
      </c>
      <c r="BZ81" s="106">
        <v>92</v>
      </c>
      <c r="CA81" s="106">
        <v>69331.199999999997</v>
      </c>
      <c r="CB81" s="106">
        <v>111</v>
      </c>
      <c r="CC81" s="106">
        <v>83649.600000000006</v>
      </c>
      <c r="CD81" s="106">
        <v>83</v>
      </c>
      <c r="CE81" s="106">
        <v>62548.800000000003</v>
      </c>
      <c r="CF81" s="106">
        <v>14</v>
      </c>
      <c r="CG81" s="106">
        <v>10550.4</v>
      </c>
      <c r="CH81" s="106">
        <v>15</v>
      </c>
      <c r="CI81" s="106">
        <v>11304</v>
      </c>
      <c r="CJ81" s="106">
        <v>9</v>
      </c>
      <c r="CK81" s="106">
        <v>6782.4000000000005</v>
      </c>
      <c r="CL81" s="106">
        <v>12</v>
      </c>
      <c r="CM81" s="106">
        <v>9043.2000000000007</v>
      </c>
      <c r="CN81" s="106">
        <v>23</v>
      </c>
      <c r="CO81" s="106">
        <v>17332.8</v>
      </c>
      <c r="CP81" s="106">
        <v>20</v>
      </c>
      <c r="CQ81" s="106">
        <v>15072</v>
      </c>
      <c r="CR81" s="106">
        <v>27</v>
      </c>
      <c r="CS81" s="106">
        <v>20347.2</v>
      </c>
      <c r="CT81" s="106">
        <v>21</v>
      </c>
      <c r="CU81" s="106">
        <v>15825.6</v>
      </c>
    </row>
    <row r="82" spans="2:99" x14ac:dyDescent="0.2">
      <c r="C82" s="105" t="s">
        <v>247</v>
      </c>
      <c r="D82" s="106">
        <v>138</v>
      </c>
      <c r="E82" s="106">
        <v>70214.39999999998</v>
      </c>
      <c r="F82" s="106">
        <v>114</v>
      </c>
      <c r="G82" s="106">
        <v>58003.19999999999</v>
      </c>
      <c r="H82" s="106">
        <v>148</v>
      </c>
      <c r="I82" s="106">
        <v>75302.39999999998</v>
      </c>
      <c r="J82" s="106">
        <v>138</v>
      </c>
      <c r="K82" s="106">
        <v>70214.39999999998</v>
      </c>
      <c r="L82" s="106">
        <v>137</v>
      </c>
      <c r="M82" s="106">
        <v>69705.599999999991</v>
      </c>
      <c r="N82" s="106">
        <v>133</v>
      </c>
      <c r="O82" s="106">
        <v>67670.39999999998</v>
      </c>
      <c r="P82" s="106">
        <v>101.00561299852289</v>
      </c>
      <c r="Q82" s="106">
        <v>51391.655893648436</v>
      </c>
      <c r="R82" s="106">
        <v>113.09213793103449</v>
      </c>
      <c r="S82" s="106">
        <v>57541.279779310338</v>
      </c>
      <c r="T82" s="106">
        <v>80</v>
      </c>
      <c r="U82" s="106">
        <v>40703.999999999993</v>
      </c>
      <c r="V82" s="106">
        <v>77</v>
      </c>
      <c r="W82" s="106">
        <v>39177.599999999991</v>
      </c>
      <c r="X82" s="106">
        <v>88</v>
      </c>
      <c r="Y82" s="106">
        <v>44774.399999999994</v>
      </c>
      <c r="Z82" s="106">
        <v>65</v>
      </c>
      <c r="AA82" s="106">
        <v>33071.999999999993</v>
      </c>
      <c r="AB82" s="106">
        <v>41</v>
      </c>
      <c r="AC82" s="106">
        <v>20860.799999999996</v>
      </c>
      <c r="AD82" s="106">
        <v>45</v>
      </c>
      <c r="AE82" s="106">
        <v>22895.999999999996</v>
      </c>
      <c r="AF82" s="106">
        <v>54</v>
      </c>
      <c r="AG82" s="106">
        <v>27475.199999999993</v>
      </c>
      <c r="AH82" s="106">
        <v>45</v>
      </c>
      <c r="AI82" s="106">
        <v>22895.999999999996</v>
      </c>
      <c r="AJ82" s="106">
        <v>140</v>
      </c>
      <c r="AK82" s="106">
        <v>71231.999999999985</v>
      </c>
      <c r="AL82" s="106">
        <v>144</v>
      </c>
      <c r="AM82" s="106">
        <v>73267.199999999983</v>
      </c>
      <c r="AN82" s="106">
        <v>123</v>
      </c>
      <c r="AO82" s="106">
        <v>62582.399999999987</v>
      </c>
      <c r="AP82" s="106">
        <v>130</v>
      </c>
      <c r="AQ82" s="106">
        <v>66143.999999999985</v>
      </c>
      <c r="AR82" s="106">
        <v>190</v>
      </c>
      <c r="AS82" s="106">
        <v>96671.999999999985</v>
      </c>
      <c r="AT82" s="106">
        <v>129</v>
      </c>
      <c r="AU82" s="106">
        <v>65635.199999999983</v>
      </c>
      <c r="AV82" s="106">
        <v>127</v>
      </c>
      <c r="AW82" s="106">
        <v>64617.599999999984</v>
      </c>
      <c r="AX82" s="106">
        <v>185</v>
      </c>
      <c r="AY82" s="106">
        <v>94127.999999999985</v>
      </c>
      <c r="AZ82" s="106">
        <v>17</v>
      </c>
      <c r="BA82" s="106">
        <v>8649.5999999999985</v>
      </c>
      <c r="BB82" s="106">
        <v>20</v>
      </c>
      <c r="BC82" s="106">
        <v>10175.999999999998</v>
      </c>
      <c r="BD82" s="106">
        <v>17</v>
      </c>
      <c r="BE82" s="106">
        <v>8649.5999999999985</v>
      </c>
      <c r="BF82" s="106">
        <v>12</v>
      </c>
      <c r="BG82" s="106">
        <v>6105.5999999999985</v>
      </c>
      <c r="BH82" s="106">
        <v>15</v>
      </c>
      <c r="BI82" s="106">
        <v>7631.9999999999982</v>
      </c>
      <c r="BJ82" s="106">
        <v>17</v>
      </c>
      <c r="BK82" s="106">
        <v>8649.5999999999985</v>
      </c>
      <c r="BL82" s="106">
        <v>11</v>
      </c>
      <c r="BM82" s="106">
        <v>5596.7999999999993</v>
      </c>
      <c r="BN82" s="106">
        <v>11</v>
      </c>
      <c r="BO82" s="106">
        <v>5596.7999999999993</v>
      </c>
      <c r="BP82" s="106">
        <v>21</v>
      </c>
      <c r="BQ82" s="106">
        <v>10684.799999999997</v>
      </c>
      <c r="BR82" s="106">
        <v>22</v>
      </c>
      <c r="BS82" s="106">
        <v>11193.599999999999</v>
      </c>
      <c r="BT82" s="106">
        <v>18</v>
      </c>
      <c r="BU82" s="106">
        <v>9158.3999999999978</v>
      </c>
      <c r="BV82" s="106">
        <v>14</v>
      </c>
      <c r="BW82" s="106">
        <v>7123.1999999999989</v>
      </c>
      <c r="BX82" s="106">
        <v>86</v>
      </c>
      <c r="BY82" s="106">
        <v>43756.799999999988</v>
      </c>
      <c r="BZ82" s="106">
        <v>101</v>
      </c>
      <c r="CA82" s="106">
        <v>51388.799999999988</v>
      </c>
      <c r="CB82" s="106">
        <v>119</v>
      </c>
      <c r="CC82" s="106">
        <v>60547.19999999999</v>
      </c>
      <c r="CD82" s="106">
        <v>99</v>
      </c>
      <c r="CE82" s="106">
        <v>50371.19999999999</v>
      </c>
      <c r="CF82" s="106">
        <v>14</v>
      </c>
      <c r="CG82" s="106">
        <v>7123.1999999999989</v>
      </c>
      <c r="CH82" s="106">
        <v>16</v>
      </c>
      <c r="CI82" s="106">
        <v>8140.7999999999984</v>
      </c>
      <c r="CJ82" s="106">
        <v>9</v>
      </c>
      <c r="CK82" s="106">
        <v>4579.1999999999989</v>
      </c>
      <c r="CL82" s="106">
        <v>12</v>
      </c>
      <c r="CM82" s="106">
        <v>6105.5999999999985</v>
      </c>
      <c r="CN82" s="106">
        <v>24</v>
      </c>
      <c r="CO82" s="106">
        <v>12211.199999999997</v>
      </c>
      <c r="CP82" s="106">
        <v>21</v>
      </c>
      <c r="CQ82" s="106">
        <v>10684.799999999997</v>
      </c>
      <c r="CR82" s="106">
        <v>30</v>
      </c>
      <c r="CS82" s="106">
        <v>15263.999999999996</v>
      </c>
      <c r="CT82" s="106">
        <v>22</v>
      </c>
      <c r="CU82" s="106">
        <v>11193.599999999999</v>
      </c>
    </row>
    <row r="83" spans="2:99" x14ac:dyDescent="0.2">
      <c r="C83" s="105" t="s">
        <v>248</v>
      </c>
      <c r="D83" s="106">
        <v>117</v>
      </c>
      <c r="E83" s="106">
        <v>100666.8</v>
      </c>
      <c r="F83" s="106">
        <v>121</v>
      </c>
      <c r="G83" s="106">
        <v>104108.4</v>
      </c>
      <c r="H83" s="106">
        <v>119</v>
      </c>
      <c r="I83" s="106">
        <v>102387.59999999999</v>
      </c>
      <c r="J83" s="106">
        <v>146</v>
      </c>
      <c r="K83" s="106">
        <v>125618.4</v>
      </c>
      <c r="L83" s="106">
        <v>117</v>
      </c>
      <c r="M83" s="106">
        <v>100666.8</v>
      </c>
      <c r="N83" s="106">
        <v>140</v>
      </c>
      <c r="O83" s="106">
        <v>120456</v>
      </c>
      <c r="P83" s="106">
        <v>94.073855243722306</v>
      </c>
      <c r="Q83" s="106">
        <v>80941.145051698666</v>
      </c>
      <c r="R83" s="106">
        <v>87.347586206896551</v>
      </c>
      <c r="S83" s="106">
        <v>75153.863172413796</v>
      </c>
      <c r="T83" s="106">
        <v>65</v>
      </c>
      <c r="U83" s="106">
        <v>55926</v>
      </c>
      <c r="V83" s="106">
        <v>72</v>
      </c>
      <c r="W83" s="106">
        <v>61948.799999999996</v>
      </c>
      <c r="X83" s="106">
        <v>72</v>
      </c>
      <c r="Y83" s="106">
        <v>61948.799999999996</v>
      </c>
      <c r="Z83" s="106">
        <v>60</v>
      </c>
      <c r="AA83" s="106">
        <v>51624</v>
      </c>
      <c r="AB83" s="106">
        <v>36</v>
      </c>
      <c r="AC83" s="106">
        <v>30974.399999999998</v>
      </c>
      <c r="AD83" s="106">
        <v>38</v>
      </c>
      <c r="AE83" s="106">
        <v>32695.200000000001</v>
      </c>
      <c r="AF83" s="106">
        <v>48</v>
      </c>
      <c r="AG83" s="106">
        <v>41299.199999999997</v>
      </c>
      <c r="AH83" s="106">
        <v>48</v>
      </c>
      <c r="AI83" s="106">
        <v>41299.199999999997</v>
      </c>
      <c r="AJ83" s="106">
        <v>108</v>
      </c>
      <c r="AK83" s="106">
        <v>92923.199999999997</v>
      </c>
      <c r="AL83" s="106">
        <v>122</v>
      </c>
      <c r="AM83" s="106">
        <v>104968.8</v>
      </c>
      <c r="AN83" s="106">
        <v>124</v>
      </c>
      <c r="AO83" s="106">
        <v>106689.59999999999</v>
      </c>
      <c r="AP83" s="106">
        <v>138</v>
      </c>
      <c r="AQ83" s="106">
        <v>118735.2</v>
      </c>
      <c r="AR83" s="106">
        <v>176</v>
      </c>
      <c r="AS83" s="106">
        <v>151430.39999999999</v>
      </c>
      <c r="AT83" s="106">
        <v>112</v>
      </c>
      <c r="AU83" s="106">
        <v>96364.800000000003</v>
      </c>
      <c r="AV83" s="106">
        <v>119</v>
      </c>
      <c r="AW83" s="106">
        <v>102387.59999999999</v>
      </c>
      <c r="AX83" s="106">
        <v>166</v>
      </c>
      <c r="AY83" s="106">
        <v>142826.4</v>
      </c>
      <c r="AZ83" s="106">
        <v>16</v>
      </c>
      <c r="BA83" s="106">
        <v>13766.4</v>
      </c>
      <c r="BB83" s="106">
        <v>16</v>
      </c>
      <c r="BC83" s="106">
        <v>13766.4</v>
      </c>
      <c r="BD83" s="106">
        <v>15</v>
      </c>
      <c r="BE83" s="106">
        <v>12906</v>
      </c>
      <c r="BF83" s="106">
        <v>10</v>
      </c>
      <c r="BG83" s="106">
        <v>8604</v>
      </c>
      <c r="BH83" s="106">
        <v>15</v>
      </c>
      <c r="BI83" s="106">
        <v>12906</v>
      </c>
      <c r="BJ83" s="106">
        <v>18</v>
      </c>
      <c r="BK83" s="106">
        <v>15487.199999999999</v>
      </c>
      <c r="BL83" s="106">
        <v>11</v>
      </c>
      <c r="BM83" s="106">
        <v>9464.4</v>
      </c>
      <c r="BN83" s="106">
        <v>10</v>
      </c>
      <c r="BO83" s="106">
        <v>8604</v>
      </c>
      <c r="BP83" s="106">
        <v>20</v>
      </c>
      <c r="BQ83" s="106">
        <v>17208</v>
      </c>
      <c r="BR83" s="106">
        <v>23</v>
      </c>
      <c r="BS83" s="106">
        <v>19789.2</v>
      </c>
      <c r="BT83" s="106">
        <v>16</v>
      </c>
      <c r="BU83" s="106">
        <v>13766.4</v>
      </c>
      <c r="BV83" s="106">
        <v>14</v>
      </c>
      <c r="BW83" s="106">
        <v>12045.6</v>
      </c>
      <c r="BX83" s="106">
        <v>88</v>
      </c>
      <c r="BY83" s="106">
        <v>75715.199999999997</v>
      </c>
      <c r="BZ83" s="106">
        <v>107</v>
      </c>
      <c r="CA83" s="106">
        <v>92062.8</v>
      </c>
      <c r="CB83" s="106">
        <v>94</v>
      </c>
      <c r="CC83" s="106">
        <v>80877.599999999991</v>
      </c>
      <c r="CD83" s="106">
        <v>85</v>
      </c>
      <c r="CE83" s="106">
        <v>73134</v>
      </c>
      <c r="CF83" s="106">
        <v>12</v>
      </c>
      <c r="CG83" s="106">
        <v>10324.799999999999</v>
      </c>
      <c r="CH83" s="106">
        <v>14</v>
      </c>
      <c r="CI83" s="106">
        <v>12045.6</v>
      </c>
      <c r="CJ83" s="106">
        <v>9</v>
      </c>
      <c r="CK83" s="106">
        <v>7743.5999999999995</v>
      </c>
      <c r="CL83" s="106">
        <v>11</v>
      </c>
      <c r="CM83" s="106">
        <v>9464.4</v>
      </c>
      <c r="CN83" s="106">
        <v>24</v>
      </c>
      <c r="CO83" s="106">
        <v>20649.599999999999</v>
      </c>
      <c r="CP83" s="106">
        <v>21</v>
      </c>
      <c r="CQ83" s="106">
        <v>18068.399999999998</v>
      </c>
      <c r="CR83" s="106">
        <v>32</v>
      </c>
      <c r="CS83" s="106">
        <v>27532.799999999999</v>
      </c>
      <c r="CT83" s="106">
        <v>21</v>
      </c>
      <c r="CU83" s="106">
        <v>18068.399999999998</v>
      </c>
    </row>
    <row r="84" spans="2:99" x14ac:dyDescent="0.2">
      <c r="C84" s="105" t="s">
        <v>249</v>
      </c>
      <c r="D84" s="106">
        <v>120</v>
      </c>
      <c r="E84" s="106">
        <v>93743.999999999985</v>
      </c>
      <c r="F84" s="106">
        <v>119</v>
      </c>
      <c r="G84" s="106">
        <v>92962.799999999988</v>
      </c>
      <c r="H84" s="106">
        <v>142</v>
      </c>
      <c r="I84" s="106">
        <v>110930.4</v>
      </c>
      <c r="J84" s="106">
        <v>125</v>
      </c>
      <c r="K84" s="106">
        <v>97649.999999999985</v>
      </c>
      <c r="L84" s="106">
        <v>112</v>
      </c>
      <c r="M84" s="106">
        <v>87494.399999999994</v>
      </c>
      <c r="N84" s="106">
        <v>126</v>
      </c>
      <c r="O84" s="106">
        <v>98431.2</v>
      </c>
      <c r="P84" s="106">
        <v>94.073855243722306</v>
      </c>
      <c r="Q84" s="106">
        <v>73490.495716395861</v>
      </c>
      <c r="R84" s="106">
        <v>90.105931034482751</v>
      </c>
      <c r="S84" s="106">
        <v>70390.753324137913</v>
      </c>
      <c r="T84" s="106">
        <v>79</v>
      </c>
      <c r="U84" s="106">
        <v>61714.799999999996</v>
      </c>
      <c r="V84" s="106">
        <v>74</v>
      </c>
      <c r="W84" s="106">
        <v>57808.799999999996</v>
      </c>
      <c r="X84" s="106">
        <v>72</v>
      </c>
      <c r="Y84" s="106">
        <v>56246.399999999994</v>
      </c>
      <c r="Z84" s="106">
        <v>55</v>
      </c>
      <c r="AA84" s="106">
        <v>42965.999999999993</v>
      </c>
      <c r="AB84" s="106">
        <v>41</v>
      </c>
      <c r="AC84" s="106">
        <v>32029.199999999997</v>
      </c>
      <c r="AD84" s="106">
        <v>43</v>
      </c>
      <c r="AE84" s="106">
        <v>33591.599999999999</v>
      </c>
      <c r="AF84" s="106">
        <v>54</v>
      </c>
      <c r="AG84" s="106">
        <v>42184.799999999996</v>
      </c>
      <c r="AH84" s="106">
        <v>44</v>
      </c>
      <c r="AI84" s="106">
        <v>34372.799999999996</v>
      </c>
      <c r="AJ84" s="106">
        <v>131</v>
      </c>
      <c r="AK84" s="106">
        <v>102337.2</v>
      </c>
      <c r="AL84" s="106">
        <v>136</v>
      </c>
      <c r="AM84" s="106">
        <v>106243.2</v>
      </c>
      <c r="AN84" s="106">
        <v>121</v>
      </c>
      <c r="AO84" s="106">
        <v>94525.2</v>
      </c>
      <c r="AP84" s="106">
        <v>120</v>
      </c>
      <c r="AQ84" s="106">
        <v>93743.999999999985</v>
      </c>
      <c r="AR84" s="106">
        <v>172</v>
      </c>
      <c r="AS84" s="106">
        <v>134366.39999999999</v>
      </c>
      <c r="AT84" s="106">
        <v>117</v>
      </c>
      <c r="AU84" s="106">
        <v>91400.4</v>
      </c>
      <c r="AV84" s="106">
        <v>114</v>
      </c>
      <c r="AW84" s="106">
        <v>89056.799999999988</v>
      </c>
      <c r="AX84" s="106">
        <v>173</v>
      </c>
      <c r="AY84" s="106">
        <v>135147.59999999998</v>
      </c>
      <c r="AZ84" s="106">
        <v>15</v>
      </c>
      <c r="BA84" s="106">
        <v>11717.999999999998</v>
      </c>
      <c r="BB84" s="106">
        <v>19</v>
      </c>
      <c r="BC84" s="106">
        <v>14842.8</v>
      </c>
      <c r="BD84" s="106">
        <v>15</v>
      </c>
      <c r="BE84" s="106">
        <v>11717.999999999998</v>
      </c>
      <c r="BF84" s="106">
        <v>11</v>
      </c>
      <c r="BG84" s="106">
        <v>8593.1999999999989</v>
      </c>
      <c r="BH84" s="106">
        <v>16</v>
      </c>
      <c r="BI84" s="106">
        <v>12499.199999999999</v>
      </c>
      <c r="BJ84" s="106">
        <v>17</v>
      </c>
      <c r="BK84" s="106">
        <v>13280.4</v>
      </c>
      <c r="BL84" s="106">
        <v>10</v>
      </c>
      <c r="BM84" s="106">
        <v>7811.9999999999991</v>
      </c>
      <c r="BN84" s="106">
        <v>11</v>
      </c>
      <c r="BO84" s="106">
        <v>8593.1999999999989</v>
      </c>
      <c r="BP84" s="106">
        <v>21</v>
      </c>
      <c r="BQ84" s="106">
        <v>16405.199999999997</v>
      </c>
      <c r="BR84" s="106">
        <v>25</v>
      </c>
      <c r="BS84" s="106">
        <v>19530</v>
      </c>
      <c r="BT84" s="106">
        <v>16</v>
      </c>
      <c r="BU84" s="106">
        <v>12499.199999999999</v>
      </c>
      <c r="BV84" s="106">
        <v>14</v>
      </c>
      <c r="BW84" s="106">
        <v>10936.8</v>
      </c>
      <c r="BX84" s="106">
        <v>86</v>
      </c>
      <c r="BY84" s="106">
        <v>67183.199999999997</v>
      </c>
      <c r="BZ84" s="106">
        <v>95</v>
      </c>
      <c r="CA84" s="106">
        <v>74214</v>
      </c>
      <c r="CB84" s="106">
        <v>99</v>
      </c>
      <c r="CC84" s="106">
        <v>77338.799999999988</v>
      </c>
      <c r="CD84" s="106">
        <v>76</v>
      </c>
      <c r="CE84" s="106">
        <v>59371.199999999997</v>
      </c>
      <c r="CF84" s="106">
        <v>12</v>
      </c>
      <c r="CG84" s="106">
        <v>9374.4</v>
      </c>
      <c r="CH84" s="106">
        <v>16</v>
      </c>
      <c r="CI84" s="106">
        <v>12499.199999999999</v>
      </c>
      <c r="CJ84" s="106">
        <v>9</v>
      </c>
      <c r="CK84" s="106">
        <v>7030.7999999999993</v>
      </c>
      <c r="CL84" s="106">
        <v>11</v>
      </c>
      <c r="CM84" s="106">
        <v>8593.1999999999989</v>
      </c>
      <c r="CN84" s="106">
        <v>22</v>
      </c>
      <c r="CO84" s="106">
        <v>17186.399999999998</v>
      </c>
      <c r="CP84" s="106">
        <v>20</v>
      </c>
      <c r="CQ84" s="106">
        <v>15623.999999999998</v>
      </c>
      <c r="CR84" s="106">
        <v>29</v>
      </c>
      <c r="CS84" s="106">
        <v>22654.799999999999</v>
      </c>
      <c r="CT84" s="106">
        <v>19</v>
      </c>
      <c r="CU84" s="106">
        <v>14842.8</v>
      </c>
    </row>
    <row r="85" spans="2:99" x14ac:dyDescent="0.2">
      <c r="C85" s="105" t="s">
        <v>250</v>
      </c>
      <c r="D85" s="106">
        <v>149</v>
      </c>
      <c r="E85" s="106">
        <v>22350</v>
      </c>
      <c r="F85" s="106">
        <v>144</v>
      </c>
      <c r="G85" s="106">
        <v>21600</v>
      </c>
      <c r="H85" s="106">
        <v>180</v>
      </c>
      <c r="I85" s="106">
        <v>27000</v>
      </c>
      <c r="J85" s="106">
        <v>170</v>
      </c>
      <c r="K85" s="106">
        <v>25500</v>
      </c>
      <c r="L85" s="106">
        <v>137</v>
      </c>
      <c r="M85" s="106">
        <v>20550</v>
      </c>
      <c r="N85" s="106">
        <v>160</v>
      </c>
      <c r="O85" s="106">
        <v>24000</v>
      </c>
      <c r="P85" s="106">
        <v>117.83988183161003</v>
      </c>
      <c r="Q85" s="106">
        <v>17675.982274741506</v>
      </c>
      <c r="R85" s="106">
        <v>116.76993103448277</v>
      </c>
      <c r="S85" s="106">
        <v>17515.489655172416</v>
      </c>
      <c r="T85" s="106">
        <v>90</v>
      </c>
      <c r="U85" s="106">
        <v>13500</v>
      </c>
      <c r="V85" s="106">
        <v>78</v>
      </c>
      <c r="W85" s="106">
        <v>11700</v>
      </c>
      <c r="X85" s="106">
        <v>93</v>
      </c>
      <c r="Y85" s="106">
        <v>13950</v>
      </c>
      <c r="Z85" s="106">
        <v>68</v>
      </c>
      <c r="AA85" s="106">
        <v>10200</v>
      </c>
      <c r="AB85" s="106">
        <v>42</v>
      </c>
      <c r="AC85" s="106">
        <v>6300</v>
      </c>
      <c r="AD85" s="106">
        <v>44</v>
      </c>
      <c r="AE85" s="106">
        <v>6600</v>
      </c>
      <c r="AF85" s="106">
        <v>61</v>
      </c>
      <c r="AG85" s="106">
        <v>9150</v>
      </c>
      <c r="AH85" s="106">
        <v>57</v>
      </c>
      <c r="AI85" s="106">
        <v>8550</v>
      </c>
      <c r="AJ85" s="106">
        <v>144</v>
      </c>
      <c r="AK85" s="106">
        <v>21600</v>
      </c>
      <c r="AL85" s="106">
        <v>151</v>
      </c>
      <c r="AM85" s="106">
        <v>22650</v>
      </c>
      <c r="AN85" s="106">
        <v>156</v>
      </c>
      <c r="AO85" s="106">
        <v>23400</v>
      </c>
      <c r="AP85" s="106">
        <v>151</v>
      </c>
      <c r="AQ85" s="106">
        <v>22650</v>
      </c>
      <c r="AR85" s="106">
        <v>222</v>
      </c>
      <c r="AS85" s="106">
        <v>33300</v>
      </c>
      <c r="AT85" s="106">
        <v>165</v>
      </c>
      <c r="AU85" s="106">
        <v>24750</v>
      </c>
      <c r="AV85" s="106">
        <v>136</v>
      </c>
      <c r="AW85" s="106">
        <v>20400</v>
      </c>
      <c r="AX85" s="106">
        <v>252</v>
      </c>
      <c r="AY85" s="106">
        <v>37800</v>
      </c>
      <c r="AZ85" s="106">
        <v>18</v>
      </c>
      <c r="BA85" s="106">
        <v>2700</v>
      </c>
      <c r="BB85" s="106">
        <v>19</v>
      </c>
      <c r="BC85" s="106">
        <v>2850</v>
      </c>
      <c r="BD85" s="106">
        <v>17</v>
      </c>
      <c r="BE85" s="106">
        <v>2550</v>
      </c>
      <c r="BF85" s="106">
        <v>12</v>
      </c>
      <c r="BG85" s="106">
        <v>1800</v>
      </c>
      <c r="BH85" s="106">
        <v>18</v>
      </c>
      <c r="BI85" s="106">
        <v>2700</v>
      </c>
      <c r="BJ85" s="106">
        <v>18</v>
      </c>
      <c r="BK85" s="106">
        <v>2700</v>
      </c>
      <c r="BL85" s="106">
        <v>12</v>
      </c>
      <c r="BM85" s="106">
        <v>1800</v>
      </c>
      <c r="BN85" s="106">
        <v>11</v>
      </c>
      <c r="BO85" s="106">
        <v>1650</v>
      </c>
      <c r="BP85" s="106">
        <v>25</v>
      </c>
      <c r="BQ85" s="106">
        <v>3750</v>
      </c>
      <c r="BR85" s="106">
        <v>23</v>
      </c>
      <c r="BS85" s="106">
        <v>3450</v>
      </c>
      <c r="BT85" s="106">
        <v>18</v>
      </c>
      <c r="BU85" s="106">
        <v>2700</v>
      </c>
      <c r="BV85" s="106">
        <v>16</v>
      </c>
      <c r="BW85" s="106">
        <v>2400</v>
      </c>
      <c r="BX85" s="106">
        <v>111</v>
      </c>
      <c r="BY85" s="106">
        <v>16650</v>
      </c>
      <c r="BZ85" s="106">
        <v>128</v>
      </c>
      <c r="CA85" s="106">
        <v>19200</v>
      </c>
      <c r="CB85" s="106">
        <v>120</v>
      </c>
      <c r="CC85" s="106">
        <v>18000</v>
      </c>
      <c r="CD85" s="106">
        <v>99</v>
      </c>
      <c r="CE85" s="106">
        <v>14850</v>
      </c>
      <c r="CF85" s="106">
        <v>15</v>
      </c>
      <c r="CG85" s="106">
        <v>2250</v>
      </c>
      <c r="CH85" s="106">
        <v>15</v>
      </c>
      <c r="CI85" s="106">
        <v>2250</v>
      </c>
      <c r="CJ85" s="106">
        <v>10</v>
      </c>
      <c r="CK85" s="106">
        <v>1500</v>
      </c>
      <c r="CL85" s="106">
        <v>13</v>
      </c>
      <c r="CM85" s="106">
        <v>1950</v>
      </c>
      <c r="CN85" s="106">
        <v>25</v>
      </c>
      <c r="CO85" s="106">
        <v>3750</v>
      </c>
      <c r="CP85" s="106">
        <v>21</v>
      </c>
      <c r="CQ85" s="106">
        <v>3150</v>
      </c>
      <c r="CR85" s="106">
        <v>36</v>
      </c>
      <c r="CS85" s="106">
        <v>5400</v>
      </c>
      <c r="CT85" s="106">
        <v>23</v>
      </c>
      <c r="CU85" s="106">
        <v>3450</v>
      </c>
    </row>
    <row r="86" spans="2:99" x14ac:dyDescent="0.2">
      <c r="C86" s="105" t="s">
        <v>251</v>
      </c>
      <c r="D86" s="106">
        <v>126</v>
      </c>
      <c r="E86" s="106">
        <v>68040</v>
      </c>
      <c r="F86" s="106">
        <v>133</v>
      </c>
      <c r="G86" s="106">
        <v>71820</v>
      </c>
      <c r="H86" s="106">
        <v>152</v>
      </c>
      <c r="I86" s="106">
        <v>82080</v>
      </c>
      <c r="J86" s="106">
        <v>140</v>
      </c>
      <c r="K86" s="106">
        <v>75600</v>
      </c>
      <c r="L86" s="106">
        <v>129</v>
      </c>
      <c r="M86" s="106">
        <v>69660</v>
      </c>
      <c r="N86" s="106">
        <v>137</v>
      </c>
      <c r="O86" s="106">
        <v>73980</v>
      </c>
      <c r="P86" s="106">
        <v>90.112850812407672</v>
      </c>
      <c r="Q86" s="106">
        <v>48660.939438700145</v>
      </c>
      <c r="R86" s="106">
        <v>95.622620689655179</v>
      </c>
      <c r="S86" s="106">
        <v>51636.215172413795</v>
      </c>
      <c r="T86" s="106">
        <v>79</v>
      </c>
      <c r="U86" s="106">
        <v>42660</v>
      </c>
      <c r="V86" s="106">
        <v>75</v>
      </c>
      <c r="W86" s="106">
        <v>40500</v>
      </c>
      <c r="X86" s="106">
        <v>93</v>
      </c>
      <c r="Y86" s="106">
        <v>50220</v>
      </c>
      <c r="Z86" s="106">
        <v>58</v>
      </c>
      <c r="AA86" s="106">
        <v>31320</v>
      </c>
      <c r="AB86" s="106">
        <v>41</v>
      </c>
      <c r="AC86" s="106">
        <v>22140</v>
      </c>
      <c r="AD86" s="106">
        <v>40</v>
      </c>
      <c r="AE86" s="106">
        <v>21600</v>
      </c>
      <c r="AF86" s="106">
        <v>49</v>
      </c>
      <c r="AG86" s="106">
        <v>26460</v>
      </c>
      <c r="AH86" s="106">
        <v>47</v>
      </c>
      <c r="AI86" s="106">
        <v>25380</v>
      </c>
      <c r="AJ86" s="106">
        <v>117</v>
      </c>
      <c r="AK86" s="106">
        <v>63180</v>
      </c>
      <c r="AL86" s="106">
        <v>128</v>
      </c>
      <c r="AM86" s="106">
        <v>69120</v>
      </c>
      <c r="AN86" s="106">
        <v>142</v>
      </c>
      <c r="AO86" s="106">
        <v>76680</v>
      </c>
      <c r="AP86" s="106">
        <v>152</v>
      </c>
      <c r="AQ86" s="106">
        <v>82080</v>
      </c>
      <c r="AR86" s="106">
        <v>174</v>
      </c>
      <c r="AS86" s="106">
        <v>93960</v>
      </c>
      <c r="AT86" s="106">
        <v>127</v>
      </c>
      <c r="AU86" s="106">
        <v>68580</v>
      </c>
      <c r="AV86" s="106">
        <v>124</v>
      </c>
      <c r="AW86" s="106">
        <v>66960</v>
      </c>
      <c r="AX86" s="106">
        <v>185</v>
      </c>
      <c r="AY86" s="106">
        <v>99900</v>
      </c>
      <c r="AZ86" s="106">
        <v>15</v>
      </c>
      <c r="BA86" s="106">
        <v>8100</v>
      </c>
      <c r="BB86" s="106">
        <v>19</v>
      </c>
      <c r="BC86" s="106">
        <v>10260</v>
      </c>
      <c r="BD86" s="106">
        <v>18</v>
      </c>
      <c r="BE86" s="106">
        <v>9720</v>
      </c>
      <c r="BF86" s="106">
        <v>12</v>
      </c>
      <c r="BG86" s="106">
        <v>6480</v>
      </c>
      <c r="BH86" s="106">
        <v>15</v>
      </c>
      <c r="BI86" s="106">
        <v>8100</v>
      </c>
      <c r="BJ86" s="106">
        <v>19</v>
      </c>
      <c r="BK86" s="106">
        <v>10260</v>
      </c>
      <c r="BL86" s="106">
        <v>11</v>
      </c>
      <c r="BM86" s="106">
        <v>5940</v>
      </c>
      <c r="BN86" s="106">
        <v>11</v>
      </c>
      <c r="BO86" s="106">
        <v>5940</v>
      </c>
      <c r="BP86" s="106">
        <v>21</v>
      </c>
      <c r="BQ86" s="106">
        <v>11340</v>
      </c>
      <c r="BR86" s="106">
        <v>22</v>
      </c>
      <c r="BS86" s="106">
        <v>11880</v>
      </c>
      <c r="BT86" s="106">
        <v>17</v>
      </c>
      <c r="BU86" s="106">
        <v>9180</v>
      </c>
      <c r="BV86" s="106">
        <v>14</v>
      </c>
      <c r="BW86" s="106">
        <v>7560</v>
      </c>
      <c r="BX86" s="106">
        <v>86</v>
      </c>
      <c r="BY86" s="106">
        <v>46440</v>
      </c>
      <c r="BZ86" s="106">
        <v>98</v>
      </c>
      <c r="CA86" s="106">
        <v>52920</v>
      </c>
      <c r="CB86" s="106">
        <v>109</v>
      </c>
      <c r="CC86" s="106">
        <v>58860</v>
      </c>
      <c r="CD86" s="106">
        <v>90</v>
      </c>
      <c r="CE86" s="106">
        <v>48600</v>
      </c>
      <c r="CF86" s="106">
        <v>14</v>
      </c>
      <c r="CG86" s="106">
        <v>7560</v>
      </c>
      <c r="CH86" s="106">
        <v>16</v>
      </c>
      <c r="CI86" s="106">
        <v>8640</v>
      </c>
      <c r="CJ86" s="106">
        <v>8</v>
      </c>
      <c r="CK86" s="106">
        <v>4320</v>
      </c>
      <c r="CL86" s="106">
        <v>13</v>
      </c>
      <c r="CM86" s="106">
        <v>7020</v>
      </c>
      <c r="CN86" s="106">
        <v>23</v>
      </c>
      <c r="CO86" s="106">
        <v>12420</v>
      </c>
      <c r="CP86" s="106">
        <v>19</v>
      </c>
      <c r="CQ86" s="106">
        <v>10260</v>
      </c>
      <c r="CR86" s="106">
        <v>33</v>
      </c>
      <c r="CS86" s="106">
        <v>17820</v>
      </c>
      <c r="CT86" s="106">
        <v>21</v>
      </c>
      <c r="CU86" s="106">
        <v>11340</v>
      </c>
    </row>
    <row r="87" spans="2:99" x14ac:dyDescent="0.2">
      <c r="B87" s="105" t="s">
        <v>131</v>
      </c>
      <c r="C87" s="105" t="s">
        <v>252</v>
      </c>
      <c r="D87" s="106">
        <v>18</v>
      </c>
      <c r="E87" s="106">
        <v>35186.400000000001</v>
      </c>
      <c r="F87" s="106">
        <v>15</v>
      </c>
      <c r="G87" s="106">
        <v>29322</v>
      </c>
      <c r="H87" s="106">
        <v>15</v>
      </c>
      <c r="I87" s="106">
        <v>29322</v>
      </c>
      <c r="J87" s="106">
        <v>16</v>
      </c>
      <c r="K87" s="106">
        <v>31276.799999999999</v>
      </c>
      <c r="L87" s="106">
        <v>23</v>
      </c>
      <c r="M87" s="106">
        <v>44960.4</v>
      </c>
      <c r="N87" s="106">
        <v>32</v>
      </c>
      <c r="O87" s="106">
        <v>62553.599999999999</v>
      </c>
      <c r="P87" s="106">
        <v>24.756277695716395</v>
      </c>
      <c r="Q87" s="106">
        <v>48393.571639586407</v>
      </c>
      <c r="R87" s="106">
        <v>26.664000000000001</v>
      </c>
      <c r="S87" s="106">
        <v>52122.787199999999</v>
      </c>
      <c r="T87" s="106">
        <v>29</v>
      </c>
      <c r="U87" s="106">
        <v>56689.2</v>
      </c>
      <c r="V87" s="106">
        <v>32</v>
      </c>
      <c r="W87" s="106">
        <v>62553.599999999999</v>
      </c>
      <c r="X87" s="106">
        <v>38</v>
      </c>
      <c r="Y87" s="106">
        <v>74282.399999999994</v>
      </c>
      <c r="Z87" s="106">
        <v>36</v>
      </c>
      <c r="AA87" s="106">
        <v>70372.800000000003</v>
      </c>
      <c r="AB87" s="106">
        <v>42</v>
      </c>
      <c r="AC87" s="106">
        <v>82101.599999999991</v>
      </c>
      <c r="AD87" s="106">
        <v>56</v>
      </c>
      <c r="AE87" s="106">
        <v>109468.8</v>
      </c>
      <c r="AF87" s="106">
        <v>40</v>
      </c>
      <c r="AG87" s="106">
        <v>78192</v>
      </c>
      <c r="AH87" s="106">
        <v>61</v>
      </c>
      <c r="AI87" s="106">
        <v>119242.8</v>
      </c>
      <c r="AJ87" s="106">
        <v>49</v>
      </c>
      <c r="AK87" s="106">
        <v>95785.2</v>
      </c>
      <c r="AL87" s="106">
        <v>45</v>
      </c>
      <c r="AM87" s="106">
        <v>87966</v>
      </c>
      <c r="AN87" s="106">
        <v>36</v>
      </c>
      <c r="AO87" s="106">
        <v>70372.800000000003</v>
      </c>
      <c r="AP87" s="106">
        <v>35</v>
      </c>
      <c r="AQ87" s="106">
        <v>68418</v>
      </c>
      <c r="AR87" s="106">
        <v>55</v>
      </c>
      <c r="AS87" s="106">
        <v>107514</v>
      </c>
      <c r="AT87" s="106">
        <v>90</v>
      </c>
      <c r="AU87" s="106">
        <v>175932</v>
      </c>
      <c r="AV87" s="106">
        <v>67</v>
      </c>
      <c r="AW87" s="106">
        <v>130971.59999999999</v>
      </c>
      <c r="AX87" s="106">
        <v>58</v>
      </c>
      <c r="AY87" s="106">
        <v>113378.4</v>
      </c>
      <c r="AZ87" s="106">
        <v>19</v>
      </c>
      <c r="BA87" s="106">
        <v>37141.199999999997</v>
      </c>
      <c r="BB87" s="106">
        <v>22</v>
      </c>
      <c r="BC87" s="106">
        <v>43005.599999999999</v>
      </c>
      <c r="BD87" s="106">
        <v>16</v>
      </c>
      <c r="BE87" s="106">
        <v>31276.799999999999</v>
      </c>
      <c r="BF87" s="106">
        <v>19</v>
      </c>
      <c r="BG87" s="106">
        <v>37141.199999999997</v>
      </c>
      <c r="BH87" s="106">
        <v>27</v>
      </c>
      <c r="BI87" s="106">
        <v>52779.6</v>
      </c>
      <c r="BJ87" s="106">
        <v>46</v>
      </c>
      <c r="BK87" s="106">
        <v>89920.8</v>
      </c>
      <c r="BL87" s="106">
        <v>47</v>
      </c>
      <c r="BM87" s="106">
        <v>91875.599999999991</v>
      </c>
      <c r="BN87" s="106">
        <v>27</v>
      </c>
      <c r="BO87" s="106">
        <v>52779.6</v>
      </c>
      <c r="BP87" s="106">
        <v>76</v>
      </c>
      <c r="BQ87" s="106">
        <v>148564.79999999999</v>
      </c>
      <c r="BR87" s="106">
        <v>92</v>
      </c>
      <c r="BS87" s="106">
        <v>179841.6</v>
      </c>
      <c r="BT87" s="106">
        <v>50</v>
      </c>
      <c r="BU87" s="106">
        <v>97740</v>
      </c>
      <c r="BV87" s="106">
        <v>63</v>
      </c>
      <c r="BW87" s="106">
        <v>123152.4</v>
      </c>
      <c r="BX87" s="106">
        <v>38</v>
      </c>
      <c r="BY87" s="106">
        <v>74282.399999999994</v>
      </c>
      <c r="BZ87" s="106">
        <v>41</v>
      </c>
      <c r="CA87" s="106">
        <v>80146.8</v>
      </c>
      <c r="CB87" s="106">
        <v>39</v>
      </c>
      <c r="CC87" s="106">
        <v>76237.2</v>
      </c>
      <c r="CD87" s="106">
        <v>35</v>
      </c>
      <c r="CE87" s="106">
        <v>68418</v>
      </c>
      <c r="CF87" s="106">
        <v>16</v>
      </c>
      <c r="CG87" s="106">
        <v>31276.799999999999</v>
      </c>
      <c r="CH87" s="106">
        <v>18</v>
      </c>
      <c r="CI87" s="106">
        <v>35186.400000000001</v>
      </c>
      <c r="CJ87" s="106">
        <v>24</v>
      </c>
      <c r="CK87" s="106">
        <v>46915.199999999997</v>
      </c>
      <c r="CL87" s="106">
        <v>14</v>
      </c>
      <c r="CM87" s="106">
        <v>27367.200000000001</v>
      </c>
      <c r="CN87" s="106">
        <v>18</v>
      </c>
      <c r="CO87" s="106">
        <v>35186.400000000001</v>
      </c>
      <c r="CP87" s="106">
        <v>20</v>
      </c>
      <c r="CQ87" s="106">
        <v>39096</v>
      </c>
      <c r="CR87" s="106">
        <v>19</v>
      </c>
      <c r="CS87" s="106">
        <v>37141.199999999997</v>
      </c>
      <c r="CT87" s="106">
        <v>12</v>
      </c>
      <c r="CU87" s="106">
        <v>23457.599999999999</v>
      </c>
    </row>
    <row r="88" spans="2:99" x14ac:dyDescent="0.2">
      <c r="C88" s="105" t="s">
        <v>253</v>
      </c>
      <c r="D88" s="106">
        <v>19</v>
      </c>
      <c r="E88" s="106">
        <v>35955.599999999999</v>
      </c>
      <c r="F88" s="106">
        <v>13</v>
      </c>
      <c r="G88" s="106">
        <v>24601.199999999997</v>
      </c>
      <c r="H88" s="106">
        <v>18</v>
      </c>
      <c r="I88" s="106">
        <v>34063.199999999997</v>
      </c>
      <c r="J88" s="106">
        <v>17</v>
      </c>
      <c r="K88" s="106">
        <v>32170.799999999999</v>
      </c>
      <c r="L88" s="106">
        <v>21</v>
      </c>
      <c r="M88" s="106">
        <v>39740.399999999994</v>
      </c>
      <c r="N88" s="106">
        <v>31</v>
      </c>
      <c r="O88" s="106">
        <v>58664.399999999994</v>
      </c>
      <c r="P88" s="106">
        <v>29.707533234859678</v>
      </c>
      <c r="Q88" s="106">
        <v>56218.535893648448</v>
      </c>
      <c r="R88" s="106">
        <v>29.422344827586208</v>
      </c>
      <c r="S88" s="106">
        <v>55678.845351724136</v>
      </c>
      <c r="T88" s="106">
        <v>28</v>
      </c>
      <c r="U88" s="106">
        <v>52987.199999999997</v>
      </c>
      <c r="V88" s="106">
        <v>33</v>
      </c>
      <c r="W88" s="106">
        <v>62449.2</v>
      </c>
      <c r="X88" s="106">
        <v>39</v>
      </c>
      <c r="Y88" s="106">
        <v>73803.599999999991</v>
      </c>
      <c r="Z88" s="106">
        <v>33</v>
      </c>
      <c r="AA88" s="106">
        <v>62449.2</v>
      </c>
      <c r="AB88" s="106">
        <v>43</v>
      </c>
      <c r="AC88" s="106">
        <v>81373.2</v>
      </c>
      <c r="AD88" s="106">
        <v>54</v>
      </c>
      <c r="AE88" s="106">
        <v>102189.59999999999</v>
      </c>
      <c r="AF88" s="106">
        <v>39</v>
      </c>
      <c r="AG88" s="106">
        <v>73803.599999999991</v>
      </c>
      <c r="AH88" s="106">
        <v>63</v>
      </c>
      <c r="AI88" s="106">
        <v>119221.2</v>
      </c>
      <c r="AJ88" s="106">
        <v>44</v>
      </c>
      <c r="AK88" s="106">
        <v>83265.599999999991</v>
      </c>
      <c r="AL88" s="106">
        <v>38</v>
      </c>
      <c r="AM88" s="106">
        <v>71911.199999999997</v>
      </c>
      <c r="AN88" s="106">
        <v>34</v>
      </c>
      <c r="AO88" s="106">
        <v>64341.599999999999</v>
      </c>
      <c r="AP88" s="106">
        <v>33</v>
      </c>
      <c r="AQ88" s="106">
        <v>62449.2</v>
      </c>
      <c r="AR88" s="106">
        <v>61</v>
      </c>
      <c r="AS88" s="106">
        <v>115436.4</v>
      </c>
      <c r="AT88" s="106">
        <v>80</v>
      </c>
      <c r="AU88" s="106">
        <v>151392</v>
      </c>
      <c r="AV88" s="106">
        <v>68</v>
      </c>
      <c r="AW88" s="106">
        <v>128683.2</v>
      </c>
      <c r="AX88" s="106">
        <v>54</v>
      </c>
      <c r="AY88" s="106">
        <v>102189.59999999999</v>
      </c>
      <c r="AZ88" s="106">
        <v>20</v>
      </c>
      <c r="BA88" s="106">
        <v>37848</v>
      </c>
      <c r="BB88" s="106">
        <v>20</v>
      </c>
      <c r="BC88" s="106">
        <v>37848</v>
      </c>
      <c r="BD88" s="106">
        <v>18</v>
      </c>
      <c r="BE88" s="106">
        <v>34063.199999999997</v>
      </c>
      <c r="BF88" s="106">
        <v>20</v>
      </c>
      <c r="BG88" s="106">
        <v>37848</v>
      </c>
      <c r="BH88" s="106">
        <v>32</v>
      </c>
      <c r="BI88" s="106">
        <v>60556.799999999996</v>
      </c>
      <c r="BJ88" s="106">
        <v>45</v>
      </c>
      <c r="BK88" s="106">
        <v>85158</v>
      </c>
      <c r="BL88" s="106">
        <v>51</v>
      </c>
      <c r="BM88" s="106">
        <v>96512.4</v>
      </c>
      <c r="BN88" s="106">
        <v>26</v>
      </c>
      <c r="BO88" s="106">
        <v>49202.399999999994</v>
      </c>
      <c r="BP88" s="106">
        <v>81</v>
      </c>
      <c r="BQ88" s="106">
        <v>153284.4</v>
      </c>
      <c r="BR88" s="106">
        <v>102</v>
      </c>
      <c r="BS88" s="106">
        <v>193024.8</v>
      </c>
      <c r="BT88" s="106">
        <v>54</v>
      </c>
      <c r="BU88" s="106">
        <v>102189.59999999999</v>
      </c>
      <c r="BV88" s="106">
        <v>67</v>
      </c>
      <c r="BW88" s="106">
        <v>126790.79999999999</v>
      </c>
      <c r="BX88" s="106">
        <v>39</v>
      </c>
      <c r="BY88" s="106">
        <v>73803.599999999991</v>
      </c>
      <c r="BZ88" s="106">
        <v>38</v>
      </c>
      <c r="CA88" s="106">
        <v>71911.199999999997</v>
      </c>
      <c r="CB88" s="106">
        <v>44</v>
      </c>
      <c r="CC88" s="106">
        <v>83265.599999999991</v>
      </c>
      <c r="CD88" s="106">
        <v>31</v>
      </c>
      <c r="CE88" s="106">
        <v>58664.399999999994</v>
      </c>
      <c r="CF88" s="106">
        <v>17</v>
      </c>
      <c r="CG88" s="106">
        <v>32170.799999999999</v>
      </c>
      <c r="CH88" s="106">
        <v>17</v>
      </c>
      <c r="CI88" s="106">
        <v>32170.799999999999</v>
      </c>
      <c r="CJ88" s="106">
        <v>28</v>
      </c>
      <c r="CK88" s="106">
        <v>52987.199999999997</v>
      </c>
      <c r="CL88" s="106">
        <v>15</v>
      </c>
      <c r="CM88" s="106">
        <v>28385.999999999996</v>
      </c>
      <c r="CN88" s="106">
        <v>20</v>
      </c>
      <c r="CO88" s="106">
        <v>37848</v>
      </c>
      <c r="CP88" s="106">
        <v>20</v>
      </c>
      <c r="CQ88" s="106">
        <v>37848</v>
      </c>
      <c r="CR88" s="106">
        <v>17</v>
      </c>
      <c r="CS88" s="106">
        <v>32170.799999999999</v>
      </c>
      <c r="CT88" s="106">
        <v>13</v>
      </c>
      <c r="CU88" s="106">
        <v>24601.199999999997</v>
      </c>
    </row>
    <row r="89" spans="2:99" x14ac:dyDescent="0.2">
      <c r="C89" s="105" t="s">
        <v>254</v>
      </c>
      <c r="D89" s="106">
        <v>18</v>
      </c>
      <c r="E89" s="106">
        <v>43156.799999999996</v>
      </c>
      <c r="F89" s="106">
        <v>13</v>
      </c>
      <c r="G89" s="106">
        <v>31168.799999999999</v>
      </c>
      <c r="H89" s="106">
        <v>14</v>
      </c>
      <c r="I89" s="106">
        <v>33566.400000000001</v>
      </c>
      <c r="J89" s="106">
        <v>15</v>
      </c>
      <c r="K89" s="106">
        <v>35964</v>
      </c>
      <c r="L89" s="106">
        <v>19</v>
      </c>
      <c r="M89" s="106">
        <v>45554.400000000001</v>
      </c>
      <c r="N89" s="106">
        <v>28</v>
      </c>
      <c r="O89" s="106">
        <v>67132.800000000003</v>
      </c>
      <c r="P89" s="106">
        <v>24.756277695716395</v>
      </c>
      <c r="Q89" s="106">
        <v>59355.651403249627</v>
      </c>
      <c r="R89" s="106">
        <v>24.825103448275861</v>
      </c>
      <c r="S89" s="106">
        <v>59520.668027586202</v>
      </c>
      <c r="T89" s="106">
        <v>24</v>
      </c>
      <c r="U89" s="106">
        <v>57542.399999999994</v>
      </c>
      <c r="V89" s="106">
        <v>30</v>
      </c>
      <c r="W89" s="106">
        <v>71928</v>
      </c>
      <c r="X89" s="106">
        <v>32</v>
      </c>
      <c r="Y89" s="106">
        <v>76723.199999999997</v>
      </c>
      <c r="Z89" s="106">
        <v>34</v>
      </c>
      <c r="AA89" s="106">
        <v>81518.399999999994</v>
      </c>
      <c r="AB89" s="106">
        <v>41</v>
      </c>
      <c r="AC89" s="106">
        <v>98301.599999999991</v>
      </c>
      <c r="AD89" s="106">
        <v>45</v>
      </c>
      <c r="AE89" s="106">
        <v>107892</v>
      </c>
      <c r="AF89" s="106">
        <v>35</v>
      </c>
      <c r="AG89" s="106">
        <v>83916</v>
      </c>
      <c r="AH89" s="106">
        <v>64</v>
      </c>
      <c r="AI89" s="106">
        <v>153446.39999999999</v>
      </c>
      <c r="AJ89" s="106">
        <v>42</v>
      </c>
      <c r="AK89" s="106">
        <v>100699.2</v>
      </c>
      <c r="AL89" s="106">
        <v>40</v>
      </c>
      <c r="AM89" s="106">
        <v>95904</v>
      </c>
      <c r="AN89" s="106">
        <v>35</v>
      </c>
      <c r="AO89" s="106">
        <v>83916</v>
      </c>
      <c r="AP89" s="106">
        <v>33</v>
      </c>
      <c r="AQ89" s="106">
        <v>79120.800000000003</v>
      </c>
      <c r="AR89" s="106">
        <v>54</v>
      </c>
      <c r="AS89" s="106">
        <v>129470.39999999999</v>
      </c>
      <c r="AT89" s="106">
        <v>79</v>
      </c>
      <c r="AU89" s="106">
        <v>189410.4</v>
      </c>
      <c r="AV89" s="106">
        <v>58</v>
      </c>
      <c r="AW89" s="106">
        <v>139060.79999999999</v>
      </c>
      <c r="AX89" s="106">
        <v>44</v>
      </c>
      <c r="AY89" s="106">
        <v>105494.39999999999</v>
      </c>
      <c r="AZ89" s="106">
        <v>18</v>
      </c>
      <c r="BA89" s="106">
        <v>43156.799999999996</v>
      </c>
      <c r="BB89" s="106">
        <v>20</v>
      </c>
      <c r="BC89" s="106">
        <v>47952</v>
      </c>
      <c r="BD89" s="106">
        <v>18</v>
      </c>
      <c r="BE89" s="106">
        <v>43156.799999999996</v>
      </c>
      <c r="BF89" s="106">
        <v>17</v>
      </c>
      <c r="BG89" s="106">
        <v>40759.199999999997</v>
      </c>
      <c r="BH89" s="106">
        <v>26</v>
      </c>
      <c r="BI89" s="106">
        <v>62337.599999999999</v>
      </c>
      <c r="BJ89" s="106">
        <v>38</v>
      </c>
      <c r="BK89" s="106">
        <v>91108.800000000003</v>
      </c>
      <c r="BL89" s="106">
        <v>44</v>
      </c>
      <c r="BM89" s="106">
        <v>105494.39999999999</v>
      </c>
      <c r="BN89" s="106">
        <v>26</v>
      </c>
      <c r="BO89" s="106">
        <v>62337.599999999999</v>
      </c>
      <c r="BP89" s="106">
        <v>77</v>
      </c>
      <c r="BQ89" s="106">
        <v>184615.19999999998</v>
      </c>
      <c r="BR89" s="106">
        <v>80</v>
      </c>
      <c r="BS89" s="106">
        <v>191808</v>
      </c>
      <c r="BT89" s="106">
        <v>46</v>
      </c>
      <c r="BU89" s="106">
        <v>110289.59999999999</v>
      </c>
      <c r="BV89" s="106">
        <v>53</v>
      </c>
      <c r="BW89" s="106">
        <v>127072.79999999999</v>
      </c>
      <c r="BX89" s="106">
        <v>35</v>
      </c>
      <c r="BY89" s="106">
        <v>83916</v>
      </c>
      <c r="BZ89" s="106">
        <v>40</v>
      </c>
      <c r="CA89" s="106">
        <v>95904</v>
      </c>
      <c r="CB89" s="106">
        <v>35</v>
      </c>
      <c r="CC89" s="106">
        <v>83916</v>
      </c>
      <c r="CD89" s="106">
        <v>28</v>
      </c>
      <c r="CE89" s="106">
        <v>67132.800000000003</v>
      </c>
      <c r="CF89" s="106">
        <v>14</v>
      </c>
      <c r="CG89" s="106">
        <v>33566.400000000001</v>
      </c>
      <c r="CH89" s="106">
        <v>15</v>
      </c>
      <c r="CI89" s="106">
        <v>35964</v>
      </c>
      <c r="CJ89" s="106">
        <v>24</v>
      </c>
      <c r="CK89" s="106">
        <v>57542.399999999994</v>
      </c>
      <c r="CL89" s="106">
        <v>14</v>
      </c>
      <c r="CM89" s="106">
        <v>33566.400000000001</v>
      </c>
      <c r="CN89" s="106">
        <v>19</v>
      </c>
      <c r="CO89" s="106">
        <v>45554.400000000001</v>
      </c>
      <c r="CP89" s="106">
        <v>18</v>
      </c>
      <c r="CQ89" s="106">
        <v>43156.799999999996</v>
      </c>
      <c r="CR89" s="106">
        <v>19</v>
      </c>
      <c r="CS89" s="106">
        <v>45554.400000000001</v>
      </c>
      <c r="CT89" s="106">
        <v>12</v>
      </c>
      <c r="CU89" s="106">
        <v>28771.199999999997</v>
      </c>
    </row>
    <row r="90" spans="2:99" x14ac:dyDescent="0.2">
      <c r="C90" s="105" t="s">
        <v>255</v>
      </c>
      <c r="D90" s="106">
        <v>16</v>
      </c>
      <c r="E90" s="106">
        <v>35155.199999999997</v>
      </c>
      <c r="F90" s="106">
        <v>13</v>
      </c>
      <c r="G90" s="106">
        <v>28563.599999999999</v>
      </c>
      <c r="H90" s="106">
        <v>17</v>
      </c>
      <c r="I90" s="106">
        <v>37352.399999999994</v>
      </c>
      <c r="J90" s="106">
        <v>17</v>
      </c>
      <c r="K90" s="106">
        <v>37352.399999999994</v>
      </c>
      <c r="L90" s="106">
        <v>21</v>
      </c>
      <c r="M90" s="106">
        <v>46141.2</v>
      </c>
      <c r="N90" s="106">
        <v>28</v>
      </c>
      <c r="O90" s="106">
        <v>61521.599999999991</v>
      </c>
      <c r="P90" s="106">
        <v>23.76602658788774</v>
      </c>
      <c r="Q90" s="106">
        <v>52218.713618906942</v>
      </c>
      <c r="R90" s="106">
        <v>28.502896551724138</v>
      </c>
      <c r="S90" s="106">
        <v>62626.564303448271</v>
      </c>
      <c r="T90" s="106">
        <v>26</v>
      </c>
      <c r="U90" s="106">
        <v>57127.199999999997</v>
      </c>
      <c r="V90" s="106">
        <v>28</v>
      </c>
      <c r="W90" s="106">
        <v>61521.599999999991</v>
      </c>
      <c r="X90" s="106">
        <v>34</v>
      </c>
      <c r="Y90" s="106">
        <v>74704.799999999988</v>
      </c>
      <c r="Z90" s="106">
        <v>33</v>
      </c>
      <c r="AA90" s="106">
        <v>72507.599999999991</v>
      </c>
      <c r="AB90" s="106">
        <v>35</v>
      </c>
      <c r="AC90" s="106">
        <v>76902</v>
      </c>
      <c r="AD90" s="106">
        <v>47</v>
      </c>
      <c r="AE90" s="106">
        <v>103268.4</v>
      </c>
      <c r="AF90" s="106">
        <v>40</v>
      </c>
      <c r="AG90" s="106">
        <v>87888</v>
      </c>
      <c r="AH90" s="106">
        <v>57</v>
      </c>
      <c r="AI90" s="106">
        <v>125240.4</v>
      </c>
      <c r="AJ90" s="106">
        <v>39</v>
      </c>
      <c r="AK90" s="106">
        <v>85690.799999999988</v>
      </c>
      <c r="AL90" s="106">
        <v>38</v>
      </c>
      <c r="AM90" s="106">
        <v>83493.599999999991</v>
      </c>
      <c r="AN90" s="106">
        <v>35</v>
      </c>
      <c r="AO90" s="106">
        <v>76902</v>
      </c>
      <c r="AP90" s="106">
        <v>35</v>
      </c>
      <c r="AQ90" s="106">
        <v>76902</v>
      </c>
      <c r="AR90" s="106">
        <v>56</v>
      </c>
      <c r="AS90" s="106">
        <v>123043.19999999998</v>
      </c>
      <c r="AT90" s="106">
        <v>75</v>
      </c>
      <c r="AU90" s="106">
        <v>164790</v>
      </c>
      <c r="AV90" s="106">
        <v>62</v>
      </c>
      <c r="AW90" s="106">
        <v>136226.4</v>
      </c>
      <c r="AX90" s="106">
        <v>51</v>
      </c>
      <c r="AY90" s="106">
        <v>112057.2</v>
      </c>
      <c r="AZ90" s="106">
        <v>20</v>
      </c>
      <c r="BA90" s="106">
        <v>43944</v>
      </c>
      <c r="BB90" s="106">
        <v>22</v>
      </c>
      <c r="BC90" s="106">
        <v>48338.399999999994</v>
      </c>
      <c r="BD90" s="106">
        <v>16</v>
      </c>
      <c r="BE90" s="106">
        <v>35155.199999999997</v>
      </c>
      <c r="BF90" s="106">
        <v>18</v>
      </c>
      <c r="BG90" s="106">
        <v>39549.599999999999</v>
      </c>
      <c r="BH90" s="106">
        <v>29</v>
      </c>
      <c r="BI90" s="106">
        <v>63718.799999999996</v>
      </c>
      <c r="BJ90" s="106">
        <v>38</v>
      </c>
      <c r="BK90" s="106">
        <v>83493.599999999991</v>
      </c>
      <c r="BL90" s="106">
        <v>51</v>
      </c>
      <c r="BM90" s="106">
        <v>112057.2</v>
      </c>
      <c r="BN90" s="106">
        <v>24</v>
      </c>
      <c r="BO90" s="106">
        <v>52732.799999999996</v>
      </c>
      <c r="BP90" s="106">
        <v>77</v>
      </c>
      <c r="BQ90" s="106">
        <v>169184.4</v>
      </c>
      <c r="BR90" s="106">
        <v>84</v>
      </c>
      <c r="BS90" s="106">
        <v>184564.8</v>
      </c>
      <c r="BT90" s="106">
        <v>50</v>
      </c>
      <c r="BU90" s="106">
        <v>109859.99999999999</v>
      </c>
      <c r="BV90" s="106">
        <v>54</v>
      </c>
      <c r="BW90" s="106">
        <v>118648.79999999999</v>
      </c>
      <c r="BX90" s="106">
        <v>33</v>
      </c>
      <c r="BY90" s="106">
        <v>72507.599999999991</v>
      </c>
      <c r="BZ90" s="106">
        <v>36</v>
      </c>
      <c r="CA90" s="106">
        <v>79099.199999999997</v>
      </c>
      <c r="CB90" s="106">
        <v>38</v>
      </c>
      <c r="CC90" s="106">
        <v>83493.599999999991</v>
      </c>
      <c r="CD90" s="106">
        <v>34</v>
      </c>
      <c r="CE90" s="106">
        <v>74704.799999999988</v>
      </c>
      <c r="CF90" s="106">
        <v>17</v>
      </c>
      <c r="CG90" s="106">
        <v>37352.399999999994</v>
      </c>
      <c r="CH90" s="106">
        <v>16</v>
      </c>
      <c r="CI90" s="106">
        <v>35155.199999999997</v>
      </c>
      <c r="CJ90" s="106">
        <v>24</v>
      </c>
      <c r="CK90" s="106">
        <v>52732.799999999996</v>
      </c>
      <c r="CL90" s="106">
        <v>15</v>
      </c>
      <c r="CM90" s="106">
        <v>32958</v>
      </c>
      <c r="CN90" s="106">
        <v>19</v>
      </c>
      <c r="CO90" s="106">
        <v>41746.799999999996</v>
      </c>
      <c r="CP90" s="106">
        <v>20</v>
      </c>
      <c r="CQ90" s="106">
        <v>43944</v>
      </c>
      <c r="CR90" s="106">
        <v>18</v>
      </c>
      <c r="CS90" s="106">
        <v>39549.599999999999</v>
      </c>
      <c r="CT90" s="106">
        <v>13</v>
      </c>
      <c r="CU90" s="106">
        <v>28563.599999999999</v>
      </c>
    </row>
    <row r="91" spans="2:99" x14ac:dyDescent="0.2">
      <c r="C91" s="105" t="s">
        <v>256</v>
      </c>
      <c r="D91" s="106">
        <v>16</v>
      </c>
      <c r="E91" s="106">
        <v>36748.799999999996</v>
      </c>
      <c r="F91" s="106">
        <v>14</v>
      </c>
      <c r="G91" s="106">
        <v>32155.199999999997</v>
      </c>
      <c r="H91" s="106">
        <v>14</v>
      </c>
      <c r="I91" s="106">
        <v>32155.199999999997</v>
      </c>
      <c r="J91" s="106">
        <v>15</v>
      </c>
      <c r="K91" s="106">
        <v>34451.999999999993</v>
      </c>
      <c r="L91" s="106">
        <v>23</v>
      </c>
      <c r="M91" s="106">
        <v>52826.399999999994</v>
      </c>
      <c r="N91" s="106">
        <v>27</v>
      </c>
      <c r="O91" s="106">
        <v>62013.599999999991</v>
      </c>
      <c r="P91" s="106">
        <v>22.775775480059085</v>
      </c>
      <c r="Q91" s="106">
        <v>52311.401122599702</v>
      </c>
      <c r="R91" s="106">
        <v>26.664000000000001</v>
      </c>
      <c r="S91" s="106">
        <v>61241.875199999995</v>
      </c>
      <c r="T91" s="106">
        <v>26</v>
      </c>
      <c r="U91" s="106">
        <v>59716.799999999996</v>
      </c>
      <c r="V91" s="106">
        <v>28</v>
      </c>
      <c r="W91" s="106">
        <v>64310.399999999994</v>
      </c>
      <c r="X91" s="106">
        <v>33</v>
      </c>
      <c r="Y91" s="106">
        <v>75794.399999999994</v>
      </c>
      <c r="Z91" s="106">
        <v>31</v>
      </c>
      <c r="AA91" s="106">
        <v>71200.799999999988</v>
      </c>
      <c r="AB91" s="106">
        <v>36</v>
      </c>
      <c r="AC91" s="106">
        <v>82684.799999999988</v>
      </c>
      <c r="AD91" s="106">
        <v>45</v>
      </c>
      <c r="AE91" s="106">
        <v>103355.99999999999</v>
      </c>
      <c r="AF91" s="106">
        <v>34</v>
      </c>
      <c r="AG91" s="106">
        <v>78091.199999999997</v>
      </c>
      <c r="AH91" s="106">
        <v>56</v>
      </c>
      <c r="AI91" s="106">
        <v>128620.79999999999</v>
      </c>
      <c r="AJ91" s="106">
        <v>41</v>
      </c>
      <c r="AK91" s="106">
        <v>94168.799999999988</v>
      </c>
      <c r="AL91" s="106">
        <v>42</v>
      </c>
      <c r="AM91" s="106">
        <v>96465.599999999991</v>
      </c>
      <c r="AN91" s="106">
        <v>31</v>
      </c>
      <c r="AO91" s="106">
        <v>71200.799999999988</v>
      </c>
      <c r="AP91" s="106">
        <v>35</v>
      </c>
      <c r="AQ91" s="106">
        <v>80387.999999999985</v>
      </c>
      <c r="AR91" s="106">
        <v>55</v>
      </c>
      <c r="AS91" s="106">
        <v>126323.99999999999</v>
      </c>
      <c r="AT91" s="106">
        <v>81</v>
      </c>
      <c r="AU91" s="106">
        <v>186040.8</v>
      </c>
      <c r="AV91" s="106">
        <v>58</v>
      </c>
      <c r="AW91" s="106">
        <v>133214.39999999999</v>
      </c>
      <c r="AX91" s="106">
        <v>47</v>
      </c>
      <c r="AY91" s="106">
        <v>107949.59999999999</v>
      </c>
      <c r="AZ91" s="106">
        <v>18</v>
      </c>
      <c r="BA91" s="106">
        <v>41342.399999999994</v>
      </c>
      <c r="BB91" s="106">
        <v>23</v>
      </c>
      <c r="BC91" s="106">
        <v>52826.399999999994</v>
      </c>
      <c r="BD91" s="106">
        <v>16</v>
      </c>
      <c r="BE91" s="106">
        <v>36748.799999999996</v>
      </c>
      <c r="BF91" s="106">
        <v>20</v>
      </c>
      <c r="BG91" s="106">
        <v>45935.999999999993</v>
      </c>
      <c r="BH91" s="106">
        <v>28</v>
      </c>
      <c r="BI91" s="106">
        <v>64310.399999999994</v>
      </c>
      <c r="BJ91" s="106">
        <v>44</v>
      </c>
      <c r="BK91" s="106">
        <v>101059.19999999998</v>
      </c>
      <c r="BL91" s="106">
        <v>48</v>
      </c>
      <c r="BM91" s="106">
        <v>110246.39999999999</v>
      </c>
      <c r="BN91" s="106">
        <v>23</v>
      </c>
      <c r="BO91" s="106">
        <v>52826.399999999994</v>
      </c>
      <c r="BP91" s="106">
        <v>70</v>
      </c>
      <c r="BQ91" s="106">
        <v>160775.99999999997</v>
      </c>
      <c r="BR91" s="106">
        <v>93</v>
      </c>
      <c r="BS91" s="106">
        <v>213602.39999999997</v>
      </c>
      <c r="BT91" s="106">
        <v>45</v>
      </c>
      <c r="BU91" s="106">
        <v>103355.99999999999</v>
      </c>
      <c r="BV91" s="106">
        <v>55</v>
      </c>
      <c r="BW91" s="106">
        <v>126323.99999999999</v>
      </c>
      <c r="BX91" s="106">
        <v>38</v>
      </c>
      <c r="BY91" s="106">
        <v>87278.399999999994</v>
      </c>
      <c r="BZ91" s="106">
        <v>39</v>
      </c>
      <c r="CA91" s="106">
        <v>89575.199999999983</v>
      </c>
      <c r="CB91" s="106">
        <v>39</v>
      </c>
      <c r="CC91" s="106">
        <v>89575.199999999983</v>
      </c>
      <c r="CD91" s="106">
        <v>31</v>
      </c>
      <c r="CE91" s="106">
        <v>71200.799999999988</v>
      </c>
      <c r="CF91" s="106">
        <v>16</v>
      </c>
      <c r="CG91" s="106">
        <v>36748.799999999996</v>
      </c>
      <c r="CH91" s="106">
        <v>15</v>
      </c>
      <c r="CI91" s="106">
        <v>34451.999999999993</v>
      </c>
      <c r="CJ91" s="106">
        <v>23</v>
      </c>
      <c r="CK91" s="106">
        <v>52826.399999999994</v>
      </c>
      <c r="CL91" s="106">
        <v>15</v>
      </c>
      <c r="CM91" s="106">
        <v>34451.999999999993</v>
      </c>
      <c r="CN91" s="106">
        <v>16</v>
      </c>
      <c r="CO91" s="106">
        <v>36748.799999999996</v>
      </c>
      <c r="CP91" s="106">
        <v>19</v>
      </c>
      <c r="CQ91" s="106">
        <v>43639.199999999997</v>
      </c>
      <c r="CR91" s="106">
        <v>18</v>
      </c>
      <c r="CS91" s="106">
        <v>41342.399999999994</v>
      </c>
      <c r="CT91" s="106">
        <v>12</v>
      </c>
      <c r="CU91" s="106">
        <v>27561.599999999999</v>
      </c>
    </row>
    <row r="92" spans="2:99" x14ac:dyDescent="0.2">
      <c r="C92" s="105" t="s">
        <v>257</v>
      </c>
      <c r="D92" s="106">
        <v>18</v>
      </c>
      <c r="E92" s="106">
        <v>25574.399999999998</v>
      </c>
      <c r="F92" s="106">
        <v>16</v>
      </c>
      <c r="G92" s="106">
        <v>22732.799999999999</v>
      </c>
      <c r="H92" s="106">
        <v>16</v>
      </c>
      <c r="I92" s="106">
        <v>22732.799999999999</v>
      </c>
      <c r="J92" s="106">
        <v>18</v>
      </c>
      <c r="K92" s="106">
        <v>25574.399999999998</v>
      </c>
      <c r="L92" s="106">
        <v>26</v>
      </c>
      <c r="M92" s="106">
        <v>36940.799999999996</v>
      </c>
      <c r="N92" s="106">
        <v>33</v>
      </c>
      <c r="O92" s="106">
        <v>46886.400000000001</v>
      </c>
      <c r="P92" s="106">
        <v>29.707533234859678</v>
      </c>
      <c r="Q92" s="106">
        <v>42208.463220088626</v>
      </c>
      <c r="R92" s="106">
        <v>32.180689655172415</v>
      </c>
      <c r="S92" s="106">
        <v>45722.323862068966</v>
      </c>
      <c r="T92" s="106">
        <v>29</v>
      </c>
      <c r="U92" s="106">
        <v>41203.199999999997</v>
      </c>
      <c r="V92" s="106">
        <v>36</v>
      </c>
      <c r="W92" s="106">
        <v>51148.799999999996</v>
      </c>
      <c r="X92" s="106">
        <v>42</v>
      </c>
      <c r="Y92" s="106">
        <v>59673.599999999999</v>
      </c>
      <c r="Z92" s="106">
        <v>41</v>
      </c>
      <c r="AA92" s="106">
        <v>58252.799999999996</v>
      </c>
      <c r="AB92" s="106">
        <v>44</v>
      </c>
      <c r="AC92" s="106">
        <v>62515.199999999997</v>
      </c>
      <c r="AD92" s="106">
        <v>59</v>
      </c>
      <c r="AE92" s="106">
        <v>83827.199999999997</v>
      </c>
      <c r="AF92" s="106">
        <v>44</v>
      </c>
      <c r="AG92" s="106">
        <v>62515.199999999997</v>
      </c>
      <c r="AH92" s="106">
        <v>81</v>
      </c>
      <c r="AI92" s="106">
        <v>115084.8</v>
      </c>
      <c r="AJ92" s="106">
        <v>51</v>
      </c>
      <c r="AK92" s="106">
        <v>72460.800000000003</v>
      </c>
      <c r="AL92" s="106">
        <v>50</v>
      </c>
      <c r="AM92" s="106">
        <v>71040</v>
      </c>
      <c r="AN92" s="106">
        <v>41</v>
      </c>
      <c r="AO92" s="106">
        <v>58252.799999999996</v>
      </c>
      <c r="AP92" s="106">
        <v>38</v>
      </c>
      <c r="AQ92" s="106">
        <v>53990.400000000001</v>
      </c>
      <c r="AR92" s="106">
        <v>63</v>
      </c>
      <c r="AS92" s="106">
        <v>89510.399999999994</v>
      </c>
      <c r="AT92" s="106">
        <v>85</v>
      </c>
      <c r="AU92" s="106">
        <v>120768</v>
      </c>
      <c r="AV92" s="106">
        <v>69</v>
      </c>
      <c r="AW92" s="106">
        <v>98035.199999999997</v>
      </c>
      <c r="AX92" s="106">
        <v>62</v>
      </c>
      <c r="AY92" s="106">
        <v>88089.599999999991</v>
      </c>
      <c r="AZ92" s="106">
        <v>22</v>
      </c>
      <c r="BA92" s="106">
        <v>31257.599999999999</v>
      </c>
      <c r="BB92" s="106">
        <v>26</v>
      </c>
      <c r="BC92" s="106">
        <v>36940.799999999996</v>
      </c>
      <c r="BD92" s="106">
        <v>19</v>
      </c>
      <c r="BE92" s="106">
        <v>26995.200000000001</v>
      </c>
      <c r="BF92" s="106">
        <v>22</v>
      </c>
      <c r="BG92" s="106">
        <v>31257.599999999999</v>
      </c>
      <c r="BH92" s="106">
        <v>31</v>
      </c>
      <c r="BI92" s="106">
        <v>44044.799999999996</v>
      </c>
      <c r="BJ92" s="106">
        <v>48</v>
      </c>
      <c r="BK92" s="106">
        <v>68198.399999999994</v>
      </c>
      <c r="BL92" s="106">
        <v>56</v>
      </c>
      <c r="BM92" s="106">
        <v>79564.800000000003</v>
      </c>
      <c r="BN92" s="106">
        <v>31</v>
      </c>
      <c r="BO92" s="106">
        <v>44044.799999999996</v>
      </c>
      <c r="BP92" s="106">
        <v>81</v>
      </c>
      <c r="BQ92" s="106">
        <v>115084.8</v>
      </c>
      <c r="BR92" s="106">
        <v>103</v>
      </c>
      <c r="BS92" s="106">
        <v>146342.39999999999</v>
      </c>
      <c r="BT92" s="106">
        <v>52</v>
      </c>
      <c r="BU92" s="106">
        <v>73881.599999999991</v>
      </c>
      <c r="BV92" s="106">
        <v>66</v>
      </c>
      <c r="BW92" s="106">
        <v>93772.800000000003</v>
      </c>
      <c r="BX92" s="106">
        <v>37</v>
      </c>
      <c r="BY92" s="106">
        <v>52569.599999999999</v>
      </c>
      <c r="BZ92" s="106">
        <v>42</v>
      </c>
      <c r="CA92" s="106">
        <v>59673.599999999999</v>
      </c>
      <c r="CB92" s="106">
        <v>43</v>
      </c>
      <c r="CC92" s="106">
        <v>61094.400000000001</v>
      </c>
      <c r="CD92" s="106">
        <v>37</v>
      </c>
      <c r="CE92" s="106">
        <v>52569.599999999999</v>
      </c>
      <c r="CF92" s="106">
        <v>16</v>
      </c>
      <c r="CG92" s="106">
        <v>22732.799999999999</v>
      </c>
      <c r="CH92" s="106">
        <v>17</v>
      </c>
      <c r="CI92" s="106">
        <v>24153.599999999999</v>
      </c>
      <c r="CJ92" s="106">
        <v>25</v>
      </c>
      <c r="CK92" s="106">
        <v>35520</v>
      </c>
      <c r="CL92" s="106">
        <v>16</v>
      </c>
      <c r="CM92" s="106">
        <v>22732.799999999999</v>
      </c>
      <c r="CN92" s="106">
        <v>21</v>
      </c>
      <c r="CO92" s="106">
        <v>29836.799999999999</v>
      </c>
      <c r="CP92" s="106">
        <v>18</v>
      </c>
      <c r="CQ92" s="106">
        <v>25574.399999999998</v>
      </c>
      <c r="CR92" s="106">
        <v>22</v>
      </c>
      <c r="CS92" s="106">
        <v>31257.599999999999</v>
      </c>
      <c r="CT92" s="106">
        <v>13</v>
      </c>
      <c r="CU92" s="106">
        <v>18470.399999999998</v>
      </c>
    </row>
    <row r="93" spans="2:99" x14ac:dyDescent="0.2">
      <c r="C93" s="105" t="s">
        <v>258</v>
      </c>
      <c r="D93" s="106">
        <v>19</v>
      </c>
      <c r="E93" s="106">
        <v>33675.599999999999</v>
      </c>
      <c r="F93" s="106">
        <v>13</v>
      </c>
      <c r="G93" s="106">
        <v>23041.199999999997</v>
      </c>
      <c r="H93" s="106">
        <v>17</v>
      </c>
      <c r="I93" s="106">
        <v>30130.799999999999</v>
      </c>
      <c r="J93" s="106">
        <v>17</v>
      </c>
      <c r="K93" s="106">
        <v>30130.799999999999</v>
      </c>
      <c r="L93" s="106">
        <v>23</v>
      </c>
      <c r="M93" s="106">
        <v>40765.199999999997</v>
      </c>
      <c r="N93" s="106">
        <v>32</v>
      </c>
      <c r="O93" s="106">
        <v>56716.799999999996</v>
      </c>
      <c r="P93" s="106">
        <v>29.707533234859678</v>
      </c>
      <c r="Q93" s="106">
        <v>52653.631905465292</v>
      </c>
      <c r="R93" s="106">
        <v>27.583448275862068</v>
      </c>
      <c r="S93" s="106">
        <v>48888.903724137926</v>
      </c>
      <c r="T93" s="106">
        <v>27</v>
      </c>
      <c r="U93" s="106">
        <v>47854.799999999996</v>
      </c>
      <c r="V93" s="106">
        <v>34</v>
      </c>
      <c r="W93" s="106">
        <v>60261.599999999999</v>
      </c>
      <c r="X93" s="106">
        <v>36</v>
      </c>
      <c r="Y93" s="106">
        <v>63806.399999999994</v>
      </c>
      <c r="Z93" s="106">
        <v>33</v>
      </c>
      <c r="AA93" s="106">
        <v>58489.2</v>
      </c>
      <c r="AB93" s="106">
        <v>46</v>
      </c>
      <c r="AC93" s="106">
        <v>81530.399999999994</v>
      </c>
      <c r="AD93" s="106">
        <v>50</v>
      </c>
      <c r="AE93" s="106">
        <v>88620</v>
      </c>
      <c r="AF93" s="106">
        <v>38</v>
      </c>
      <c r="AG93" s="106">
        <v>67351.199999999997</v>
      </c>
      <c r="AH93" s="106">
        <v>67</v>
      </c>
      <c r="AI93" s="106">
        <v>118750.79999999999</v>
      </c>
      <c r="AJ93" s="106">
        <v>46</v>
      </c>
      <c r="AK93" s="106">
        <v>81530.399999999994</v>
      </c>
      <c r="AL93" s="106">
        <v>46</v>
      </c>
      <c r="AM93" s="106">
        <v>81530.399999999994</v>
      </c>
      <c r="AN93" s="106">
        <v>37</v>
      </c>
      <c r="AO93" s="106">
        <v>65578.799999999988</v>
      </c>
      <c r="AP93" s="106">
        <v>37</v>
      </c>
      <c r="AQ93" s="106">
        <v>65578.799999999988</v>
      </c>
      <c r="AR93" s="106">
        <v>61</v>
      </c>
      <c r="AS93" s="106">
        <v>108116.4</v>
      </c>
      <c r="AT93" s="106">
        <v>79</v>
      </c>
      <c r="AU93" s="106">
        <v>140019.59999999998</v>
      </c>
      <c r="AV93" s="106">
        <v>72</v>
      </c>
      <c r="AW93" s="106">
        <v>127612.79999999999</v>
      </c>
      <c r="AX93" s="106">
        <v>54</v>
      </c>
      <c r="AY93" s="106">
        <v>95709.599999999991</v>
      </c>
      <c r="AZ93" s="106">
        <v>20</v>
      </c>
      <c r="BA93" s="106">
        <v>35448</v>
      </c>
      <c r="BB93" s="106">
        <v>23</v>
      </c>
      <c r="BC93" s="106">
        <v>40765.199999999997</v>
      </c>
      <c r="BD93" s="106">
        <v>17</v>
      </c>
      <c r="BE93" s="106">
        <v>30130.799999999999</v>
      </c>
      <c r="BF93" s="106">
        <v>20</v>
      </c>
      <c r="BG93" s="106">
        <v>35448</v>
      </c>
      <c r="BH93" s="106">
        <v>30</v>
      </c>
      <c r="BI93" s="106">
        <v>53171.999999999993</v>
      </c>
      <c r="BJ93" s="106">
        <v>41</v>
      </c>
      <c r="BK93" s="106">
        <v>72668.399999999994</v>
      </c>
      <c r="BL93" s="106">
        <v>53</v>
      </c>
      <c r="BM93" s="106">
        <v>93937.2</v>
      </c>
      <c r="BN93" s="106">
        <v>29</v>
      </c>
      <c r="BO93" s="106">
        <v>51399.6</v>
      </c>
      <c r="BP93" s="106">
        <v>78</v>
      </c>
      <c r="BQ93" s="106">
        <v>138247.19999999998</v>
      </c>
      <c r="BR93" s="106">
        <v>103</v>
      </c>
      <c r="BS93" s="106">
        <v>182557.19999999998</v>
      </c>
      <c r="BT93" s="106">
        <v>56</v>
      </c>
      <c r="BU93" s="106">
        <v>99254.399999999994</v>
      </c>
      <c r="BV93" s="106">
        <v>57</v>
      </c>
      <c r="BW93" s="106">
        <v>101026.79999999999</v>
      </c>
      <c r="BX93" s="106">
        <v>36</v>
      </c>
      <c r="BY93" s="106">
        <v>63806.399999999994</v>
      </c>
      <c r="BZ93" s="106">
        <v>41</v>
      </c>
      <c r="CA93" s="106">
        <v>72668.399999999994</v>
      </c>
      <c r="CB93" s="106">
        <v>45</v>
      </c>
      <c r="CC93" s="106">
        <v>79758</v>
      </c>
      <c r="CD93" s="106">
        <v>33</v>
      </c>
      <c r="CE93" s="106">
        <v>58489.2</v>
      </c>
      <c r="CF93" s="106">
        <v>16</v>
      </c>
      <c r="CG93" s="106">
        <v>28358.399999999998</v>
      </c>
      <c r="CH93" s="106">
        <v>18</v>
      </c>
      <c r="CI93" s="106">
        <v>31903.199999999997</v>
      </c>
      <c r="CJ93" s="106">
        <v>26</v>
      </c>
      <c r="CK93" s="106">
        <v>46082.399999999994</v>
      </c>
      <c r="CL93" s="106">
        <v>17</v>
      </c>
      <c r="CM93" s="106">
        <v>30130.799999999999</v>
      </c>
      <c r="CN93" s="106">
        <v>19</v>
      </c>
      <c r="CO93" s="106">
        <v>33675.599999999999</v>
      </c>
      <c r="CP93" s="106">
        <v>18</v>
      </c>
      <c r="CQ93" s="106">
        <v>31903.199999999997</v>
      </c>
      <c r="CR93" s="106">
        <v>20</v>
      </c>
      <c r="CS93" s="106">
        <v>35448</v>
      </c>
      <c r="CT93" s="106">
        <v>15</v>
      </c>
      <c r="CU93" s="106">
        <v>26585.999999999996</v>
      </c>
    </row>
    <row r="94" spans="2:99" x14ac:dyDescent="0.2">
      <c r="C94" s="105" t="s">
        <v>259</v>
      </c>
      <c r="D94" s="106">
        <v>18</v>
      </c>
      <c r="E94" s="106">
        <v>43113.599999999999</v>
      </c>
      <c r="F94" s="106">
        <v>13</v>
      </c>
      <c r="G94" s="106">
        <v>31137.599999999999</v>
      </c>
      <c r="H94" s="106">
        <v>16</v>
      </c>
      <c r="I94" s="106">
        <v>38323.199999999997</v>
      </c>
      <c r="J94" s="106">
        <v>16</v>
      </c>
      <c r="K94" s="106">
        <v>38323.199999999997</v>
      </c>
      <c r="L94" s="106">
        <v>20</v>
      </c>
      <c r="M94" s="106">
        <v>47904</v>
      </c>
      <c r="N94" s="106">
        <v>28</v>
      </c>
      <c r="O94" s="106">
        <v>67065.599999999991</v>
      </c>
      <c r="P94" s="106">
        <v>26.736779911373709</v>
      </c>
      <c r="Q94" s="106">
        <v>64039.935243722306</v>
      </c>
      <c r="R94" s="106">
        <v>22.986206896551725</v>
      </c>
      <c r="S94" s="106">
        <v>55056.562758620683</v>
      </c>
      <c r="T94" s="106">
        <v>26</v>
      </c>
      <c r="U94" s="106">
        <v>62275.199999999997</v>
      </c>
      <c r="V94" s="106">
        <v>29</v>
      </c>
      <c r="W94" s="106">
        <v>69460.799999999988</v>
      </c>
      <c r="X94" s="106">
        <v>33</v>
      </c>
      <c r="Y94" s="106">
        <v>79041.599999999991</v>
      </c>
      <c r="Z94" s="106">
        <v>34</v>
      </c>
      <c r="AA94" s="106">
        <v>81436.799999999988</v>
      </c>
      <c r="AB94" s="106">
        <v>36</v>
      </c>
      <c r="AC94" s="106">
        <v>86227.199999999997</v>
      </c>
      <c r="AD94" s="106">
        <v>49</v>
      </c>
      <c r="AE94" s="106">
        <v>117364.79999999999</v>
      </c>
      <c r="AF94" s="106">
        <v>39</v>
      </c>
      <c r="AG94" s="106">
        <v>93412.799999999988</v>
      </c>
      <c r="AH94" s="106">
        <v>65</v>
      </c>
      <c r="AI94" s="106">
        <v>155688</v>
      </c>
      <c r="AJ94" s="106">
        <v>44</v>
      </c>
      <c r="AK94" s="106">
        <v>105388.79999999999</v>
      </c>
      <c r="AL94" s="106">
        <v>38</v>
      </c>
      <c r="AM94" s="106">
        <v>91017.599999999991</v>
      </c>
      <c r="AN94" s="106">
        <v>36</v>
      </c>
      <c r="AO94" s="106">
        <v>86227.199999999997</v>
      </c>
      <c r="AP94" s="106">
        <v>32</v>
      </c>
      <c r="AQ94" s="106">
        <v>76646.399999999994</v>
      </c>
      <c r="AR94" s="106">
        <v>48</v>
      </c>
      <c r="AS94" s="106">
        <v>114969.59999999999</v>
      </c>
      <c r="AT94" s="106">
        <v>80</v>
      </c>
      <c r="AU94" s="106">
        <v>191616</v>
      </c>
      <c r="AV94" s="106">
        <v>58</v>
      </c>
      <c r="AW94" s="106">
        <v>138921.59999999998</v>
      </c>
      <c r="AX94" s="106">
        <v>47</v>
      </c>
      <c r="AY94" s="106">
        <v>112574.39999999999</v>
      </c>
      <c r="AZ94" s="106">
        <v>19</v>
      </c>
      <c r="BA94" s="106">
        <v>45508.799999999996</v>
      </c>
      <c r="BB94" s="106">
        <v>22</v>
      </c>
      <c r="BC94" s="106">
        <v>52694.399999999994</v>
      </c>
      <c r="BD94" s="106">
        <v>16</v>
      </c>
      <c r="BE94" s="106">
        <v>38323.199999999997</v>
      </c>
      <c r="BF94" s="106">
        <v>20</v>
      </c>
      <c r="BG94" s="106">
        <v>47904</v>
      </c>
      <c r="BH94" s="106">
        <v>25</v>
      </c>
      <c r="BI94" s="106">
        <v>59879.999999999993</v>
      </c>
      <c r="BJ94" s="106">
        <v>38</v>
      </c>
      <c r="BK94" s="106">
        <v>91017.599999999991</v>
      </c>
      <c r="BL94" s="106">
        <v>42</v>
      </c>
      <c r="BM94" s="106">
        <v>100598.39999999999</v>
      </c>
      <c r="BN94" s="106">
        <v>27</v>
      </c>
      <c r="BO94" s="106">
        <v>64670.399999999994</v>
      </c>
      <c r="BP94" s="106">
        <v>77</v>
      </c>
      <c r="BQ94" s="106">
        <v>184430.4</v>
      </c>
      <c r="BR94" s="106">
        <v>86</v>
      </c>
      <c r="BS94" s="106">
        <v>205987.19999999998</v>
      </c>
      <c r="BT94" s="106">
        <v>47</v>
      </c>
      <c r="BU94" s="106">
        <v>112574.39999999999</v>
      </c>
      <c r="BV94" s="106">
        <v>50</v>
      </c>
      <c r="BW94" s="106">
        <v>119759.99999999999</v>
      </c>
      <c r="BX94" s="106">
        <v>35</v>
      </c>
      <c r="BY94" s="106">
        <v>83832</v>
      </c>
      <c r="BZ94" s="106">
        <v>34</v>
      </c>
      <c r="CA94" s="106">
        <v>81436.799999999988</v>
      </c>
      <c r="CB94" s="106">
        <v>38</v>
      </c>
      <c r="CC94" s="106">
        <v>91017.599999999991</v>
      </c>
      <c r="CD94" s="106">
        <v>30</v>
      </c>
      <c r="CE94" s="106">
        <v>71856</v>
      </c>
      <c r="CF94" s="106">
        <v>16</v>
      </c>
      <c r="CG94" s="106">
        <v>38323.199999999997</v>
      </c>
      <c r="CH94" s="106">
        <v>15</v>
      </c>
      <c r="CI94" s="106">
        <v>35928</v>
      </c>
      <c r="CJ94" s="106">
        <v>24</v>
      </c>
      <c r="CK94" s="106">
        <v>57484.799999999996</v>
      </c>
      <c r="CL94" s="106">
        <v>14</v>
      </c>
      <c r="CM94" s="106">
        <v>33532.799999999996</v>
      </c>
      <c r="CN94" s="106">
        <v>19</v>
      </c>
      <c r="CO94" s="106">
        <v>45508.799999999996</v>
      </c>
      <c r="CP94" s="106">
        <v>18</v>
      </c>
      <c r="CQ94" s="106">
        <v>43113.599999999999</v>
      </c>
      <c r="CR94" s="106">
        <v>17</v>
      </c>
      <c r="CS94" s="106">
        <v>40718.399999999994</v>
      </c>
      <c r="CT94" s="106">
        <v>12</v>
      </c>
      <c r="CU94" s="106">
        <v>28742.399999999998</v>
      </c>
    </row>
    <row r="95" spans="2:99" x14ac:dyDescent="0.2">
      <c r="B95" s="105" t="s">
        <v>132</v>
      </c>
      <c r="C95" s="105" t="s">
        <v>260</v>
      </c>
      <c r="D95" s="106">
        <v>67</v>
      </c>
      <c r="E95" s="106">
        <v>116097.59999999999</v>
      </c>
      <c r="F95" s="106">
        <v>68</v>
      </c>
      <c r="G95" s="106">
        <v>117830.39999999999</v>
      </c>
      <c r="H95" s="106">
        <v>54</v>
      </c>
      <c r="I95" s="106">
        <v>93571.199999999997</v>
      </c>
      <c r="J95" s="106">
        <v>56</v>
      </c>
      <c r="K95" s="106">
        <v>97036.800000000003</v>
      </c>
      <c r="L95" s="106">
        <v>140</v>
      </c>
      <c r="M95" s="106">
        <v>242592</v>
      </c>
      <c r="N95" s="106">
        <v>138</v>
      </c>
      <c r="O95" s="106">
        <v>239126.39999999999</v>
      </c>
      <c r="P95" s="106">
        <v>134.67415066469718</v>
      </c>
      <c r="Q95" s="106">
        <v>233363.36827178727</v>
      </c>
      <c r="R95" s="106">
        <v>140.67558620689655</v>
      </c>
      <c r="S95" s="106">
        <v>243762.65577931036</v>
      </c>
      <c r="T95" s="106">
        <v>72</v>
      </c>
      <c r="U95" s="106">
        <v>124761.59999999999</v>
      </c>
      <c r="V95" s="106">
        <v>46</v>
      </c>
      <c r="W95" s="106">
        <v>79708.800000000003</v>
      </c>
      <c r="X95" s="106">
        <v>81</v>
      </c>
      <c r="Y95" s="106">
        <v>140356.79999999999</v>
      </c>
      <c r="Z95" s="106">
        <v>43</v>
      </c>
      <c r="AA95" s="106">
        <v>74510.399999999994</v>
      </c>
      <c r="AB95" s="106">
        <v>28</v>
      </c>
      <c r="AC95" s="106">
        <v>48518.400000000001</v>
      </c>
      <c r="AD95" s="106">
        <v>32</v>
      </c>
      <c r="AE95" s="106">
        <v>55449.599999999999</v>
      </c>
      <c r="AF95" s="106">
        <v>25</v>
      </c>
      <c r="AG95" s="106">
        <v>43320</v>
      </c>
      <c r="AH95" s="106">
        <v>33</v>
      </c>
      <c r="AI95" s="106">
        <v>57182.400000000001</v>
      </c>
      <c r="AJ95" s="106">
        <v>38</v>
      </c>
      <c r="AK95" s="106">
        <v>65846.399999999994</v>
      </c>
      <c r="AL95" s="106">
        <v>39</v>
      </c>
      <c r="AM95" s="106">
        <v>67579.199999999997</v>
      </c>
      <c r="AN95" s="106">
        <v>32</v>
      </c>
      <c r="AO95" s="106">
        <v>55449.599999999999</v>
      </c>
      <c r="AP95" s="106">
        <v>38</v>
      </c>
      <c r="AQ95" s="106">
        <v>65846.399999999994</v>
      </c>
      <c r="AR95" s="106">
        <v>19</v>
      </c>
      <c r="AS95" s="106">
        <v>32923.199999999997</v>
      </c>
      <c r="AT95" s="106">
        <v>20</v>
      </c>
      <c r="AU95" s="106">
        <v>34656</v>
      </c>
      <c r="AV95" s="106">
        <v>15</v>
      </c>
      <c r="AW95" s="106">
        <v>25992</v>
      </c>
      <c r="AX95" s="106">
        <v>12</v>
      </c>
      <c r="AY95" s="106">
        <v>20793.599999999999</v>
      </c>
      <c r="AZ95" s="106">
        <v>37</v>
      </c>
      <c r="BA95" s="106">
        <v>64113.599999999999</v>
      </c>
      <c r="BB95" s="106">
        <v>28</v>
      </c>
      <c r="BC95" s="106">
        <v>48518.400000000001</v>
      </c>
      <c r="BD95" s="106">
        <v>25</v>
      </c>
      <c r="BE95" s="106">
        <v>43320</v>
      </c>
      <c r="BF95" s="106">
        <v>23</v>
      </c>
      <c r="BG95" s="106">
        <v>39854.400000000001</v>
      </c>
      <c r="BH95" s="106">
        <v>29</v>
      </c>
      <c r="BI95" s="106">
        <v>50251.199999999997</v>
      </c>
      <c r="BJ95" s="106">
        <v>51</v>
      </c>
      <c r="BK95" s="106">
        <v>88372.800000000003</v>
      </c>
      <c r="BL95" s="106">
        <v>32</v>
      </c>
      <c r="BM95" s="106">
        <v>55449.599999999999</v>
      </c>
      <c r="BN95" s="106">
        <v>35</v>
      </c>
      <c r="BO95" s="106">
        <v>60648</v>
      </c>
      <c r="BP95" s="106">
        <v>17</v>
      </c>
      <c r="BQ95" s="106">
        <v>29457.599999999999</v>
      </c>
      <c r="BR95" s="106">
        <v>14</v>
      </c>
      <c r="BS95" s="106">
        <v>24259.200000000001</v>
      </c>
      <c r="BT95" s="106">
        <v>16</v>
      </c>
      <c r="BU95" s="106">
        <v>27724.799999999999</v>
      </c>
      <c r="BV95" s="106">
        <v>15</v>
      </c>
      <c r="BW95" s="106">
        <v>25992</v>
      </c>
      <c r="BX95" s="106">
        <v>48</v>
      </c>
      <c r="BY95" s="106">
        <v>83174.399999999994</v>
      </c>
      <c r="BZ95" s="106">
        <v>46</v>
      </c>
      <c r="CA95" s="106">
        <v>79708.800000000003</v>
      </c>
      <c r="CB95" s="106">
        <v>44</v>
      </c>
      <c r="CC95" s="106">
        <v>76243.199999999997</v>
      </c>
      <c r="CD95" s="106">
        <v>27</v>
      </c>
      <c r="CE95" s="106">
        <v>46785.599999999999</v>
      </c>
      <c r="CF95" s="106">
        <v>25</v>
      </c>
      <c r="CG95" s="106">
        <v>43320</v>
      </c>
      <c r="CH95" s="106">
        <v>23</v>
      </c>
      <c r="CI95" s="106">
        <v>39854.400000000001</v>
      </c>
      <c r="CJ95" s="106">
        <v>25</v>
      </c>
      <c r="CK95" s="106">
        <v>43320</v>
      </c>
      <c r="CL95" s="106">
        <v>27</v>
      </c>
      <c r="CM95" s="106">
        <v>46785.599999999999</v>
      </c>
      <c r="CN95" s="106">
        <v>36</v>
      </c>
      <c r="CO95" s="106">
        <v>62380.799999999996</v>
      </c>
      <c r="CP95" s="106">
        <v>34</v>
      </c>
      <c r="CQ95" s="106">
        <v>58915.199999999997</v>
      </c>
      <c r="CR95" s="106">
        <v>42</v>
      </c>
      <c r="CS95" s="106">
        <v>72777.599999999991</v>
      </c>
      <c r="CT95" s="106">
        <v>40</v>
      </c>
      <c r="CU95" s="106">
        <v>69312</v>
      </c>
    </row>
    <row r="96" spans="2:99" x14ac:dyDescent="0.2">
      <c r="C96" s="105" t="s">
        <v>261</v>
      </c>
      <c r="D96" s="106">
        <v>81</v>
      </c>
      <c r="E96" s="106">
        <v>66679.199999999997</v>
      </c>
      <c r="F96" s="106">
        <v>82</v>
      </c>
      <c r="G96" s="106">
        <v>67502.399999999994</v>
      </c>
      <c r="H96" s="106">
        <v>63</v>
      </c>
      <c r="I96" s="106">
        <v>51861.599999999999</v>
      </c>
      <c r="J96" s="106">
        <v>70</v>
      </c>
      <c r="K96" s="106">
        <v>57623.999999999993</v>
      </c>
      <c r="L96" s="106">
        <v>180</v>
      </c>
      <c r="M96" s="106">
        <v>148176</v>
      </c>
      <c r="N96" s="106">
        <v>198</v>
      </c>
      <c r="O96" s="106">
        <v>162993.59999999998</v>
      </c>
      <c r="P96" s="106">
        <v>205.9722304283604</v>
      </c>
      <c r="Q96" s="106">
        <v>169556.34008862628</v>
      </c>
      <c r="R96" s="106">
        <v>168.25903448275861</v>
      </c>
      <c r="S96" s="106">
        <v>138510.83718620689</v>
      </c>
      <c r="T96" s="106">
        <v>100</v>
      </c>
      <c r="U96" s="106">
        <v>82320</v>
      </c>
      <c r="V96" s="106">
        <v>56</v>
      </c>
      <c r="W96" s="106">
        <v>46099.199999999997</v>
      </c>
      <c r="X96" s="106">
        <v>89</v>
      </c>
      <c r="Y96" s="106">
        <v>73264.799999999988</v>
      </c>
      <c r="Z96" s="106">
        <v>51</v>
      </c>
      <c r="AA96" s="106">
        <v>41983.199999999997</v>
      </c>
      <c r="AB96" s="106">
        <v>31</v>
      </c>
      <c r="AC96" s="106">
        <v>25519.199999999997</v>
      </c>
      <c r="AD96" s="106">
        <v>44</v>
      </c>
      <c r="AE96" s="106">
        <v>36220.799999999996</v>
      </c>
      <c r="AF96" s="106">
        <v>30</v>
      </c>
      <c r="AG96" s="106">
        <v>24695.999999999996</v>
      </c>
      <c r="AH96" s="106">
        <v>34</v>
      </c>
      <c r="AI96" s="106">
        <v>27988.799999999999</v>
      </c>
      <c r="AJ96" s="106">
        <v>45</v>
      </c>
      <c r="AK96" s="106">
        <v>37044</v>
      </c>
      <c r="AL96" s="106">
        <v>44</v>
      </c>
      <c r="AM96" s="106">
        <v>36220.799999999996</v>
      </c>
      <c r="AN96" s="106">
        <v>41</v>
      </c>
      <c r="AO96" s="106">
        <v>33751.199999999997</v>
      </c>
      <c r="AP96" s="106">
        <v>43</v>
      </c>
      <c r="AQ96" s="106">
        <v>35397.599999999999</v>
      </c>
      <c r="AR96" s="106">
        <v>21</v>
      </c>
      <c r="AS96" s="106">
        <v>17287.199999999997</v>
      </c>
      <c r="AT96" s="106">
        <v>22</v>
      </c>
      <c r="AU96" s="106">
        <v>18110.399999999998</v>
      </c>
      <c r="AV96" s="106">
        <v>15</v>
      </c>
      <c r="AW96" s="106">
        <v>12347.999999999998</v>
      </c>
      <c r="AX96" s="106">
        <v>13</v>
      </c>
      <c r="AY96" s="106">
        <v>10701.599999999999</v>
      </c>
      <c r="AZ96" s="106">
        <v>46</v>
      </c>
      <c r="BA96" s="106">
        <v>37867.199999999997</v>
      </c>
      <c r="BB96" s="106">
        <v>36</v>
      </c>
      <c r="BC96" s="106">
        <v>29635.199999999997</v>
      </c>
      <c r="BD96" s="106">
        <v>28</v>
      </c>
      <c r="BE96" s="106">
        <v>23049.599999999999</v>
      </c>
      <c r="BF96" s="106">
        <v>30</v>
      </c>
      <c r="BG96" s="106">
        <v>24695.999999999996</v>
      </c>
      <c r="BH96" s="106">
        <v>36</v>
      </c>
      <c r="BI96" s="106">
        <v>29635.199999999997</v>
      </c>
      <c r="BJ96" s="106">
        <v>52</v>
      </c>
      <c r="BK96" s="106">
        <v>42806.399999999994</v>
      </c>
      <c r="BL96" s="106">
        <v>36</v>
      </c>
      <c r="BM96" s="106">
        <v>29635.199999999997</v>
      </c>
      <c r="BN96" s="106">
        <v>47</v>
      </c>
      <c r="BO96" s="106">
        <v>38690.399999999994</v>
      </c>
      <c r="BP96" s="106">
        <v>18</v>
      </c>
      <c r="BQ96" s="106">
        <v>14817.599999999999</v>
      </c>
      <c r="BR96" s="106">
        <v>17</v>
      </c>
      <c r="BS96" s="106">
        <v>13994.4</v>
      </c>
      <c r="BT96" s="106">
        <v>18</v>
      </c>
      <c r="BU96" s="106">
        <v>14817.599999999999</v>
      </c>
      <c r="BV96" s="106">
        <v>17</v>
      </c>
      <c r="BW96" s="106">
        <v>13994.4</v>
      </c>
      <c r="BX96" s="106">
        <v>51</v>
      </c>
      <c r="BY96" s="106">
        <v>41983.199999999997</v>
      </c>
      <c r="BZ96" s="106">
        <v>58</v>
      </c>
      <c r="CA96" s="106">
        <v>47745.599999999999</v>
      </c>
      <c r="CB96" s="106">
        <v>52</v>
      </c>
      <c r="CC96" s="106">
        <v>42806.399999999994</v>
      </c>
      <c r="CD96" s="106">
        <v>35</v>
      </c>
      <c r="CE96" s="106">
        <v>28811.999999999996</v>
      </c>
      <c r="CF96" s="106">
        <v>26</v>
      </c>
      <c r="CG96" s="106">
        <v>21403.199999999997</v>
      </c>
      <c r="CH96" s="106">
        <v>28</v>
      </c>
      <c r="CI96" s="106">
        <v>23049.599999999999</v>
      </c>
      <c r="CJ96" s="106">
        <v>32</v>
      </c>
      <c r="CK96" s="106">
        <v>26342.399999999998</v>
      </c>
      <c r="CL96" s="106">
        <v>29</v>
      </c>
      <c r="CM96" s="106">
        <v>23872.799999999999</v>
      </c>
      <c r="CN96" s="106">
        <v>42</v>
      </c>
      <c r="CO96" s="106">
        <v>34574.399999999994</v>
      </c>
      <c r="CP96" s="106">
        <v>38</v>
      </c>
      <c r="CQ96" s="106">
        <v>31281.599999999999</v>
      </c>
      <c r="CR96" s="106">
        <v>54</v>
      </c>
      <c r="CS96" s="106">
        <v>44452.799999999996</v>
      </c>
      <c r="CT96" s="106">
        <v>42</v>
      </c>
      <c r="CU96" s="106">
        <v>34574.399999999994</v>
      </c>
    </row>
    <row r="97" spans="2:99" x14ac:dyDescent="0.2">
      <c r="C97" s="105" t="s">
        <v>262</v>
      </c>
      <c r="D97" s="106">
        <v>66</v>
      </c>
      <c r="E97" s="106">
        <v>120700.8</v>
      </c>
      <c r="F97" s="106">
        <v>68</v>
      </c>
      <c r="G97" s="106">
        <v>124358.39999999999</v>
      </c>
      <c r="H97" s="106">
        <v>55</v>
      </c>
      <c r="I97" s="106">
        <v>100584</v>
      </c>
      <c r="J97" s="106">
        <v>53</v>
      </c>
      <c r="K97" s="106">
        <v>96926.399999999994</v>
      </c>
      <c r="L97" s="106">
        <v>129</v>
      </c>
      <c r="M97" s="106">
        <v>235915.19999999998</v>
      </c>
      <c r="N97" s="106">
        <v>143</v>
      </c>
      <c r="O97" s="106">
        <v>261518.4</v>
      </c>
      <c r="P97" s="106">
        <v>144.57666174298373</v>
      </c>
      <c r="Q97" s="106">
        <v>264401.79899556865</v>
      </c>
      <c r="R97" s="106">
        <v>128.72275862068966</v>
      </c>
      <c r="S97" s="106">
        <v>235408.18096551724</v>
      </c>
      <c r="T97" s="106">
        <v>81</v>
      </c>
      <c r="U97" s="106">
        <v>148132.79999999999</v>
      </c>
      <c r="V97" s="106">
        <v>45</v>
      </c>
      <c r="W97" s="106">
        <v>82296</v>
      </c>
      <c r="X97" s="106">
        <v>77</v>
      </c>
      <c r="Y97" s="106">
        <v>140817.60000000001</v>
      </c>
      <c r="Z97" s="106">
        <v>42</v>
      </c>
      <c r="AA97" s="106">
        <v>76809.599999999991</v>
      </c>
      <c r="AB97" s="106">
        <v>29</v>
      </c>
      <c r="AC97" s="106">
        <v>53035.199999999997</v>
      </c>
      <c r="AD97" s="106">
        <v>34</v>
      </c>
      <c r="AE97" s="106">
        <v>62179.199999999997</v>
      </c>
      <c r="AF97" s="106">
        <v>25</v>
      </c>
      <c r="AG97" s="106">
        <v>45720</v>
      </c>
      <c r="AH97" s="106">
        <v>34</v>
      </c>
      <c r="AI97" s="106">
        <v>62179.199999999997</v>
      </c>
      <c r="AJ97" s="106">
        <v>33</v>
      </c>
      <c r="AK97" s="106">
        <v>60350.400000000001</v>
      </c>
      <c r="AL97" s="106">
        <v>33</v>
      </c>
      <c r="AM97" s="106">
        <v>60350.400000000001</v>
      </c>
      <c r="AN97" s="106">
        <v>35</v>
      </c>
      <c r="AO97" s="106">
        <v>64008</v>
      </c>
      <c r="AP97" s="106">
        <v>38</v>
      </c>
      <c r="AQ97" s="106">
        <v>69494.399999999994</v>
      </c>
      <c r="AR97" s="106">
        <v>19</v>
      </c>
      <c r="AS97" s="106">
        <v>34747.199999999997</v>
      </c>
      <c r="AT97" s="106">
        <v>19</v>
      </c>
      <c r="AU97" s="106">
        <v>34747.199999999997</v>
      </c>
      <c r="AV97" s="106">
        <v>15</v>
      </c>
      <c r="AW97" s="106">
        <v>27432</v>
      </c>
      <c r="AX97" s="106">
        <v>14</v>
      </c>
      <c r="AY97" s="106">
        <v>25603.200000000001</v>
      </c>
      <c r="AZ97" s="106">
        <v>35</v>
      </c>
      <c r="BA97" s="106">
        <v>64008</v>
      </c>
      <c r="BB97" s="106">
        <v>28</v>
      </c>
      <c r="BC97" s="106">
        <v>51206.400000000001</v>
      </c>
      <c r="BD97" s="106">
        <v>23</v>
      </c>
      <c r="BE97" s="106">
        <v>42062.400000000001</v>
      </c>
      <c r="BF97" s="106">
        <v>21</v>
      </c>
      <c r="BG97" s="106">
        <v>38404.799999999996</v>
      </c>
      <c r="BH97" s="106">
        <v>30</v>
      </c>
      <c r="BI97" s="106">
        <v>54864</v>
      </c>
      <c r="BJ97" s="106">
        <v>51</v>
      </c>
      <c r="BK97" s="106">
        <v>93268.800000000003</v>
      </c>
      <c r="BL97" s="106">
        <v>30</v>
      </c>
      <c r="BM97" s="106">
        <v>54864</v>
      </c>
      <c r="BN97" s="106">
        <v>35</v>
      </c>
      <c r="BO97" s="106">
        <v>64008</v>
      </c>
      <c r="BP97" s="106">
        <v>17</v>
      </c>
      <c r="BQ97" s="106">
        <v>31089.599999999999</v>
      </c>
      <c r="BR97" s="106">
        <v>14</v>
      </c>
      <c r="BS97" s="106">
        <v>25603.200000000001</v>
      </c>
      <c r="BT97" s="106">
        <v>17</v>
      </c>
      <c r="BU97" s="106">
        <v>31089.599999999999</v>
      </c>
      <c r="BV97" s="106">
        <v>13</v>
      </c>
      <c r="BW97" s="106">
        <v>23774.399999999998</v>
      </c>
      <c r="BX97" s="106">
        <v>49</v>
      </c>
      <c r="BY97" s="106">
        <v>89611.199999999997</v>
      </c>
      <c r="BZ97" s="106">
        <v>48</v>
      </c>
      <c r="CA97" s="106">
        <v>87782.399999999994</v>
      </c>
      <c r="CB97" s="106">
        <v>46</v>
      </c>
      <c r="CC97" s="106">
        <v>84124.800000000003</v>
      </c>
      <c r="CD97" s="106">
        <v>28</v>
      </c>
      <c r="CE97" s="106">
        <v>51206.400000000001</v>
      </c>
      <c r="CF97" s="106">
        <v>22</v>
      </c>
      <c r="CG97" s="106">
        <v>40233.599999999999</v>
      </c>
      <c r="CH97" s="106">
        <v>25</v>
      </c>
      <c r="CI97" s="106">
        <v>45720</v>
      </c>
      <c r="CJ97" s="106">
        <v>29</v>
      </c>
      <c r="CK97" s="106">
        <v>53035.199999999997</v>
      </c>
      <c r="CL97" s="106">
        <v>27</v>
      </c>
      <c r="CM97" s="106">
        <v>49377.599999999999</v>
      </c>
      <c r="CN97" s="106">
        <v>33</v>
      </c>
      <c r="CO97" s="106">
        <v>60350.400000000001</v>
      </c>
      <c r="CP97" s="106">
        <v>32</v>
      </c>
      <c r="CQ97" s="106">
        <v>58521.599999999999</v>
      </c>
      <c r="CR97" s="106">
        <v>42</v>
      </c>
      <c r="CS97" s="106">
        <v>76809.599999999991</v>
      </c>
      <c r="CT97" s="106">
        <v>42</v>
      </c>
      <c r="CU97" s="106">
        <v>76809.599999999991</v>
      </c>
    </row>
    <row r="98" spans="2:99" x14ac:dyDescent="0.2">
      <c r="C98" s="105" t="s">
        <v>263</v>
      </c>
      <c r="D98" s="106">
        <v>69</v>
      </c>
      <c r="E98" s="106">
        <v>87188.4</v>
      </c>
      <c r="F98" s="106">
        <v>76</v>
      </c>
      <c r="G98" s="106">
        <v>96033.599999999991</v>
      </c>
      <c r="H98" s="106">
        <v>57</v>
      </c>
      <c r="I98" s="106">
        <v>72025.2</v>
      </c>
      <c r="J98" s="106">
        <v>63</v>
      </c>
      <c r="K98" s="106">
        <v>79606.799999999988</v>
      </c>
      <c r="L98" s="106">
        <v>169</v>
      </c>
      <c r="M98" s="106">
        <v>213548.4</v>
      </c>
      <c r="N98" s="106">
        <v>168</v>
      </c>
      <c r="O98" s="106">
        <v>212284.79999999999</v>
      </c>
      <c r="P98" s="106">
        <v>166.36218611521417</v>
      </c>
      <c r="Q98" s="106">
        <v>210215.25837518461</v>
      </c>
      <c r="R98" s="106">
        <v>158.14510344827585</v>
      </c>
      <c r="S98" s="106">
        <v>199832.15271724135</v>
      </c>
      <c r="T98" s="106">
        <v>81</v>
      </c>
      <c r="U98" s="106">
        <v>102351.59999999999</v>
      </c>
      <c r="V98" s="106">
        <v>49</v>
      </c>
      <c r="W98" s="106">
        <v>61916.399999999994</v>
      </c>
      <c r="X98" s="106">
        <v>80</v>
      </c>
      <c r="Y98" s="106">
        <v>101088</v>
      </c>
      <c r="Z98" s="106">
        <v>43</v>
      </c>
      <c r="AA98" s="106">
        <v>54334.799999999996</v>
      </c>
      <c r="AB98" s="106">
        <v>30</v>
      </c>
      <c r="AC98" s="106">
        <v>37908</v>
      </c>
      <c r="AD98" s="106">
        <v>37</v>
      </c>
      <c r="AE98" s="106">
        <v>46753.2</v>
      </c>
      <c r="AF98" s="106">
        <v>26</v>
      </c>
      <c r="AG98" s="106">
        <v>32853.599999999999</v>
      </c>
      <c r="AH98" s="106">
        <v>36</v>
      </c>
      <c r="AI98" s="106">
        <v>45489.599999999999</v>
      </c>
      <c r="AJ98" s="106">
        <v>39</v>
      </c>
      <c r="AK98" s="106">
        <v>49280.399999999994</v>
      </c>
      <c r="AL98" s="106">
        <v>39</v>
      </c>
      <c r="AM98" s="106">
        <v>49280.399999999994</v>
      </c>
      <c r="AN98" s="106">
        <v>32</v>
      </c>
      <c r="AO98" s="106">
        <v>40435.199999999997</v>
      </c>
      <c r="AP98" s="106">
        <v>39</v>
      </c>
      <c r="AQ98" s="106">
        <v>49280.399999999994</v>
      </c>
      <c r="AR98" s="106">
        <v>19</v>
      </c>
      <c r="AS98" s="106">
        <v>24008.399999999998</v>
      </c>
      <c r="AT98" s="106">
        <v>22</v>
      </c>
      <c r="AU98" s="106">
        <v>27799.199999999997</v>
      </c>
      <c r="AV98" s="106">
        <v>15</v>
      </c>
      <c r="AW98" s="106">
        <v>18954</v>
      </c>
      <c r="AX98" s="106">
        <v>15</v>
      </c>
      <c r="AY98" s="106">
        <v>18954</v>
      </c>
      <c r="AZ98" s="106">
        <v>39</v>
      </c>
      <c r="BA98" s="106">
        <v>49280.399999999994</v>
      </c>
      <c r="BB98" s="106">
        <v>32</v>
      </c>
      <c r="BC98" s="106">
        <v>40435.199999999997</v>
      </c>
      <c r="BD98" s="106">
        <v>24</v>
      </c>
      <c r="BE98" s="106">
        <v>30326.399999999998</v>
      </c>
      <c r="BF98" s="106">
        <v>26</v>
      </c>
      <c r="BG98" s="106">
        <v>32853.599999999999</v>
      </c>
      <c r="BH98" s="106">
        <v>33</v>
      </c>
      <c r="BI98" s="106">
        <v>41698.799999999996</v>
      </c>
      <c r="BJ98" s="106">
        <v>49</v>
      </c>
      <c r="BK98" s="106">
        <v>61916.399999999994</v>
      </c>
      <c r="BL98" s="106">
        <v>34</v>
      </c>
      <c r="BM98" s="106">
        <v>42962.399999999994</v>
      </c>
      <c r="BN98" s="106">
        <v>42</v>
      </c>
      <c r="BO98" s="106">
        <v>53071.199999999997</v>
      </c>
      <c r="BP98" s="106">
        <v>17</v>
      </c>
      <c r="BQ98" s="106">
        <v>21481.199999999997</v>
      </c>
      <c r="BR98" s="106">
        <v>17</v>
      </c>
      <c r="BS98" s="106">
        <v>21481.199999999997</v>
      </c>
      <c r="BT98" s="106">
        <v>20</v>
      </c>
      <c r="BU98" s="106">
        <v>25272</v>
      </c>
      <c r="BV98" s="106">
        <v>17</v>
      </c>
      <c r="BW98" s="106">
        <v>21481.199999999997</v>
      </c>
      <c r="BX98" s="106">
        <v>46</v>
      </c>
      <c r="BY98" s="106">
        <v>58125.599999999999</v>
      </c>
      <c r="BZ98" s="106">
        <v>54</v>
      </c>
      <c r="CA98" s="106">
        <v>68234.399999999994</v>
      </c>
      <c r="CB98" s="106">
        <v>43</v>
      </c>
      <c r="CC98" s="106">
        <v>54334.799999999996</v>
      </c>
      <c r="CD98" s="106">
        <v>34</v>
      </c>
      <c r="CE98" s="106">
        <v>42962.399999999994</v>
      </c>
      <c r="CF98" s="106">
        <v>23</v>
      </c>
      <c r="CG98" s="106">
        <v>29062.799999999999</v>
      </c>
      <c r="CH98" s="106">
        <v>27</v>
      </c>
      <c r="CI98" s="106">
        <v>34117.199999999997</v>
      </c>
      <c r="CJ98" s="106">
        <v>28</v>
      </c>
      <c r="CK98" s="106">
        <v>35380.799999999996</v>
      </c>
      <c r="CL98" s="106">
        <v>28</v>
      </c>
      <c r="CM98" s="106">
        <v>35380.799999999996</v>
      </c>
      <c r="CN98" s="106">
        <v>36</v>
      </c>
      <c r="CO98" s="106">
        <v>45489.599999999999</v>
      </c>
      <c r="CP98" s="106">
        <v>39</v>
      </c>
      <c r="CQ98" s="106">
        <v>49280.399999999994</v>
      </c>
      <c r="CR98" s="106">
        <v>43</v>
      </c>
      <c r="CS98" s="106">
        <v>54334.799999999996</v>
      </c>
      <c r="CT98" s="106">
        <v>41</v>
      </c>
      <c r="CU98" s="106">
        <v>51807.6</v>
      </c>
    </row>
    <row r="99" spans="2:99" x14ac:dyDescent="0.2">
      <c r="C99" s="105" t="s">
        <v>264</v>
      </c>
      <c r="D99" s="106">
        <v>30</v>
      </c>
      <c r="E99" s="106">
        <v>164447.99999999997</v>
      </c>
      <c r="F99" s="106">
        <v>38</v>
      </c>
      <c r="G99" s="106">
        <v>208300.79999999999</v>
      </c>
      <c r="H99" s="106">
        <v>28</v>
      </c>
      <c r="I99" s="106">
        <v>153484.79999999999</v>
      </c>
      <c r="J99" s="106">
        <v>30</v>
      </c>
      <c r="K99" s="106">
        <v>164447.99999999997</v>
      </c>
      <c r="L99" s="106">
        <v>62</v>
      </c>
      <c r="M99" s="106">
        <v>339859.19999999995</v>
      </c>
      <c r="N99" s="106">
        <v>58</v>
      </c>
      <c r="O99" s="106">
        <v>317932.79999999999</v>
      </c>
      <c r="P99" s="106">
        <v>55.454062038404729</v>
      </c>
      <c r="Q99" s="106">
        <v>303976.98646971933</v>
      </c>
      <c r="R99" s="106">
        <v>58.844689655172417</v>
      </c>
      <c r="S99" s="106">
        <v>322563.05081379309</v>
      </c>
      <c r="T99" s="106">
        <v>41</v>
      </c>
      <c r="U99" s="106">
        <v>224745.59999999998</v>
      </c>
      <c r="V99" s="106">
        <v>20</v>
      </c>
      <c r="W99" s="106">
        <v>109631.99999999999</v>
      </c>
      <c r="X99" s="106">
        <v>36</v>
      </c>
      <c r="Y99" s="106">
        <v>197337.59999999998</v>
      </c>
      <c r="Z99" s="106">
        <v>22</v>
      </c>
      <c r="AA99" s="106">
        <v>120595.19999999998</v>
      </c>
      <c r="AB99" s="106">
        <v>18</v>
      </c>
      <c r="AC99" s="106">
        <v>98668.799999999988</v>
      </c>
      <c r="AD99" s="106">
        <v>19</v>
      </c>
      <c r="AE99" s="106">
        <v>104150.39999999999</v>
      </c>
      <c r="AF99" s="106">
        <v>16</v>
      </c>
      <c r="AG99" s="106">
        <v>87705.599999999991</v>
      </c>
      <c r="AH99" s="106">
        <v>20</v>
      </c>
      <c r="AI99" s="106">
        <v>109631.99999999999</v>
      </c>
      <c r="AJ99" s="106">
        <v>19</v>
      </c>
      <c r="AK99" s="106">
        <v>104150.39999999999</v>
      </c>
      <c r="AL99" s="106">
        <v>21</v>
      </c>
      <c r="AM99" s="106">
        <v>115113.59999999999</v>
      </c>
      <c r="AN99" s="106">
        <v>17</v>
      </c>
      <c r="AO99" s="106">
        <v>93187.199999999997</v>
      </c>
      <c r="AP99" s="106">
        <v>19</v>
      </c>
      <c r="AQ99" s="106">
        <v>104150.39999999999</v>
      </c>
      <c r="AR99" s="106">
        <v>13</v>
      </c>
      <c r="AS99" s="106">
        <v>71260.799999999988</v>
      </c>
      <c r="AT99" s="106">
        <v>12</v>
      </c>
      <c r="AU99" s="106">
        <v>65779.199999999997</v>
      </c>
      <c r="AV99" s="106">
        <v>9</v>
      </c>
      <c r="AW99" s="106">
        <v>49334.399999999994</v>
      </c>
      <c r="AX99" s="106">
        <v>8</v>
      </c>
      <c r="AY99" s="106">
        <v>43852.799999999996</v>
      </c>
      <c r="AZ99" s="106">
        <v>23</v>
      </c>
      <c r="BA99" s="106">
        <v>126076.79999999999</v>
      </c>
      <c r="BB99" s="106">
        <v>15</v>
      </c>
      <c r="BC99" s="106">
        <v>82223.999999999985</v>
      </c>
      <c r="BD99" s="106">
        <v>14</v>
      </c>
      <c r="BE99" s="106">
        <v>76742.399999999994</v>
      </c>
      <c r="BF99" s="106">
        <v>15</v>
      </c>
      <c r="BG99" s="106">
        <v>82223.999999999985</v>
      </c>
      <c r="BH99" s="106">
        <v>15</v>
      </c>
      <c r="BI99" s="106">
        <v>82223.999999999985</v>
      </c>
      <c r="BJ99" s="106">
        <v>28</v>
      </c>
      <c r="BK99" s="106">
        <v>153484.79999999999</v>
      </c>
      <c r="BL99" s="106">
        <v>18</v>
      </c>
      <c r="BM99" s="106">
        <v>98668.799999999988</v>
      </c>
      <c r="BN99" s="106">
        <v>21</v>
      </c>
      <c r="BO99" s="106">
        <v>115113.59999999999</v>
      </c>
      <c r="BP99" s="106">
        <v>11</v>
      </c>
      <c r="BQ99" s="106">
        <v>60297.599999999991</v>
      </c>
      <c r="BR99" s="106">
        <v>9</v>
      </c>
      <c r="BS99" s="106">
        <v>49334.399999999994</v>
      </c>
      <c r="BT99" s="106">
        <v>11</v>
      </c>
      <c r="BU99" s="106">
        <v>60297.599999999991</v>
      </c>
      <c r="BV99" s="106">
        <v>9</v>
      </c>
      <c r="BW99" s="106">
        <v>49334.399999999994</v>
      </c>
      <c r="BX99" s="106">
        <v>25</v>
      </c>
      <c r="BY99" s="106">
        <v>137040</v>
      </c>
      <c r="BZ99" s="106">
        <v>28</v>
      </c>
      <c r="CA99" s="106">
        <v>153484.79999999999</v>
      </c>
      <c r="CB99" s="106">
        <v>27</v>
      </c>
      <c r="CC99" s="106">
        <v>148003.19999999998</v>
      </c>
      <c r="CD99" s="106">
        <v>17</v>
      </c>
      <c r="CE99" s="106">
        <v>93187.199999999997</v>
      </c>
      <c r="CF99" s="106">
        <v>13</v>
      </c>
      <c r="CG99" s="106">
        <v>71260.799999999988</v>
      </c>
      <c r="CH99" s="106">
        <v>16</v>
      </c>
      <c r="CI99" s="106">
        <v>87705.599999999991</v>
      </c>
      <c r="CJ99" s="106">
        <v>15</v>
      </c>
      <c r="CK99" s="106">
        <v>82223.999999999985</v>
      </c>
      <c r="CL99" s="106">
        <v>15</v>
      </c>
      <c r="CM99" s="106">
        <v>82223.999999999985</v>
      </c>
      <c r="CN99" s="106">
        <v>17</v>
      </c>
      <c r="CO99" s="106">
        <v>93187.199999999997</v>
      </c>
      <c r="CP99" s="106">
        <v>20</v>
      </c>
      <c r="CQ99" s="106">
        <v>109631.99999999999</v>
      </c>
      <c r="CR99" s="106">
        <v>26</v>
      </c>
      <c r="CS99" s="106">
        <v>142521.59999999998</v>
      </c>
      <c r="CT99" s="106">
        <v>20</v>
      </c>
      <c r="CU99" s="106">
        <v>109631.99999999999</v>
      </c>
    </row>
    <row r="100" spans="2:99" x14ac:dyDescent="0.2">
      <c r="C100" s="105" t="s">
        <v>265</v>
      </c>
      <c r="D100" s="106">
        <v>63</v>
      </c>
      <c r="E100" s="106">
        <v>102211.2</v>
      </c>
      <c r="F100" s="106">
        <v>66</v>
      </c>
      <c r="G100" s="106">
        <v>107078.39999999999</v>
      </c>
      <c r="H100" s="106">
        <v>51</v>
      </c>
      <c r="I100" s="106">
        <v>82742.399999999994</v>
      </c>
      <c r="J100" s="106">
        <v>59</v>
      </c>
      <c r="K100" s="106">
        <v>95721.599999999991</v>
      </c>
      <c r="L100" s="106">
        <v>138</v>
      </c>
      <c r="M100" s="106">
        <v>223891.19999999998</v>
      </c>
      <c r="N100" s="106">
        <v>148</v>
      </c>
      <c r="O100" s="106">
        <v>240115.19999999998</v>
      </c>
      <c r="P100" s="106">
        <v>134.67415066469718</v>
      </c>
      <c r="Q100" s="106">
        <v>218495.34203840469</v>
      </c>
      <c r="R100" s="106">
        <v>126.88386206896551</v>
      </c>
      <c r="S100" s="106">
        <v>205856.37782068964</v>
      </c>
      <c r="T100" s="106">
        <v>86</v>
      </c>
      <c r="U100" s="106">
        <v>139526.39999999999</v>
      </c>
      <c r="V100" s="106">
        <v>47</v>
      </c>
      <c r="W100" s="106">
        <v>76252.799999999988</v>
      </c>
      <c r="X100" s="106">
        <v>80</v>
      </c>
      <c r="Y100" s="106">
        <v>129791.99999999999</v>
      </c>
      <c r="Z100" s="106">
        <v>43</v>
      </c>
      <c r="AA100" s="106">
        <v>69763.199999999997</v>
      </c>
      <c r="AB100" s="106">
        <v>29</v>
      </c>
      <c r="AC100" s="106">
        <v>47049.599999999999</v>
      </c>
      <c r="AD100" s="106">
        <v>33</v>
      </c>
      <c r="AE100" s="106">
        <v>53539.199999999997</v>
      </c>
      <c r="AF100" s="106">
        <v>27</v>
      </c>
      <c r="AG100" s="106">
        <v>43804.799999999996</v>
      </c>
      <c r="AH100" s="106">
        <v>34</v>
      </c>
      <c r="AI100" s="106">
        <v>55161.599999999999</v>
      </c>
      <c r="AJ100" s="106">
        <v>39</v>
      </c>
      <c r="AK100" s="106">
        <v>63273.599999999991</v>
      </c>
      <c r="AL100" s="106">
        <v>34</v>
      </c>
      <c r="AM100" s="106">
        <v>55161.599999999999</v>
      </c>
      <c r="AN100" s="106">
        <v>32</v>
      </c>
      <c r="AO100" s="106">
        <v>51916.799999999996</v>
      </c>
      <c r="AP100" s="106">
        <v>38</v>
      </c>
      <c r="AQ100" s="106">
        <v>61651.199999999997</v>
      </c>
      <c r="AR100" s="106">
        <v>20</v>
      </c>
      <c r="AS100" s="106">
        <v>32447.999999999996</v>
      </c>
      <c r="AT100" s="106">
        <v>20</v>
      </c>
      <c r="AU100" s="106">
        <v>32447.999999999996</v>
      </c>
      <c r="AV100" s="106">
        <v>14</v>
      </c>
      <c r="AW100" s="106">
        <v>22713.599999999999</v>
      </c>
      <c r="AX100" s="106">
        <v>14</v>
      </c>
      <c r="AY100" s="106">
        <v>22713.599999999999</v>
      </c>
      <c r="AZ100" s="106">
        <v>38</v>
      </c>
      <c r="BA100" s="106">
        <v>61651.199999999997</v>
      </c>
      <c r="BB100" s="106">
        <v>29</v>
      </c>
      <c r="BC100" s="106">
        <v>47049.599999999999</v>
      </c>
      <c r="BD100" s="106">
        <v>25</v>
      </c>
      <c r="BE100" s="106">
        <v>40560</v>
      </c>
      <c r="BF100" s="106">
        <v>24</v>
      </c>
      <c r="BG100" s="106">
        <v>38937.599999999999</v>
      </c>
      <c r="BH100" s="106">
        <v>28</v>
      </c>
      <c r="BI100" s="106">
        <v>45427.199999999997</v>
      </c>
      <c r="BJ100" s="106">
        <v>55</v>
      </c>
      <c r="BK100" s="106">
        <v>89231.999999999985</v>
      </c>
      <c r="BL100" s="106">
        <v>29</v>
      </c>
      <c r="BM100" s="106">
        <v>47049.599999999999</v>
      </c>
      <c r="BN100" s="106">
        <v>37</v>
      </c>
      <c r="BO100" s="106">
        <v>60028.799999999996</v>
      </c>
      <c r="BP100" s="106">
        <v>16</v>
      </c>
      <c r="BQ100" s="106">
        <v>25958.399999999998</v>
      </c>
      <c r="BR100" s="106">
        <v>17</v>
      </c>
      <c r="BS100" s="106">
        <v>27580.799999999999</v>
      </c>
      <c r="BT100" s="106">
        <v>17</v>
      </c>
      <c r="BU100" s="106">
        <v>27580.799999999999</v>
      </c>
      <c r="BV100" s="106">
        <v>14</v>
      </c>
      <c r="BW100" s="106">
        <v>22713.599999999999</v>
      </c>
      <c r="BX100" s="106">
        <v>49</v>
      </c>
      <c r="BY100" s="106">
        <v>79497.599999999991</v>
      </c>
      <c r="BZ100" s="106">
        <v>52</v>
      </c>
      <c r="CA100" s="106">
        <v>84364.799999999988</v>
      </c>
      <c r="CB100" s="106">
        <v>48</v>
      </c>
      <c r="CC100" s="106">
        <v>77875.199999999997</v>
      </c>
      <c r="CD100" s="106">
        <v>28</v>
      </c>
      <c r="CE100" s="106">
        <v>45427.199999999997</v>
      </c>
      <c r="CF100" s="106">
        <v>22</v>
      </c>
      <c r="CG100" s="106">
        <v>35692.799999999996</v>
      </c>
      <c r="CH100" s="106">
        <v>23</v>
      </c>
      <c r="CI100" s="106">
        <v>37315.199999999997</v>
      </c>
      <c r="CJ100" s="106">
        <v>30</v>
      </c>
      <c r="CK100" s="106">
        <v>48671.999999999993</v>
      </c>
      <c r="CL100" s="106">
        <v>26</v>
      </c>
      <c r="CM100" s="106">
        <v>42182.399999999994</v>
      </c>
      <c r="CN100" s="106">
        <v>35</v>
      </c>
      <c r="CO100" s="106">
        <v>56783.999999999993</v>
      </c>
      <c r="CP100" s="106">
        <v>30</v>
      </c>
      <c r="CQ100" s="106">
        <v>48671.999999999993</v>
      </c>
      <c r="CR100" s="106">
        <v>46</v>
      </c>
      <c r="CS100" s="106">
        <v>74630.399999999994</v>
      </c>
      <c r="CT100" s="106">
        <v>41</v>
      </c>
      <c r="CU100" s="106">
        <v>66518.399999999994</v>
      </c>
    </row>
    <row r="101" spans="2:99" x14ac:dyDescent="0.2">
      <c r="C101" s="105" t="s">
        <v>266</v>
      </c>
      <c r="D101" s="106">
        <v>75</v>
      </c>
      <c r="E101" s="106">
        <v>89279.999999999985</v>
      </c>
      <c r="F101" s="106">
        <v>76</v>
      </c>
      <c r="G101" s="106">
        <v>90470.399999999994</v>
      </c>
      <c r="H101" s="106">
        <v>57</v>
      </c>
      <c r="I101" s="106">
        <v>67852.799999999988</v>
      </c>
      <c r="J101" s="106">
        <v>67</v>
      </c>
      <c r="K101" s="106">
        <v>79756.799999999988</v>
      </c>
      <c r="L101" s="106">
        <v>147</v>
      </c>
      <c r="M101" s="106">
        <v>174988.79999999999</v>
      </c>
      <c r="N101" s="106">
        <v>178</v>
      </c>
      <c r="O101" s="106">
        <v>211891.19999999998</v>
      </c>
      <c r="P101" s="106">
        <v>183.19645494830132</v>
      </c>
      <c r="Q101" s="106">
        <v>218077.05997045786</v>
      </c>
      <c r="R101" s="106">
        <v>153.54786206896551</v>
      </c>
      <c r="S101" s="106">
        <v>182783.37500689653</v>
      </c>
      <c r="T101" s="106">
        <v>97</v>
      </c>
      <c r="U101" s="106">
        <v>115468.79999999999</v>
      </c>
      <c r="V101" s="106">
        <v>45</v>
      </c>
      <c r="W101" s="106">
        <v>53567.999999999993</v>
      </c>
      <c r="X101" s="106">
        <v>92</v>
      </c>
      <c r="Y101" s="106">
        <v>109516.79999999999</v>
      </c>
      <c r="Z101" s="106">
        <v>42</v>
      </c>
      <c r="AA101" s="106">
        <v>49996.799999999996</v>
      </c>
      <c r="AB101" s="106">
        <v>34</v>
      </c>
      <c r="AC101" s="106">
        <v>40473.599999999999</v>
      </c>
      <c r="AD101" s="106">
        <v>36</v>
      </c>
      <c r="AE101" s="106">
        <v>42854.399999999994</v>
      </c>
      <c r="AF101" s="106">
        <v>26</v>
      </c>
      <c r="AG101" s="106">
        <v>30950.399999999998</v>
      </c>
      <c r="AH101" s="106">
        <v>38</v>
      </c>
      <c r="AI101" s="106">
        <v>45235.199999999997</v>
      </c>
      <c r="AJ101" s="106">
        <v>38</v>
      </c>
      <c r="AK101" s="106">
        <v>45235.199999999997</v>
      </c>
      <c r="AL101" s="106">
        <v>41</v>
      </c>
      <c r="AM101" s="106">
        <v>48806.399999999994</v>
      </c>
      <c r="AN101" s="106">
        <v>36</v>
      </c>
      <c r="AO101" s="106">
        <v>42854.399999999994</v>
      </c>
      <c r="AP101" s="106">
        <v>36</v>
      </c>
      <c r="AQ101" s="106">
        <v>42854.399999999994</v>
      </c>
      <c r="AR101" s="106">
        <v>21</v>
      </c>
      <c r="AS101" s="106">
        <v>24998.399999999998</v>
      </c>
      <c r="AT101" s="106">
        <v>20</v>
      </c>
      <c r="AU101" s="106">
        <v>23807.999999999996</v>
      </c>
      <c r="AV101" s="106">
        <v>14</v>
      </c>
      <c r="AW101" s="106">
        <v>16665.599999999999</v>
      </c>
      <c r="AX101" s="106">
        <v>14</v>
      </c>
      <c r="AY101" s="106">
        <v>16665.599999999999</v>
      </c>
      <c r="AZ101" s="106">
        <v>40</v>
      </c>
      <c r="BA101" s="106">
        <v>47615.999999999993</v>
      </c>
      <c r="BB101" s="106">
        <v>28</v>
      </c>
      <c r="BC101" s="106">
        <v>33331.199999999997</v>
      </c>
      <c r="BD101" s="106">
        <v>26</v>
      </c>
      <c r="BE101" s="106">
        <v>30950.399999999998</v>
      </c>
      <c r="BF101" s="106">
        <v>26</v>
      </c>
      <c r="BG101" s="106">
        <v>30950.399999999998</v>
      </c>
      <c r="BH101" s="106">
        <v>28</v>
      </c>
      <c r="BI101" s="106">
        <v>33331.199999999997</v>
      </c>
      <c r="BJ101" s="106">
        <v>56</v>
      </c>
      <c r="BK101" s="106">
        <v>66662.399999999994</v>
      </c>
      <c r="BL101" s="106">
        <v>38</v>
      </c>
      <c r="BM101" s="106">
        <v>45235.199999999997</v>
      </c>
      <c r="BN101" s="106">
        <v>46</v>
      </c>
      <c r="BO101" s="106">
        <v>54758.399999999994</v>
      </c>
      <c r="BP101" s="106">
        <v>17</v>
      </c>
      <c r="BQ101" s="106">
        <v>20236.8</v>
      </c>
      <c r="BR101" s="106">
        <v>18</v>
      </c>
      <c r="BS101" s="106">
        <v>21427.199999999997</v>
      </c>
      <c r="BT101" s="106">
        <v>18</v>
      </c>
      <c r="BU101" s="106">
        <v>21427.199999999997</v>
      </c>
      <c r="BV101" s="106">
        <v>17</v>
      </c>
      <c r="BW101" s="106">
        <v>20236.8</v>
      </c>
      <c r="BX101" s="106">
        <v>45</v>
      </c>
      <c r="BY101" s="106">
        <v>53567.999999999993</v>
      </c>
      <c r="BZ101" s="106">
        <v>52</v>
      </c>
      <c r="CA101" s="106">
        <v>61900.799999999996</v>
      </c>
      <c r="CB101" s="106">
        <v>52</v>
      </c>
      <c r="CC101" s="106">
        <v>61900.799999999996</v>
      </c>
      <c r="CD101" s="106">
        <v>35</v>
      </c>
      <c r="CE101" s="106">
        <v>41663.999999999993</v>
      </c>
      <c r="CF101" s="106">
        <v>24</v>
      </c>
      <c r="CG101" s="106">
        <v>28569.599999999999</v>
      </c>
      <c r="CH101" s="106">
        <v>25</v>
      </c>
      <c r="CI101" s="106">
        <v>29759.999999999996</v>
      </c>
      <c r="CJ101" s="106">
        <v>28</v>
      </c>
      <c r="CK101" s="106">
        <v>33331.199999999997</v>
      </c>
      <c r="CL101" s="106">
        <v>28</v>
      </c>
      <c r="CM101" s="106">
        <v>33331.199999999997</v>
      </c>
      <c r="CN101" s="106">
        <v>34</v>
      </c>
      <c r="CO101" s="106">
        <v>40473.599999999999</v>
      </c>
      <c r="CP101" s="106">
        <v>34</v>
      </c>
      <c r="CQ101" s="106">
        <v>40473.599999999999</v>
      </c>
      <c r="CR101" s="106">
        <v>46</v>
      </c>
      <c r="CS101" s="106">
        <v>54758.399999999994</v>
      </c>
      <c r="CT101" s="106">
        <v>42</v>
      </c>
      <c r="CU101" s="106">
        <v>49996.799999999996</v>
      </c>
    </row>
    <row r="102" spans="2:99" x14ac:dyDescent="0.2">
      <c r="C102" s="105" t="s">
        <v>267</v>
      </c>
      <c r="D102" s="106">
        <v>53</v>
      </c>
      <c r="E102" s="106">
        <v>102777.59999999999</v>
      </c>
      <c r="F102" s="106">
        <v>69</v>
      </c>
      <c r="G102" s="106">
        <v>133804.79999999999</v>
      </c>
      <c r="H102" s="106">
        <v>49</v>
      </c>
      <c r="I102" s="106">
        <v>95020.799999999988</v>
      </c>
      <c r="J102" s="106">
        <v>54</v>
      </c>
      <c r="K102" s="106">
        <v>104716.79999999999</v>
      </c>
      <c r="L102" s="106">
        <v>134</v>
      </c>
      <c r="M102" s="106">
        <v>259852.79999999999</v>
      </c>
      <c r="N102" s="106">
        <v>129</v>
      </c>
      <c r="O102" s="106">
        <v>250156.79999999999</v>
      </c>
      <c r="P102" s="106">
        <v>130.71314623338256</v>
      </c>
      <c r="Q102" s="106">
        <v>253478.93317577543</v>
      </c>
      <c r="R102" s="106">
        <v>113.09213793103449</v>
      </c>
      <c r="S102" s="106">
        <v>219308.27387586207</v>
      </c>
      <c r="T102" s="106">
        <v>78</v>
      </c>
      <c r="U102" s="106">
        <v>151257.59999999998</v>
      </c>
      <c r="V102" s="106">
        <v>44</v>
      </c>
      <c r="W102" s="106">
        <v>85324.799999999988</v>
      </c>
      <c r="X102" s="106">
        <v>69</v>
      </c>
      <c r="Y102" s="106">
        <v>133804.79999999999</v>
      </c>
      <c r="Z102" s="106">
        <v>37</v>
      </c>
      <c r="AA102" s="106">
        <v>71750.399999999994</v>
      </c>
      <c r="AB102" s="106">
        <v>29</v>
      </c>
      <c r="AC102" s="106">
        <v>56236.799999999996</v>
      </c>
      <c r="AD102" s="106">
        <v>34</v>
      </c>
      <c r="AE102" s="106">
        <v>65932.799999999988</v>
      </c>
      <c r="AF102" s="106">
        <v>22</v>
      </c>
      <c r="AG102" s="106">
        <v>42662.399999999994</v>
      </c>
      <c r="AH102" s="106">
        <v>30</v>
      </c>
      <c r="AI102" s="106">
        <v>58175.999999999993</v>
      </c>
      <c r="AJ102" s="106">
        <v>32</v>
      </c>
      <c r="AK102" s="106">
        <v>62054.399999999994</v>
      </c>
      <c r="AL102" s="106">
        <v>34</v>
      </c>
      <c r="AM102" s="106">
        <v>65932.799999999988</v>
      </c>
      <c r="AN102" s="106">
        <v>28</v>
      </c>
      <c r="AO102" s="106">
        <v>54297.599999999991</v>
      </c>
      <c r="AP102" s="106">
        <v>36</v>
      </c>
      <c r="AQ102" s="106">
        <v>69811.199999999997</v>
      </c>
      <c r="AR102" s="106">
        <v>16</v>
      </c>
      <c r="AS102" s="106">
        <v>31027.199999999997</v>
      </c>
      <c r="AT102" s="106">
        <v>17</v>
      </c>
      <c r="AU102" s="106">
        <v>32966.399999999994</v>
      </c>
      <c r="AV102" s="106">
        <v>15</v>
      </c>
      <c r="AW102" s="106">
        <v>29087.999999999996</v>
      </c>
      <c r="AX102" s="106">
        <v>12</v>
      </c>
      <c r="AY102" s="106">
        <v>23270.399999999998</v>
      </c>
      <c r="AZ102" s="106">
        <v>35</v>
      </c>
      <c r="BA102" s="106">
        <v>67872</v>
      </c>
      <c r="BB102" s="106">
        <v>26</v>
      </c>
      <c r="BC102" s="106">
        <v>50419.199999999997</v>
      </c>
      <c r="BD102" s="106">
        <v>22</v>
      </c>
      <c r="BE102" s="106">
        <v>42662.399999999994</v>
      </c>
      <c r="BF102" s="106">
        <v>21</v>
      </c>
      <c r="BG102" s="106">
        <v>40723.199999999997</v>
      </c>
      <c r="BH102" s="106">
        <v>29</v>
      </c>
      <c r="BI102" s="106">
        <v>56236.799999999996</v>
      </c>
      <c r="BJ102" s="106">
        <v>46</v>
      </c>
      <c r="BK102" s="106">
        <v>89203.199999999997</v>
      </c>
      <c r="BL102" s="106">
        <v>30</v>
      </c>
      <c r="BM102" s="106">
        <v>58175.999999999993</v>
      </c>
      <c r="BN102" s="106">
        <v>40</v>
      </c>
      <c r="BO102" s="106">
        <v>77568</v>
      </c>
      <c r="BP102" s="106">
        <v>17</v>
      </c>
      <c r="BQ102" s="106">
        <v>32966.399999999994</v>
      </c>
      <c r="BR102" s="106">
        <v>15</v>
      </c>
      <c r="BS102" s="106">
        <v>29087.999999999996</v>
      </c>
      <c r="BT102" s="106">
        <v>17</v>
      </c>
      <c r="BU102" s="106">
        <v>32966.399999999994</v>
      </c>
      <c r="BV102" s="106">
        <v>15</v>
      </c>
      <c r="BW102" s="106">
        <v>29087.999999999996</v>
      </c>
      <c r="BX102" s="106">
        <v>43</v>
      </c>
      <c r="BY102" s="106">
        <v>83385.599999999991</v>
      </c>
      <c r="BZ102" s="106">
        <v>42</v>
      </c>
      <c r="CA102" s="106">
        <v>81446.399999999994</v>
      </c>
      <c r="CB102" s="106">
        <v>39</v>
      </c>
      <c r="CC102" s="106">
        <v>75628.799999999988</v>
      </c>
      <c r="CD102" s="106">
        <v>31</v>
      </c>
      <c r="CE102" s="106">
        <v>60115.199999999997</v>
      </c>
      <c r="CF102" s="106">
        <v>24</v>
      </c>
      <c r="CG102" s="106">
        <v>46540.799999999996</v>
      </c>
      <c r="CH102" s="106">
        <v>22</v>
      </c>
      <c r="CI102" s="106">
        <v>42662.399999999994</v>
      </c>
      <c r="CJ102" s="106">
        <v>24</v>
      </c>
      <c r="CK102" s="106">
        <v>46540.799999999996</v>
      </c>
      <c r="CL102" s="106">
        <v>26</v>
      </c>
      <c r="CM102" s="106">
        <v>50419.199999999997</v>
      </c>
      <c r="CN102" s="106">
        <v>34</v>
      </c>
      <c r="CO102" s="106">
        <v>65932.799999999988</v>
      </c>
      <c r="CP102" s="106">
        <v>30</v>
      </c>
      <c r="CQ102" s="106">
        <v>58175.999999999993</v>
      </c>
      <c r="CR102" s="106">
        <v>38</v>
      </c>
      <c r="CS102" s="106">
        <v>73689.599999999991</v>
      </c>
      <c r="CT102" s="106">
        <v>40</v>
      </c>
      <c r="CU102" s="106">
        <v>77568</v>
      </c>
    </row>
    <row r="103" spans="2:99" x14ac:dyDescent="0.2">
      <c r="C103" s="105" t="s">
        <v>268</v>
      </c>
      <c r="D103" s="106">
        <v>56</v>
      </c>
      <c r="E103" s="106">
        <v>113568</v>
      </c>
      <c r="F103" s="106">
        <v>71</v>
      </c>
      <c r="G103" s="106">
        <v>143988</v>
      </c>
      <c r="H103" s="106">
        <v>47</v>
      </c>
      <c r="I103" s="106">
        <v>95316</v>
      </c>
      <c r="J103" s="106">
        <v>56</v>
      </c>
      <c r="K103" s="106">
        <v>113568</v>
      </c>
      <c r="L103" s="106">
        <v>131</v>
      </c>
      <c r="M103" s="106">
        <v>265668</v>
      </c>
      <c r="N103" s="106">
        <v>124</v>
      </c>
      <c r="O103" s="106">
        <v>251472</v>
      </c>
      <c r="P103" s="106">
        <v>125.76189069423928</v>
      </c>
      <c r="Q103" s="106">
        <v>255045.11432791725</v>
      </c>
      <c r="R103" s="106">
        <v>123.20606896551723</v>
      </c>
      <c r="S103" s="106">
        <v>249861.90786206894</v>
      </c>
      <c r="T103" s="106">
        <v>80</v>
      </c>
      <c r="U103" s="106">
        <v>162240</v>
      </c>
      <c r="V103" s="106">
        <v>42</v>
      </c>
      <c r="W103" s="106">
        <v>85176</v>
      </c>
      <c r="X103" s="106">
        <v>65</v>
      </c>
      <c r="Y103" s="106">
        <v>131820</v>
      </c>
      <c r="Z103" s="106">
        <v>36</v>
      </c>
      <c r="AA103" s="106">
        <v>73008</v>
      </c>
      <c r="AB103" s="106">
        <v>25</v>
      </c>
      <c r="AC103" s="106">
        <v>50700</v>
      </c>
      <c r="AD103" s="106">
        <v>36</v>
      </c>
      <c r="AE103" s="106">
        <v>73008</v>
      </c>
      <c r="AF103" s="106">
        <v>23</v>
      </c>
      <c r="AG103" s="106">
        <v>46644</v>
      </c>
      <c r="AH103" s="106">
        <v>32</v>
      </c>
      <c r="AI103" s="106">
        <v>64896</v>
      </c>
      <c r="AJ103" s="106">
        <v>37</v>
      </c>
      <c r="AK103" s="106">
        <v>75036</v>
      </c>
      <c r="AL103" s="106">
        <v>35</v>
      </c>
      <c r="AM103" s="106">
        <v>70980</v>
      </c>
      <c r="AN103" s="106">
        <v>32</v>
      </c>
      <c r="AO103" s="106">
        <v>64896</v>
      </c>
      <c r="AP103" s="106">
        <v>35</v>
      </c>
      <c r="AQ103" s="106">
        <v>70980</v>
      </c>
      <c r="AR103" s="106">
        <v>17</v>
      </c>
      <c r="AS103" s="106">
        <v>34476</v>
      </c>
      <c r="AT103" s="106">
        <v>17</v>
      </c>
      <c r="AU103" s="106">
        <v>34476</v>
      </c>
      <c r="AV103" s="106">
        <v>15</v>
      </c>
      <c r="AW103" s="106">
        <v>30420</v>
      </c>
      <c r="AX103" s="106">
        <v>12</v>
      </c>
      <c r="AY103" s="106">
        <v>24336</v>
      </c>
      <c r="AZ103" s="106">
        <v>34</v>
      </c>
      <c r="BA103" s="106">
        <v>68952</v>
      </c>
      <c r="BB103" s="106">
        <v>25</v>
      </c>
      <c r="BC103" s="106">
        <v>50700</v>
      </c>
      <c r="BD103" s="106">
        <v>24</v>
      </c>
      <c r="BE103" s="106">
        <v>48672</v>
      </c>
      <c r="BF103" s="106">
        <v>22</v>
      </c>
      <c r="BG103" s="106">
        <v>44616</v>
      </c>
      <c r="BH103" s="106">
        <v>29</v>
      </c>
      <c r="BI103" s="106">
        <v>58812</v>
      </c>
      <c r="BJ103" s="106">
        <v>45</v>
      </c>
      <c r="BK103" s="106">
        <v>91260</v>
      </c>
      <c r="BL103" s="106">
        <v>28</v>
      </c>
      <c r="BM103" s="106">
        <v>56784</v>
      </c>
      <c r="BN103" s="106">
        <v>39</v>
      </c>
      <c r="BO103" s="106">
        <v>79092</v>
      </c>
      <c r="BP103" s="106">
        <v>16</v>
      </c>
      <c r="BQ103" s="106">
        <v>32448</v>
      </c>
      <c r="BR103" s="106">
        <v>14</v>
      </c>
      <c r="BS103" s="106">
        <v>28392</v>
      </c>
      <c r="BT103" s="106">
        <v>16</v>
      </c>
      <c r="BU103" s="106">
        <v>32448</v>
      </c>
      <c r="BV103" s="106">
        <v>13</v>
      </c>
      <c r="BW103" s="106">
        <v>26364</v>
      </c>
      <c r="BX103" s="106">
        <v>46</v>
      </c>
      <c r="BY103" s="106">
        <v>93288</v>
      </c>
      <c r="BZ103" s="106">
        <v>44</v>
      </c>
      <c r="CA103" s="106">
        <v>89232</v>
      </c>
      <c r="CB103" s="106">
        <v>43</v>
      </c>
      <c r="CC103" s="106">
        <v>87204</v>
      </c>
      <c r="CD103" s="106">
        <v>30</v>
      </c>
      <c r="CE103" s="106">
        <v>60840</v>
      </c>
      <c r="CF103" s="106">
        <v>23</v>
      </c>
      <c r="CG103" s="106">
        <v>46644</v>
      </c>
      <c r="CH103" s="106">
        <v>25</v>
      </c>
      <c r="CI103" s="106">
        <v>50700</v>
      </c>
      <c r="CJ103" s="106">
        <v>26</v>
      </c>
      <c r="CK103" s="106">
        <v>52728</v>
      </c>
      <c r="CL103" s="106">
        <v>25</v>
      </c>
      <c r="CM103" s="106">
        <v>50700</v>
      </c>
      <c r="CN103" s="106">
        <v>28</v>
      </c>
      <c r="CO103" s="106">
        <v>56784</v>
      </c>
      <c r="CP103" s="106">
        <v>28</v>
      </c>
      <c r="CQ103" s="106">
        <v>56784</v>
      </c>
      <c r="CR103" s="106">
        <v>37</v>
      </c>
      <c r="CS103" s="106">
        <v>75036</v>
      </c>
      <c r="CT103" s="106">
        <v>37</v>
      </c>
      <c r="CU103" s="106">
        <v>75036</v>
      </c>
    </row>
    <row r="104" spans="2:99" x14ac:dyDescent="0.2">
      <c r="C104" s="105" t="s">
        <v>269</v>
      </c>
      <c r="D104" s="106">
        <v>54</v>
      </c>
      <c r="E104" s="106">
        <v>111909.6</v>
      </c>
      <c r="F104" s="106">
        <v>64</v>
      </c>
      <c r="G104" s="106">
        <v>132633.60000000001</v>
      </c>
      <c r="H104" s="106">
        <v>47</v>
      </c>
      <c r="I104" s="106">
        <v>97402.8</v>
      </c>
      <c r="J104" s="106">
        <v>55</v>
      </c>
      <c r="K104" s="106">
        <v>113982</v>
      </c>
      <c r="L104" s="106">
        <v>114</v>
      </c>
      <c r="M104" s="106">
        <v>236253.6</v>
      </c>
      <c r="N104" s="106">
        <v>139</v>
      </c>
      <c r="O104" s="106">
        <v>288063.60000000003</v>
      </c>
      <c r="P104" s="106">
        <v>132.6936484490399</v>
      </c>
      <c r="Q104" s="106">
        <v>274994.31704579032</v>
      </c>
      <c r="R104" s="106">
        <v>119.52827586206897</v>
      </c>
      <c r="S104" s="106">
        <v>247710.39889655175</v>
      </c>
      <c r="T104" s="106">
        <v>77</v>
      </c>
      <c r="U104" s="106">
        <v>159574.80000000002</v>
      </c>
      <c r="V104" s="106">
        <v>42</v>
      </c>
      <c r="W104" s="106">
        <v>87040.8</v>
      </c>
      <c r="X104" s="106">
        <v>76</v>
      </c>
      <c r="Y104" s="106">
        <v>157502.39999999999</v>
      </c>
      <c r="Z104" s="106">
        <v>35</v>
      </c>
      <c r="AA104" s="106">
        <v>72534</v>
      </c>
      <c r="AB104" s="106">
        <v>26</v>
      </c>
      <c r="AC104" s="106">
        <v>53882.400000000001</v>
      </c>
      <c r="AD104" s="106">
        <v>34</v>
      </c>
      <c r="AE104" s="106">
        <v>70461.600000000006</v>
      </c>
      <c r="AF104" s="106">
        <v>26</v>
      </c>
      <c r="AG104" s="106">
        <v>53882.400000000001</v>
      </c>
      <c r="AH104" s="106">
        <v>32</v>
      </c>
      <c r="AI104" s="106">
        <v>66316.800000000003</v>
      </c>
      <c r="AJ104" s="106">
        <v>31</v>
      </c>
      <c r="AK104" s="106">
        <v>64244.4</v>
      </c>
      <c r="AL104" s="106">
        <v>32</v>
      </c>
      <c r="AM104" s="106">
        <v>66316.800000000003</v>
      </c>
      <c r="AN104" s="106">
        <v>33</v>
      </c>
      <c r="AO104" s="106">
        <v>68389.2</v>
      </c>
      <c r="AP104" s="106">
        <v>35</v>
      </c>
      <c r="AQ104" s="106">
        <v>72534</v>
      </c>
      <c r="AR104" s="106">
        <v>18</v>
      </c>
      <c r="AS104" s="106">
        <v>37303.200000000004</v>
      </c>
      <c r="AT104" s="106">
        <v>17</v>
      </c>
      <c r="AU104" s="106">
        <v>35230.800000000003</v>
      </c>
      <c r="AV104" s="106">
        <v>13</v>
      </c>
      <c r="AW104" s="106">
        <v>26941.200000000001</v>
      </c>
      <c r="AX104" s="106">
        <v>12</v>
      </c>
      <c r="AY104" s="106">
        <v>24868.800000000003</v>
      </c>
      <c r="AZ104" s="106">
        <v>35</v>
      </c>
      <c r="BA104" s="106">
        <v>72534</v>
      </c>
      <c r="BB104" s="106">
        <v>29</v>
      </c>
      <c r="BC104" s="106">
        <v>60099.600000000006</v>
      </c>
      <c r="BD104" s="106">
        <v>22</v>
      </c>
      <c r="BE104" s="106">
        <v>45592.800000000003</v>
      </c>
      <c r="BF104" s="106">
        <v>24</v>
      </c>
      <c r="BG104" s="106">
        <v>49737.600000000006</v>
      </c>
      <c r="BH104" s="106">
        <v>28</v>
      </c>
      <c r="BI104" s="106">
        <v>58027.200000000004</v>
      </c>
      <c r="BJ104" s="106">
        <v>46</v>
      </c>
      <c r="BK104" s="106">
        <v>95330.400000000009</v>
      </c>
      <c r="BL104" s="106">
        <v>29</v>
      </c>
      <c r="BM104" s="106">
        <v>60099.600000000006</v>
      </c>
      <c r="BN104" s="106">
        <v>34</v>
      </c>
      <c r="BO104" s="106">
        <v>70461.600000000006</v>
      </c>
      <c r="BP104" s="106">
        <v>15</v>
      </c>
      <c r="BQ104" s="106">
        <v>31086</v>
      </c>
      <c r="BR104" s="106">
        <v>15</v>
      </c>
      <c r="BS104" s="106">
        <v>31086</v>
      </c>
      <c r="BT104" s="106">
        <v>18</v>
      </c>
      <c r="BU104" s="106">
        <v>37303.200000000004</v>
      </c>
      <c r="BV104" s="106">
        <v>15</v>
      </c>
      <c r="BW104" s="106">
        <v>31086</v>
      </c>
      <c r="BX104" s="106">
        <v>45</v>
      </c>
      <c r="BY104" s="106">
        <v>93258</v>
      </c>
      <c r="BZ104" s="106">
        <v>46</v>
      </c>
      <c r="CA104" s="106">
        <v>95330.400000000009</v>
      </c>
      <c r="CB104" s="106">
        <v>39</v>
      </c>
      <c r="CC104" s="106">
        <v>80823.600000000006</v>
      </c>
      <c r="CD104" s="106">
        <v>29</v>
      </c>
      <c r="CE104" s="106">
        <v>60099.600000000006</v>
      </c>
      <c r="CF104" s="106">
        <v>23</v>
      </c>
      <c r="CG104" s="106">
        <v>47665.200000000004</v>
      </c>
      <c r="CH104" s="106">
        <v>25</v>
      </c>
      <c r="CI104" s="106">
        <v>51810</v>
      </c>
      <c r="CJ104" s="106">
        <v>28</v>
      </c>
      <c r="CK104" s="106">
        <v>58027.200000000004</v>
      </c>
      <c r="CL104" s="106">
        <v>25</v>
      </c>
      <c r="CM104" s="106">
        <v>51810</v>
      </c>
      <c r="CN104" s="106">
        <v>31</v>
      </c>
      <c r="CO104" s="106">
        <v>64244.4</v>
      </c>
      <c r="CP104" s="106">
        <v>32</v>
      </c>
      <c r="CQ104" s="106">
        <v>66316.800000000003</v>
      </c>
      <c r="CR104" s="106">
        <v>38</v>
      </c>
      <c r="CS104" s="106">
        <v>78751.199999999997</v>
      </c>
      <c r="CT104" s="106">
        <v>35</v>
      </c>
      <c r="CU104" s="106">
        <v>72534</v>
      </c>
    </row>
    <row r="105" spans="2:99" x14ac:dyDescent="0.2">
      <c r="C105" s="105" t="s">
        <v>270</v>
      </c>
      <c r="D105" s="106">
        <v>54</v>
      </c>
      <c r="E105" s="106">
        <v>107892</v>
      </c>
      <c r="F105" s="106">
        <v>65</v>
      </c>
      <c r="G105" s="106">
        <v>129870</v>
      </c>
      <c r="H105" s="106">
        <v>52</v>
      </c>
      <c r="I105" s="106">
        <v>103896</v>
      </c>
      <c r="J105" s="106">
        <v>58</v>
      </c>
      <c r="K105" s="106">
        <v>115884</v>
      </c>
      <c r="L105" s="106">
        <v>134</v>
      </c>
      <c r="M105" s="106">
        <v>267732</v>
      </c>
      <c r="N105" s="106">
        <v>131</v>
      </c>
      <c r="O105" s="106">
        <v>261738</v>
      </c>
      <c r="P105" s="106">
        <v>120.81063515509601</v>
      </c>
      <c r="Q105" s="106">
        <v>241379.64903988183</v>
      </c>
      <c r="R105" s="106">
        <v>127.80331034482758</v>
      </c>
      <c r="S105" s="106">
        <v>255351.01406896551</v>
      </c>
      <c r="T105" s="106">
        <v>82</v>
      </c>
      <c r="U105" s="106">
        <v>163836</v>
      </c>
      <c r="V105" s="106">
        <v>41</v>
      </c>
      <c r="W105" s="106">
        <v>81918</v>
      </c>
      <c r="X105" s="106">
        <v>75</v>
      </c>
      <c r="Y105" s="106">
        <v>149850</v>
      </c>
      <c r="Z105" s="106">
        <v>42</v>
      </c>
      <c r="AA105" s="106">
        <v>83916</v>
      </c>
      <c r="AB105" s="106">
        <v>25</v>
      </c>
      <c r="AC105" s="106">
        <v>49950</v>
      </c>
      <c r="AD105" s="106">
        <v>30</v>
      </c>
      <c r="AE105" s="106">
        <v>59940</v>
      </c>
      <c r="AF105" s="106">
        <v>23</v>
      </c>
      <c r="AG105" s="106">
        <v>45954</v>
      </c>
      <c r="AH105" s="106">
        <v>29</v>
      </c>
      <c r="AI105" s="106">
        <v>57942</v>
      </c>
      <c r="AJ105" s="106">
        <v>31</v>
      </c>
      <c r="AK105" s="106">
        <v>61938</v>
      </c>
      <c r="AL105" s="106">
        <v>37</v>
      </c>
      <c r="AM105" s="106">
        <v>73926</v>
      </c>
      <c r="AN105" s="106">
        <v>31</v>
      </c>
      <c r="AO105" s="106">
        <v>61938</v>
      </c>
      <c r="AP105" s="106">
        <v>35</v>
      </c>
      <c r="AQ105" s="106">
        <v>69930</v>
      </c>
      <c r="AR105" s="106">
        <v>18</v>
      </c>
      <c r="AS105" s="106">
        <v>35964</v>
      </c>
      <c r="AT105" s="106">
        <v>17</v>
      </c>
      <c r="AU105" s="106">
        <v>33966</v>
      </c>
      <c r="AV105" s="106">
        <v>12</v>
      </c>
      <c r="AW105" s="106">
        <v>23976</v>
      </c>
      <c r="AX105" s="106">
        <v>13</v>
      </c>
      <c r="AY105" s="106">
        <v>25974</v>
      </c>
      <c r="AZ105" s="106">
        <v>37</v>
      </c>
      <c r="BA105" s="106">
        <v>73926</v>
      </c>
      <c r="BB105" s="106">
        <v>30</v>
      </c>
      <c r="BC105" s="106">
        <v>59940</v>
      </c>
      <c r="BD105" s="106">
        <v>22</v>
      </c>
      <c r="BE105" s="106">
        <v>43956</v>
      </c>
      <c r="BF105" s="106">
        <v>21</v>
      </c>
      <c r="BG105" s="106">
        <v>41958</v>
      </c>
      <c r="BH105" s="106">
        <v>25</v>
      </c>
      <c r="BI105" s="106">
        <v>49950</v>
      </c>
      <c r="BJ105" s="106">
        <v>50</v>
      </c>
      <c r="BK105" s="106">
        <v>99900</v>
      </c>
      <c r="BL105" s="106">
        <v>28</v>
      </c>
      <c r="BM105" s="106">
        <v>55944</v>
      </c>
      <c r="BN105" s="106">
        <v>35</v>
      </c>
      <c r="BO105" s="106">
        <v>69930</v>
      </c>
      <c r="BP105" s="106">
        <v>15</v>
      </c>
      <c r="BQ105" s="106">
        <v>29970</v>
      </c>
      <c r="BR105" s="106">
        <v>14</v>
      </c>
      <c r="BS105" s="106">
        <v>27972</v>
      </c>
      <c r="BT105" s="106">
        <v>16</v>
      </c>
      <c r="BU105" s="106">
        <v>31968</v>
      </c>
      <c r="BV105" s="106">
        <v>14</v>
      </c>
      <c r="BW105" s="106">
        <v>27972</v>
      </c>
      <c r="BX105" s="106">
        <v>43</v>
      </c>
      <c r="BY105" s="106">
        <v>85914</v>
      </c>
      <c r="BZ105" s="106">
        <v>44</v>
      </c>
      <c r="CA105" s="106">
        <v>87912</v>
      </c>
      <c r="CB105" s="106">
        <v>40</v>
      </c>
      <c r="CC105" s="106">
        <v>79920</v>
      </c>
      <c r="CD105" s="106">
        <v>28</v>
      </c>
      <c r="CE105" s="106">
        <v>55944</v>
      </c>
      <c r="CF105" s="106">
        <v>24</v>
      </c>
      <c r="CG105" s="106">
        <v>47952</v>
      </c>
      <c r="CH105" s="106">
        <v>23</v>
      </c>
      <c r="CI105" s="106">
        <v>45954</v>
      </c>
      <c r="CJ105" s="106">
        <v>24</v>
      </c>
      <c r="CK105" s="106">
        <v>47952</v>
      </c>
      <c r="CL105" s="106">
        <v>26</v>
      </c>
      <c r="CM105" s="106">
        <v>51948</v>
      </c>
      <c r="CN105" s="106">
        <v>28</v>
      </c>
      <c r="CO105" s="106">
        <v>55944</v>
      </c>
      <c r="CP105" s="106">
        <v>29</v>
      </c>
      <c r="CQ105" s="106">
        <v>57942</v>
      </c>
      <c r="CR105" s="106">
        <v>41</v>
      </c>
      <c r="CS105" s="106">
        <v>81918</v>
      </c>
      <c r="CT105" s="106">
        <v>41</v>
      </c>
      <c r="CU105" s="106">
        <v>81918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853</v>
      </c>
      <c r="E109" s="106">
        <f>SUM(L$6:L$19)+SUM(N$6:N$19)+SUM(P$6:P$19)+SUM(R$6:R$19)</f>
        <v>1080</v>
      </c>
      <c r="F109" s="106">
        <f>SUM(T$6:T$19)+SUM(V$6:V$19)+SUM(X$6:X$19)+SUM(Z$6:Z$19)</f>
        <v>1662.4408294422005</v>
      </c>
      <c r="G109" s="106">
        <f>SUM(AB$6:AB$19)+SUM(AD$6:AD$19)+SUM(AF$6:AF$19)+SUM(AH$6:AH$19)</f>
        <v>5420</v>
      </c>
      <c r="H109" s="106">
        <f>SUM(AJ$6:AJ$19)+SUM(AL$6:AL$19)+SUM(AN$6:AN$19)+SUM(AP$6:AP$19)</f>
        <v>2422</v>
      </c>
      <c r="I109" s="106">
        <f>SUM(AR$6:AR$19)+SUM(AT$6:AT$19)+SUM(AV$6:AV$19)+SUM(AX$6:AX$19)</f>
        <v>3461</v>
      </c>
      <c r="J109" s="106">
        <f>SUM(AZ$6:AZ$19)+SUM(BB$6:BB$19)+SUM(BD$6:BD$19)+SUM(BF$6:BF$19)</f>
        <v>2561</v>
      </c>
      <c r="K109" s="106">
        <f>SUM(BH$6:BH$19)+SUM(BJ$6:BJ$19)+SUM(BL$6:BL$19)+SUM(BN$6:BN$19)</f>
        <v>7012</v>
      </c>
      <c r="L109" s="106">
        <f>SUM(BP$6:BP$19)+SUM(BR$6:BR$19)+SUM(BT$6:BT$19)+SUM(BV$6:BV$19)</f>
        <v>5436</v>
      </c>
      <c r="M109" s="106">
        <f>SUM(BX$6:BX$19)+SUM(BZ$6:BZ$19)+SUM(CB$6:CB$19)+SUM(CD$6:CD$19)</f>
        <v>1826.9851233610052</v>
      </c>
      <c r="N109" s="106">
        <f>SUM(CF$6:CF$19)+SUM(CH$6:CH$19)+SUM(CJ$6:CJ$19)+SUM(CL$6:CL$19)</f>
        <v>369.54891648177249</v>
      </c>
      <c r="O109" s="106">
        <f>SUM(CN$6:CN$19)+SUM(CP$6:CP$19)+SUM(CR$6:CR$19)+SUM(CT$6:CT$19)</f>
        <v>2007</v>
      </c>
    </row>
    <row r="110" spans="2:99" x14ac:dyDescent="0.2">
      <c r="C110" s="105" t="s">
        <v>127</v>
      </c>
      <c r="D110" s="106">
        <f>SUM(D$20:D$36)+SUM(F$20:F$36)+SUM(H$20:H$36)+SUM(J$20:J$36)</f>
        <v>2419</v>
      </c>
      <c r="E110" s="106">
        <f>SUM(L$20:L$36)+SUM(N$20:N$36)+SUM(P$20:P$36)+SUM(R$20:R$36)</f>
        <v>3439</v>
      </c>
      <c r="F110" s="106">
        <f>SUM(T$20:T$36)+SUM(V$20:V$36)+SUM(X$20:X$36)+SUM(Z$20:Z$36)</f>
        <v>11160.436258800473</v>
      </c>
      <c r="G110" s="106">
        <f>SUM(AB$20:AB$36)+SUM(AD$20:AD$36)+SUM(AF$20:AF$36)+SUM(AH$20:AH$36)</f>
        <v>3337</v>
      </c>
      <c r="H110" s="106">
        <f>SUM(AJ$20:AJ$36)+SUM(AL$20:AL$36)+SUM(AN$20:AN$36)+SUM(AP$20:AP$36)</f>
        <v>4444</v>
      </c>
      <c r="I110" s="106">
        <f>SUM(AR$20:AR$36)+SUM(AT$20:AT$36)+SUM(AV$20:AV$36)+SUM(AX$20:AX$36)</f>
        <v>2485</v>
      </c>
      <c r="J110" s="106">
        <f>SUM(AZ$20:AZ$36)+SUM(BB$20:BB$36)+SUM(BD$20:BD$36)+SUM(BF$20:BF$36)</f>
        <v>2457</v>
      </c>
      <c r="K110" s="106">
        <f>SUM(BH$20:BH$36)+SUM(BJ$20:BJ$36)+SUM(BL$20:BL$36)+SUM(BN$20:BN$36)</f>
        <v>1879</v>
      </c>
      <c r="L110" s="106">
        <f>SUM(BP$20:BP$36)+SUM(BR$20:BR$36)+SUM(BT$20:BT$36)+SUM(BV$20:BV$36)</f>
        <v>4428</v>
      </c>
      <c r="M110" s="106">
        <f>SUM(BX$20:BX$36)+SUM(BZ$20:BZ$36)+SUM(CB$20:CB$36)+SUM(CD$20:CD$36)</f>
        <v>17930.080514896166</v>
      </c>
      <c r="N110" s="106">
        <f>SUM(CF$20:CF$36)+SUM(CH$20:CH$36)+SUM(CJ$20:CJ$36)+SUM(CL$20:CL$36)</f>
        <v>6784.523323266556</v>
      </c>
      <c r="O110" s="106">
        <f>SUM(CN$20:CN$36)+SUM(CP$20:CP$36)+SUM(CR$20:CR$36)+SUM(CT$20:CT$36)</f>
        <v>3371</v>
      </c>
    </row>
    <row r="111" spans="2:99" x14ac:dyDescent="0.2">
      <c r="C111" s="105" t="s">
        <v>128</v>
      </c>
      <c r="D111" s="106">
        <f>SUM(D$37:D$48)+SUM(F$37:F$48)+SUM(H$37:H$48)+SUM(J$37:J$48)</f>
        <v>871</v>
      </c>
      <c r="E111" s="106">
        <f>SUM(L$37:L$48)+SUM(N$37:N$48)+SUM(P$37:P$48)+SUM(R$37:R$48)</f>
        <v>3678</v>
      </c>
      <c r="F111" s="106">
        <f>SUM(T$37:T$48)+SUM(V$37:V$48)+SUM(X$37:X$48)+SUM(Z$37:Z$48)</f>
        <v>2290.3261496673722</v>
      </c>
      <c r="G111" s="106">
        <f>SUM(AB$37:AB$48)+SUM(AD$37:AD$48)+SUM(AF$37:AF$48)+SUM(AH$37:AH$48)</f>
        <v>4243</v>
      </c>
      <c r="H111" s="106">
        <f>SUM(AJ$37:AJ$48)+SUM(AL$37:AL$48)+SUM(AN$37:AN$48)+SUM(AP$37:AP$48)</f>
        <v>1859</v>
      </c>
      <c r="I111" s="106">
        <f>SUM(AR$37:AR$48)+SUM(AT$37:AT$48)+SUM(AV$37:AV$48)+SUM(AX$37:AX$48)</f>
        <v>6301</v>
      </c>
      <c r="J111" s="106">
        <f>SUM(AZ$37:AZ$48)+SUM(BB$37:BB$48)+SUM(BD$37:BD$48)+SUM(BF$37:BF$48)</f>
        <v>2022</v>
      </c>
      <c r="K111" s="106">
        <f>SUM(BH$37:BH$48)+SUM(BJ$37:BJ$48)+SUM(BL$37:BL$48)+SUM(BN$37:BN$48)</f>
        <v>2816</v>
      </c>
      <c r="L111" s="106">
        <f>SUM(BP$37:BP$48)+SUM(BR$37:BR$48)+SUM(BT$37:BT$48)+SUM(BV$37:BV$48)</f>
        <v>1875</v>
      </c>
      <c r="M111" s="106">
        <f>SUM(BX$37:BX$48)+SUM(BZ$37:BZ$48)+SUM(CB$37:CB$48)+SUM(CD$37:CD$48)</f>
        <v>599.97947829518125</v>
      </c>
      <c r="N111" s="106">
        <f>SUM(CF$37:CF$48)+SUM(CH$37:CH$48)+SUM(CJ$37:CJ$48)+SUM(CL$37:CL$48)</f>
        <v>1327.7000704124798</v>
      </c>
      <c r="O111" s="106">
        <f>SUM(CN$37:CN$48)+SUM(CP$37:CP$48)+SUM(CR$37:CR$48)+SUM(CT$37:CT$48)</f>
        <v>3931</v>
      </c>
    </row>
    <row r="112" spans="2:99" x14ac:dyDescent="0.2">
      <c r="C112" s="105" t="s">
        <v>129</v>
      </c>
      <c r="D112" s="106">
        <f>SUM(D$49:D$70)+SUM(F$49:F$70)+SUM(H$49:H$70)+SUM(J$49:J$70)</f>
        <v>1845</v>
      </c>
      <c r="E112" s="106">
        <f>SUM(L$49:L$70)+SUM(N$49:N$70)+SUM(P$49:P$70)+SUM(R$49:R$70)</f>
        <v>1681.8298179595579</v>
      </c>
      <c r="F112" s="106">
        <f>SUM(T$49:T$70)+SUM(V$49:V$70)+SUM(X$49:X$70)+SUM(Z$49:Z$70)</f>
        <v>10427.796762089956</v>
      </c>
      <c r="G112" s="106">
        <f>SUM(AB$49:AB$70)+SUM(AD$49:AD$70)+SUM(AF$49:AF$70)+SUM(AH$49:AH$70)</f>
        <v>4040</v>
      </c>
      <c r="H112" s="106">
        <f>SUM(AJ$49:AJ$70)+SUM(AL$49:AL$70)+SUM(AN$49:AN$70)+SUM(AP$49:AP$70)</f>
        <v>5345</v>
      </c>
      <c r="I112" s="106">
        <f>SUM(AR$49:AR$70)+SUM(AT$49:AT$70)+SUM(AV$49:AV$70)+SUM(AX$49:AX$70)</f>
        <v>1493</v>
      </c>
      <c r="J112" s="106">
        <f>SUM(AZ$49:AZ$70)+SUM(BB$49:BB$70)+SUM(BD$49:BD$70)+SUM(BF$49:BF$70)</f>
        <v>1840</v>
      </c>
      <c r="K112" s="106">
        <f>SUM(BH$49:BH$70)+SUM(BJ$49:BJ$70)+SUM(BL$49:BL$70)+SUM(BN$49:BN$70)</f>
        <v>2175</v>
      </c>
      <c r="L112" s="106">
        <f>SUM(BP$49:BP$70)+SUM(BR$49:BR$70)+SUM(BT$49:BT$70)+SUM(BV$49:BV$70)</f>
        <v>4175</v>
      </c>
      <c r="M112" s="106">
        <f>SUM(BX$49:BX$70)+SUM(BZ$49:BZ$70)+SUM(CB$49:CB$70)+SUM(CD$49:CD$70)</f>
        <v>882.95488344765113</v>
      </c>
      <c r="N112" s="106">
        <f>SUM(CF$49:CF$70)+SUM(CH$49:CH$70)+SUM(CJ$49:CJ$70)+SUM(CL$49:CL$70)</f>
        <v>7096.2276898391938</v>
      </c>
      <c r="O112" s="106">
        <f>SUM(CN$49:CN$70)+SUM(CP$49:CP$70)+SUM(CR$49:CR$70)+SUM(CT$49:CT$70)</f>
        <v>2500</v>
      </c>
    </row>
    <row r="113" spans="2:15" x14ac:dyDescent="0.2">
      <c r="C113" s="105" t="s">
        <v>130</v>
      </c>
      <c r="D113" s="106">
        <f>SUM(D$71:D$86)+SUM(F$71:F$86)+SUM(H$71:H$86)+SUM(J$71:J$86)</f>
        <v>8744</v>
      </c>
      <c r="E113" s="106">
        <f>SUM(L$71:L$86)+SUM(N$71:N$86)+SUM(P$71:P$86)+SUM(R$71:R$86)</f>
        <v>7524.8298485203486</v>
      </c>
      <c r="F113" s="106">
        <f>SUM(T$71:T$86)+SUM(V$71:V$86)+SUM(X$71:X$86)+SUM(Z$71:Z$86)</f>
        <v>4686</v>
      </c>
      <c r="G113" s="106">
        <f>SUM(AB$71:AB$86)+SUM(AD$71:AD$86)+SUM(AF$71:AF$86)+SUM(AH$71:AH$86)</f>
        <v>2950</v>
      </c>
      <c r="H113" s="106">
        <f>SUM(AJ$71:AJ$86)+SUM(AL$71:AL$86)+SUM(AN$71:AN$86)+SUM(AP$71:AP$86)</f>
        <v>8644</v>
      </c>
      <c r="I113" s="106">
        <f>SUM(AR$71:AR$86)+SUM(AT$71:AT$86)+SUM(AV$71:AV$86)+SUM(AX$71:AX$86)</f>
        <v>10179</v>
      </c>
      <c r="J113" s="106">
        <f>SUM(AZ$71:AZ$86)+SUM(BB$71:BB$86)+SUM(BD$71:BD$86)+SUM(BF$71:BF$86)</f>
        <v>1012</v>
      </c>
      <c r="K113" s="106">
        <f>SUM(BH$71:BH$86)+SUM(BJ$71:BJ$86)+SUM(BL$71:BL$86)+SUM(BN$71:BN$86)</f>
        <v>874</v>
      </c>
      <c r="L113" s="106">
        <f>SUM(BP$71:BP$86)+SUM(BR$71:BR$86)+SUM(BT$71:BT$86)+SUM(BV$71:BV$86)</f>
        <v>1216</v>
      </c>
      <c r="M113" s="106">
        <f>SUM(BX$71:BX$86)+SUM(BZ$71:BZ$86)+SUM(CB$71:CB$86)+SUM(CD$71:CD$86)</f>
        <v>6334</v>
      </c>
      <c r="N113" s="106">
        <f>SUM(CF$71:CF$86)+SUM(CH$71:CH$86)+SUM(CJ$71:CJ$86)+SUM(CL$71:CL$86)</f>
        <v>794</v>
      </c>
      <c r="O113" s="106">
        <f>SUM(CN$71:CN$86)+SUM(CP$71:CP$86)+SUM(CR$71:CR$86)+SUM(CT$71:CT$86)</f>
        <v>1552</v>
      </c>
    </row>
    <row r="114" spans="2:15" x14ac:dyDescent="0.2">
      <c r="C114" s="105" t="s">
        <v>131</v>
      </c>
      <c r="D114" s="106">
        <f>SUM(D$87:D$94)+SUM(F$87:F$94)+SUM(H$87:H$94)+SUM(J$87:J$94)</f>
        <v>510</v>
      </c>
      <c r="E114" s="106">
        <f>SUM(L$87:L$94)+SUM(N$87:N$94)+SUM(P$87:P$94)+SUM(R$87:R$94)</f>
        <v>845.7424267305048</v>
      </c>
      <c r="F114" s="106">
        <f>SUM(T$87:T$94)+SUM(V$87:V$94)+SUM(X$87:X$94)+SUM(Z$87:Z$94)</f>
        <v>1027</v>
      </c>
      <c r="G114" s="106">
        <f>SUM(AB$87:AB$94)+SUM(AD$87:AD$94)+SUM(AF$87:AF$94)+SUM(AH$87:AH$94)</f>
        <v>1551</v>
      </c>
      <c r="H114" s="106">
        <f>SUM(AJ$87:AJ$94)+SUM(AL$87:AL$94)+SUM(AN$87:AN$94)+SUM(AP$87:AP$94)</f>
        <v>1256</v>
      </c>
      <c r="I114" s="106">
        <f>SUM(AR$87:AR$94)+SUM(AT$87:AT$94)+SUM(AV$87:AV$94)+SUM(AX$87:AX$94)</f>
        <v>2031</v>
      </c>
      <c r="J114" s="106">
        <f>SUM(AZ$87:AZ$94)+SUM(BB$87:BB$94)+SUM(BD$87:BD$94)+SUM(BF$87:BF$94)</f>
        <v>626</v>
      </c>
      <c r="K114" s="106">
        <f>SUM(BH$87:BH$94)+SUM(BJ$87:BJ$94)+SUM(BL$87:BL$94)+SUM(BN$87:BN$94)</f>
        <v>1171</v>
      </c>
      <c r="L114" s="106">
        <f>SUM(BP$87:BP$94)+SUM(BR$87:BR$94)+SUM(BT$87:BT$94)+SUM(BV$87:BV$94)</f>
        <v>2225</v>
      </c>
      <c r="M114" s="106">
        <f>SUM(BX$87:BX$94)+SUM(BZ$87:BZ$94)+SUM(CB$87:CB$94)+SUM(CD$87:CD$94)</f>
        <v>1182</v>
      </c>
      <c r="N114" s="106">
        <f>SUM(CF$87:CF$94)+SUM(CH$87:CH$94)+SUM(CJ$87:CJ$94)+SUM(CL$87:CL$94)</f>
        <v>577</v>
      </c>
      <c r="O114" s="106">
        <f>SUM(CN$87:CN$94)+SUM(CP$87:CP$94)+SUM(CR$87:CR$94)+SUM(CT$87:CT$94)</f>
        <v>554</v>
      </c>
    </row>
    <row r="115" spans="2:15" x14ac:dyDescent="0.2">
      <c r="C115" s="105" t="s">
        <v>132</v>
      </c>
      <c r="D115" s="106">
        <f>SUM(D$95:D$105)+SUM(F$95:F$105)+SUM(H$95:H$105)+SUM(J$95:J$105)</f>
        <v>2592</v>
      </c>
      <c r="E115" s="106">
        <f>SUM(L$95:L$105)+SUM(N$95:N$105)+SUM(P$95:P$105)+SUM(R$95:R$105)</f>
        <v>5985.5979067895887</v>
      </c>
      <c r="F115" s="106">
        <f>SUM(T$95:T$105)+SUM(V$95:V$105)+SUM(X$95:X$105)+SUM(Z$95:Z$105)</f>
        <v>2608</v>
      </c>
      <c r="G115" s="106">
        <f>SUM(AB$95:AB$105)+SUM(AD$95:AD$105)+SUM(AF$95:AF$105)+SUM(AH$95:AH$105)</f>
        <v>1294</v>
      </c>
      <c r="H115" s="106">
        <f>SUM(AJ$95:AJ$105)+SUM(AL$95:AL$105)+SUM(AN$95:AN$105)+SUM(AP$95:AP$105)</f>
        <v>1512</v>
      </c>
      <c r="I115" s="106">
        <f>SUM(AR$95:AR$105)+SUM(AT$95:AT$105)+SUM(AV$95:AV$105)+SUM(AX$95:AX$105)</f>
        <v>695</v>
      </c>
      <c r="J115" s="106">
        <f>SUM(AZ$95:AZ$105)+SUM(BB$95:BB$105)+SUM(BD$95:BD$105)+SUM(BF$95:BF$105)</f>
        <v>1213</v>
      </c>
      <c r="K115" s="106">
        <f>SUM(BH$95:BH$105)+SUM(BJ$95:BJ$105)+SUM(BL$95:BL$105)+SUM(BN$95:BN$105)</f>
        <v>1582</v>
      </c>
      <c r="L115" s="106">
        <f>SUM(BP$95:BP$105)+SUM(BR$95:BR$105)+SUM(BT$95:BT$105)+SUM(BV$95:BV$105)</f>
        <v>683</v>
      </c>
      <c r="M115" s="106">
        <f>SUM(BX$95:BX$105)+SUM(BZ$95:BZ$105)+SUM(CB$95:CB$105)+SUM(CD$95:CD$105)</f>
        <v>1799</v>
      </c>
      <c r="N115" s="106">
        <f>SUM(CF$95:CF$105)+SUM(CH$95:CH$105)+SUM(CJ$95:CJ$105)+SUM(CL$95:CL$105)</f>
        <v>1082</v>
      </c>
      <c r="O115" s="106">
        <f>SUM(CN$95:CN$105)+SUM(CP$95:CP$105)+SUM(CR$95:CR$105)+SUM(CT$95:CT$105)</f>
        <v>1574</v>
      </c>
    </row>
    <row r="116" spans="2:15" x14ac:dyDescent="0.2">
      <c r="C116" s="105" t="s">
        <v>277</v>
      </c>
      <c r="D116" s="106">
        <f t="shared" ref="D116:O116" si="0">SUM(D$109:D$115)</f>
        <v>17834</v>
      </c>
      <c r="E116" s="106">
        <f t="shared" si="0"/>
        <v>24235</v>
      </c>
      <c r="F116" s="106">
        <f t="shared" si="0"/>
        <v>33862</v>
      </c>
      <c r="G116" s="106">
        <f t="shared" si="0"/>
        <v>22835</v>
      </c>
      <c r="H116" s="106">
        <f t="shared" si="0"/>
        <v>25482</v>
      </c>
      <c r="I116" s="106">
        <f t="shared" si="0"/>
        <v>26645</v>
      </c>
      <c r="J116" s="106">
        <f t="shared" si="0"/>
        <v>11731</v>
      </c>
      <c r="K116" s="106">
        <f t="shared" si="0"/>
        <v>17509</v>
      </c>
      <c r="L116" s="106">
        <f t="shared" si="0"/>
        <v>20038</v>
      </c>
      <c r="M116" s="106">
        <f t="shared" si="0"/>
        <v>30555.000000000007</v>
      </c>
      <c r="N116" s="106">
        <f t="shared" si="0"/>
        <v>18031</v>
      </c>
      <c r="O116" s="106">
        <f t="shared" si="0"/>
        <v>15489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3019714.4746823972</v>
      </c>
      <c r="E120" s="106">
        <f>E109*pricing!E6*2000</f>
        <v>3333580.9613793269</v>
      </c>
      <c r="F120" s="106">
        <f>F109*pricing!F6*2000</f>
        <v>3395659.3423230615</v>
      </c>
      <c r="G120" s="106">
        <f>G109*pricing!G6*2000</f>
        <v>8183009.0179042723</v>
      </c>
      <c r="H120" s="106">
        <f>H109*pricing!H6*2000</f>
        <v>5460393.4294054117</v>
      </c>
      <c r="I120" s="106">
        <f>I109*pricing!I6*2000</f>
        <v>7171520.7980540758</v>
      </c>
      <c r="J120" s="106">
        <f>J109*pricing!J6*2000</f>
        <v>5843495.3977527879</v>
      </c>
      <c r="K120" s="106">
        <f>K109*pricing!K6*2000</f>
        <v>10510527.174632827</v>
      </c>
      <c r="L120" s="106">
        <f>L109*pricing!L6*2000</f>
        <v>8591931.5877202973</v>
      </c>
      <c r="M120" s="106">
        <f>M109*pricing!M6*2000</f>
        <v>4049365.7324467017</v>
      </c>
      <c r="N120" s="106">
        <f>N109*pricing!N6*2000</f>
        <v>1192209.4951418934</v>
      </c>
      <c r="O120" s="106">
        <f>O109*pricing!O6*2000</f>
        <v>5150281.1696572546</v>
      </c>
    </row>
    <row r="121" spans="2:15" x14ac:dyDescent="0.2">
      <c r="C121" s="105" t="s">
        <v>127</v>
      </c>
      <c r="D121" s="106">
        <f>D110*pricing!D7*2000</f>
        <v>7295805.3675312679</v>
      </c>
      <c r="E121" s="106">
        <f>E110*pricing!E7*2000</f>
        <v>8863436.556964241</v>
      </c>
      <c r="F121" s="106">
        <f>F110*pricing!F7*2000</f>
        <v>11907850.714693794</v>
      </c>
      <c r="G121" s="106">
        <f>G110*pricing!G7*2000</f>
        <v>8436962.7025157642</v>
      </c>
      <c r="H121" s="106">
        <f>H110*pricing!H7*2000</f>
        <v>10731578.049813546</v>
      </c>
      <c r="I121" s="106">
        <f>I110*pricing!I7*2000</f>
        <v>7243692.8043979928</v>
      </c>
      <c r="J121" s="106">
        <f>J110*pricing!J7*2000</f>
        <v>7289865.1043686345</v>
      </c>
      <c r="K121" s="106">
        <f>K110*pricing!K7*2000</f>
        <v>6058602.9185661199</v>
      </c>
      <c r="L121" s="106">
        <f>L110*pricing!L7*2000</f>
        <v>10950530.397987112</v>
      </c>
      <c r="M121" s="106">
        <f>M110*pricing!M7*2000</f>
        <v>18641887.074038301</v>
      </c>
      <c r="N121" s="106">
        <f>N110*pricing!N7*2000</f>
        <v>8178731.4304934004</v>
      </c>
      <c r="O121" s="106">
        <f>O110*pricing!O7*2000</f>
        <v>9058032.8853367921</v>
      </c>
    </row>
    <row r="122" spans="2:15" x14ac:dyDescent="0.2">
      <c r="C122" s="105" t="s">
        <v>128</v>
      </c>
      <c r="D122" s="106">
        <f>D111*pricing!D8*2000</f>
        <v>2849955.6208673976</v>
      </c>
      <c r="E122" s="106">
        <f>E111*pricing!E8*2000</f>
        <v>7487780.475623331</v>
      </c>
      <c r="F122" s="106">
        <f>F111*pricing!F8*2000</f>
        <v>4197074.1645377958</v>
      </c>
      <c r="G122" s="106">
        <f>G111*pricing!G8*2000</f>
        <v>7145676.637941692</v>
      </c>
      <c r="H122" s="106">
        <f>H111*pricing!H8*2000</f>
        <v>4907986.4677732717</v>
      </c>
      <c r="I122" s="106">
        <f>I111*pricing!I8*2000</f>
        <v>8761416.2166567557</v>
      </c>
      <c r="J122" s="106">
        <f>J111*pricing!J8*2000</f>
        <v>5101399.3628723277</v>
      </c>
      <c r="K122" s="106">
        <f>K111*pricing!K8*2000</f>
        <v>5921549.6975463321</v>
      </c>
      <c r="L122" s="106">
        <f>L111*pricing!L8*2000</f>
        <v>4577875.7022973793</v>
      </c>
      <c r="M122" s="106">
        <f>M111*pricing!M8*2000</f>
        <v>2003623.1497314619</v>
      </c>
      <c r="N122" s="106">
        <f>N111*pricing!N8*2000</f>
        <v>2235567.0713652815</v>
      </c>
      <c r="O122" s="106">
        <f>O111*pricing!O8*2000</f>
        <v>7102352.4949362744</v>
      </c>
    </row>
    <row r="123" spans="2:15" x14ac:dyDescent="0.2">
      <c r="C123" s="105" t="s">
        <v>129</v>
      </c>
      <c r="D123" s="106">
        <f>D112*pricing!D9*2000</f>
        <v>6177394.8385460274</v>
      </c>
      <c r="E123" s="106">
        <f>E112*pricing!E9*2000</f>
        <v>5653806.135558879</v>
      </c>
      <c r="F123" s="106">
        <f>F112*pricing!F9*2000</f>
        <v>12108435.384626539</v>
      </c>
      <c r="G123" s="106">
        <f>G112*pricing!G9*2000</f>
        <v>9528612.4436521735</v>
      </c>
      <c r="H123" s="106">
        <f>H112*pricing!H9*2000</f>
        <v>10400064.524999594</v>
      </c>
      <c r="I123" s="106">
        <f>I112*pricing!I9*2000</f>
        <v>5367251.7046814654</v>
      </c>
      <c r="J123" s="106">
        <f>J112*pricing!J9*2000</f>
        <v>6078457.4806025792</v>
      </c>
      <c r="K123" s="106">
        <f>K112*pricing!K9*2000</f>
        <v>6585252.5372057073</v>
      </c>
      <c r="L123" s="106">
        <f>L112*pricing!L9*2000</f>
        <v>9509357.7643349208</v>
      </c>
      <c r="M123" s="106">
        <f>M112*pricing!M9*2000</f>
        <v>3172319.4073415231</v>
      </c>
      <c r="N123" s="106">
        <f>N112*pricing!N9*2000</f>
        <v>7891834.4950618688</v>
      </c>
      <c r="O123" s="106">
        <f>O112*pricing!O9*2000</f>
        <v>6530322.4593180064</v>
      </c>
    </row>
    <row r="124" spans="2:15" x14ac:dyDescent="0.2">
      <c r="C124" s="105" t="s">
        <v>130</v>
      </c>
      <c r="D124" s="106">
        <f>D113*pricing!D10*2000</f>
        <v>11731819.048852582</v>
      </c>
      <c r="E124" s="106">
        <f>E113*pricing!E10*2000</f>
        <v>10047533.726444568</v>
      </c>
      <c r="F124" s="106">
        <f>F113*pricing!F10*2000</f>
        <v>8218779.4881272819</v>
      </c>
      <c r="G124" s="106">
        <f>G113*pricing!G10*2000</f>
        <v>5701435.1164917853</v>
      </c>
      <c r="H124" s="106">
        <f>H113*pricing!H10*2000</f>
        <v>12176410.266111897</v>
      </c>
      <c r="I124" s="106">
        <f>I113*pricing!I10*2000</f>
        <v>12397264.615111211</v>
      </c>
      <c r="J124" s="106">
        <f>J113*pricing!J10*2000</f>
        <v>3326868.0223698127</v>
      </c>
      <c r="K124" s="106">
        <f>K113*pricing!K10*2000</f>
        <v>3055602.3235030756</v>
      </c>
      <c r="L124" s="106">
        <f>L113*pricing!L10*2000</f>
        <v>3750101.7482494274</v>
      </c>
      <c r="M124" s="106">
        <f>M113*pricing!M10*2000</f>
        <v>9316767.9726046436</v>
      </c>
      <c r="N124" s="106">
        <f>N113*pricing!N10*2000</f>
        <v>2822890.3489479041</v>
      </c>
      <c r="O124" s="106">
        <f>O113*pricing!O10*2000</f>
        <v>4406378.7965957783</v>
      </c>
    </row>
    <row r="125" spans="2:15" x14ac:dyDescent="0.2">
      <c r="C125" s="105" t="s">
        <v>131</v>
      </c>
      <c r="D125" s="106">
        <f>D114*pricing!D11*2000</f>
        <v>1644006.0243362319</v>
      </c>
      <c r="E125" s="106">
        <f>E114*pricing!E11*2000</f>
        <v>2121852.7204954796</v>
      </c>
      <c r="F125" s="106">
        <f>F114*pricing!F11*2000</f>
        <v>2560651.3544637766</v>
      </c>
      <c r="G125" s="106">
        <f>G114*pricing!G11*2000</f>
        <v>3048194.0465100072</v>
      </c>
      <c r="H125" s="106">
        <f>H114*pricing!H11*2000</f>
        <v>2704888.8366347435</v>
      </c>
      <c r="I125" s="106">
        <f>I114*pricing!I11*2000</f>
        <v>3266677.3337219376</v>
      </c>
      <c r="J125" s="106">
        <f>J114*pricing!J11*2000</f>
        <v>2079023.2553585907</v>
      </c>
      <c r="K125" s="106">
        <f>K114*pricing!K11*2000</f>
        <v>2639471.3596759709</v>
      </c>
      <c r="L125" s="106">
        <f>L114*pricing!L11*2000</f>
        <v>3792489.0511344322</v>
      </c>
      <c r="M125" s="106">
        <f>M114*pricing!M11*2000</f>
        <v>2841103.1150382562</v>
      </c>
      <c r="N125" s="106">
        <f>N114*pricing!N11*2000</f>
        <v>1829152.166976257</v>
      </c>
      <c r="O125" s="106">
        <f>O114*pricing!O11*2000</f>
        <v>1992726.5989330842</v>
      </c>
    </row>
    <row r="126" spans="2:15" x14ac:dyDescent="0.2">
      <c r="C126" s="105" t="s">
        <v>132</v>
      </c>
      <c r="D126" s="106">
        <f>D115*pricing!D12*2000</f>
        <v>5004254.426776086</v>
      </c>
      <c r="E126" s="106">
        <f>E115*pricing!E12*2000</f>
        <v>8027574.5020089429</v>
      </c>
      <c r="F126" s="106">
        <f>F115*pricing!F12*2000</f>
        <v>4806022.4308875427</v>
      </c>
      <c r="G126" s="106">
        <f>G115*pricing!G12*2000</f>
        <v>3491313.710395569</v>
      </c>
      <c r="H126" s="106">
        <f>H115*pricing!H12*2000</f>
        <v>3674525.5714457291</v>
      </c>
      <c r="I126" s="106">
        <f>I115*pricing!I12*2000</f>
        <v>2389091.2496654899</v>
      </c>
      <c r="J126" s="106">
        <f>J115*pricing!J12*2000</f>
        <v>2955694.7519447599</v>
      </c>
      <c r="K126" s="106">
        <f>K115*pricing!K12*2000</f>
        <v>3757952.3339942168</v>
      </c>
      <c r="L126" s="106">
        <f>L115*pricing!L12*2000</f>
        <v>2284558.3278345196</v>
      </c>
      <c r="M126" s="106">
        <f>M115*pricing!M12*2000</f>
        <v>4145668.9844296151</v>
      </c>
      <c r="N126" s="106">
        <f>N115*pricing!N12*2000</f>
        <v>3223647.2180980272</v>
      </c>
      <c r="O126" s="106">
        <f>O115*pricing!O12*2000</f>
        <v>3733170.1661450625</v>
      </c>
    </row>
    <row r="127" spans="2:15" x14ac:dyDescent="0.2">
      <c r="C127" s="105" t="s">
        <v>277</v>
      </c>
      <c r="D127" s="106">
        <f t="shared" ref="D127:O127" si="1">SUM(D$120:D$126)</f>
        <v>37722949.801591992</v>
      </c>
      <c r="E127" s="106">
        <f t="shared" si="1"/>
        <v>45535565.078474775</v>
      </c>
      <c r="F127" s="106">
        <f t="shared" si="1"/>
        <v>47194472.879659794</v>
      </c>
      <c r="G127" s="106">
        <f t="shared" si="1"/>
        <v>45535203.675411262</v>
      </c>
      <c r="H127" s="106">
        <f t="shared" si="1"/>
        <v>50055847.146184184</v>
      </c>
      <c r="I127" s="106">
        <f t="shared" si="1"/>
        <v>46596914.722288929</v>
      </c>
      <c r="J127" s="106">
        <f t="shared" si="1"/>
        <v>32674803.375269495</v>
      </c>
      <c r="K127" s="106">
        <f t="shared" si="1"/>
        <v>38528958.345124252</v>
      </c>
      <c r="L127" s="106">
        <f t="shared" si="1"/>
        <v>43456844.579558082</v>
      </c>
      <c r="M127" s="106">
        <f t="shared" si="1"/>
        <v>44170735.435630493</v>
      </c>
      <c r="N127" s="106">
        <f t="shared" si="1"/>
        <v>27374032.226084631</v>
      </c>
      <c r="O127" s="106">
        <f t="shared" si="1"/>
        <v>37973264.570922248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427861.2</v>
      </c>
      <c r="E131" s="112">
        <f>SUM(M$6:M$19)+SUM(O$6:O$19)+SUM(Q$6:Q$19)+SUM(S$6:S$19)</f>
        <v>540190.80000000005</v>
      </c>
      <c r="F131" s="112">
        <f>SUM(U$6:U$19)+SUM(W$6:W$19)+SUM(Y$6:Y$19)+SUM(AA$6:AA$19)</f>
        <v>825268.28026269784</v>
      </c>
      <c r="G131" s="112">
        <f>SUM(AC$6:AC$19)+SUM(AE$6:AE$19)+SUM(AG$6:AG$19)+SUM(AI$6:AI$19)</f>
        <v>2693527.2</v>
      </c>
      <c r="H131" s="112">
        <f>SUM(AK$6:AK$19)+SUM(AM$6:AM$19)+SUM(AO$6:AO$19)+SUM(AQ$6:AQ$19)</f>
        <v>1209163.1999999997</v>
      </c>
      <c r="I131" s="112">
        <f>SUM(AS$6:AS$19)+SUM(AU$6:AU$19)+SUM(AW$6:AW$19)+SUM(AY$6:AY$19)</f>
        <v>1728176.4</v>
      </c>
      <c r="J131" s="112">
        <f>SUM(BA$6:BA$19)+SUM(BC$6:BC$19)+SUM(BE$6:BE$19)+SUM(BG$6:BG$19)</f>
        <v>1277346</v>
      </c>
      <c r="K131" s="112">
        <f>SUM(BI$6:BI$19)+SUM(BK$6:BK$19)+SUM(BM$6:BM$19)+SUM(BO$6:BO$19)</f>
        <v>3478617.5999999996</v>
      </c>
      <c r="L131" s="112">
        <f>SUM(BQ$6:BQ$19)+SUM(BS$6:BS$19)+SUM(BU$6:BU$19)+SUM(BW$6:BW$19)</f>
        <v>2695305.6</v>
      </c>
      <c r="M131" s="112">
        <f>SUM(BY$6:BY$19)+SUM(CA$6:CA$19)+SUM(CC$6:CC$19)+SUM(CE$6:CE$19)</f>
        <v>907990.81315701804</v>
      </c>
      <c r="N131" s="112">
        <f>SUM(CG$6:CG$19)+SUM(CI$6:CI$19)+SUM(CK$6:CK$19)+SUM(CM$6:CM$19)</f>
        <v>185838.14912261008</v>
      </c>
      <c r="O131" s="112">
        <f>SUM(CO$6:CO$19)+SUM(CQ$6:CQ$19)+SUM(CS$6:CS$19)+SUM(CU$6:CU$19)</f>
        <v>1005068.3999999999</v>
      </c>
    </row>
    <row r="132" spans="2:15" x14ac:dyDescent="0.2">
      <c r="C132" s="111" t="s">
        <v>127</v>
      </c>
      <c r="D132" s="112">
        <f>SUM(E$20:E$36)+SUM(G$20:G$36)+SUM(I$20:I$36)+SUM(K$20:K$36)</f>
        <v>1023062.4</v>
      </c>
      <c r="E132" s="112">
        <f>SUM(M$20:M$36)+SUM(O$20:O$36)+SUM(Q$20:Q$36)+SUM(S$20:S$36)</f>
        <v>1450195.1999999997</v>
      </c>
      <c r="F132" s="112">
        <f>SUM(U$20:U$36)+SUM(W$20:W$36)+SUM(Y$20:Y$36)+SUM(AA$20:AA$36)</f>
        <v>4630542.7661375143</v>
      </c>
      <c r="G132" s="112">
        <f>SUM(AC$20:AC$36)+SUM(AE$20:AE$36)+SUM(AG$20:AG$36)+SUM(AI$20:AI$36)</f>
        <v>1417872</v>
      </c>
      <c r="H132" s="112">
        <f>SUM(AK$20:AK$36)+SUM(AM$20:AM$36)+SUM(AO$20:AO$36)+SUM(AQ$20:AQ$36)</f>
        <v>1878540.0000000002</v>
      </c>
      <c r="I132" s="112">
        <f>SUM(AS$20:AS$36)+SUM(AU$20:AU$36)+SUM(AW$20:AW$36)+SUM(AY$20:AY$36)</f>
        <v>1043385.6000000001</v>
      </c>
      <c r="J132" s="112">
        <f>SUM(BA$20:BA$36)+SUM(BC$20:BC$36)+SUM(BE$20:BE$36)+SUM(BG$20:BG$36)</f>
        <v>1042066.8</v>
      </c>
      <c r="K132" s="112">
        <f>SUM(BI$20:BI$36)+SUM(BK$20:BK$36)+SUM(BM$20:BM$36)+SUM(BO$20:BO$36)</f>
        <v>794704.79999999993</v>
      </c>
      <c r="L132" s="112">
        <f>SUM(BQ$20:BQ$36)+SUM(BS$20:BS$36)+SUM(BU$20:BU$36)+SUM(BW$20:BW$36)</f>
        <v>1868307.6</v>
      </c>
      <c r="M132" s="112">
        <f>SUM(BY$20:BY$36)+SUM(CA$20:CA$36)+SUM(CC$20:CC$36)+SUM(CE$20:CE$36)</f>
        <v>7376610.2408161154</v>
      </c>
      <c r="N132" s="112">
        <f>SUM(CG$20:CG$36)+SUM(CI$20:CI$36)+SUM(CK$20:CK$36)+SUM(CM$20:CM$36)</f>
        <v>2821326.7676426987</v>
      </c>
      <c r="O132" s="112">
        <f>SUM(CO$20:CO$36)+SUM(CQ$20:CQ$36)+SUM(CS$20:CS$36)+SUM(CU$20:CU$36)</f>
        <v>1426621.2</v>
      </c>
    </row>
    <row r="133" spans="2:15" x14ac:dyDescent="0.2">
      <c r="C133" s="111" t="s">
        <v>128</v>
      </c>
      <c r="D133" s="112">
        <f>SUM(E$37:E$48)+SUM(G$37:G$48)+SUM(I$37:I$48)+SUM(K$37:K$48)</f>
        <v>908523.6</v>
      </c>
      <c r="E133" s="112">
        <f>SUM(M$37:M$48)+SUM(O$37:O$48)+SUM(Q$37:Q$48)+SUM(S$37:S$48)</f>
        <v>3827217.5999999996</v>
      </c>
      <c r="F133" s="112">
        <f>SUM(U$37:U$48)+SUM(W$37:W$48)+SUM(Y$37:Y$48)+SUM(AA$37:AA$48)</f>
        <v>2368568.357404856</v>
      </c>
      <c r="G133" s="112">
        <f>SUM(AC$37:AC$48)+SUM(AE$37:AE$48)+SUM(AG$37:AG$48)+SUM(AI$37:AI$48)</f>
        <v>4404273.5999999996</v>
      </c>
      <c r="H133" s="112">
        <f>SUM(AK$37:AK$48)+SUM(AM$37:AM$48)+SUM(AO$37:AO$48)+SUM(AQ$37:AQ$48)</f>
        <v>1937951.9999999998</v>
      </c>
      <c r="I133" s="112">
        <f>SUM(AS$37:AS$48)+SUM(AU$37:AU$48)+SUM(AW$37:AW$48)+SUM(AY$37:AY$48)</f>
        <v>6513402</v>
      </c>
      <c r="J133" s="112">
        <f>SUM(BA$37:BA$48)+SUM(BC$37:BC$48)+SUM(BE$37:BE$48)+SUM(BG$37:BG$48)</f>
        <v>2101509.5999999996</v>
      </c>
      <c r="K133" s="112">
        <f>SUM(BI$37:BI$48)+SUM(BK$37:BK$48)+SUM(BM$37:BM$48)+SUM(BO$37:BO$48)</f>
        <v>2930546.4</v>
      </c>
      <c r="L133" s="112">
        <f>SUM(BQ$37:BQ$48)+SUM(BS$37:BS$48)+SUM(BU$37:BU$48)+SUM(BW$37:BW$48)</f>
        <v>1954448.3999999997</v>
      </c>
      <c r="M133" s="112">
        <f>SUM(BY$37:BY$48)+SUM(CA$37:CA$48)+SUM(CC$37:CC$48)+SUM(CE$37:CE$48)</f>
        <v>627986.12399583636</v>
      </c>
      <c r="N133" s="112">
        <f>SUM(CG$37:CG$48)+SUM(CI$37:CI$48)+SUM(CK$37:CK$48)+SUM(CM$37:CM$48)</f>
        <v>1375904.5633822528</v>
      </c>
      <c r="O133" s="112">
        <f>SUM(CO$37:CO$48)+SUM(CQ$37:CQ$48)+SUM(CS$37:CS$48)+SUM(CU$37:CU$48)</f>
        <v>4079438.4000000004</v>
      </c>
    </row>
    <row r="134" spans="2:15" x14ac:dyDescent="0.2">
      <c r="C134" s="111" t="s">
        <v>129</v>
      </c>
      <c r="D134" s="112">
        <f>SUM(E$49:E$70)+SUM(G$49:G$70)+SUM(I$49:I$70)+SUM(K$49:K$70)</f>
        <v>1549005.5999999999</v>
      </c>
      <c r="E134" s="112">
        <f>SUM(M$49:M$70)+SUM(O$49:O$70)+SUM(Q$49:Q$70)+SUM(S$49:S$70)</f>
        <v>1411184.9102468702</v>
      </c>
      <c r="F134" s="112">
        <f>SUM(U$49:U$70)+SUM(W$49:W$70)+SUM(Y$49:Y$70)+SUM(AA$49:AA$70)</f>
        <v>8772395.8340236805</v>
      </c>
      <c r="G134" s="112">
        <f>SUM(AC$49:AC$70)+SUM(AE$49:AE$70)+SUM(AG$49:AG$70)+SUM(AI$49:AI$70)</f>
        <v>3364550.3999999994</v>
      </c>
      <c r="H134" s="112">
        <f>SUM(AK$49:AK$70)+SUM(AM$49:AM$70)+SUM(AO$49:AO$70)+SUM(AQ$49:AQ$70)</f>
        <v>4431855.5999999996</v>
      </c>
      <c r="I134" s="112">
        <f>SUM(AS$49:AS$70)+SUM(AU$49:AU$70)+SUM(AW$49:AW$70)+SUM(AY$49:AY$70)</f>
        <v>1253947.2000000002</v>
      </c>
      <c r="J134" s="112">
        <f>SUM(BA$49:BA$70)+SUM(BC$49:BC$70)+SUM(BE$49:BE$70)+SUM(BG$49:BG$70)</f>
        <v>1552730.4</v>
      </c>
      <c r="K134" s="112">
        <f>SUM(BI$49:BI$70)+SUM(BK$49:BK$70)+SUM(BM$49:BM$70)+SUM(BO$49:BO$70)</f>
        <v>1825826.4</v>
      </c>
      <c r="L134" s="112">
        <f>SUM(BQ$49:BQ$70)+SUM(BS$49:BS$70)+SUM(BU$49:BU$70)+SUM(BW$49:BW$70)</f>
        <v>3482937.5999999996</v>
      </c>
      <c r="M134" s="112">
        <f>SUM(BY$49:BY$70)+SUM(CA$49:CA$70)+SUM(CC$49:CC$70)+SUM(CE$49:CE$70)</f>
        <v>767369.4775625068</v>
      </c>
      <c r="N134" s="112">
        <f>SUM(CG$49:CG$70)+SUM(CI$49:CI$70)+SUM(CK$49:CK$70)+SUM(CM$49:CM$70)</f>
        <v>6187608.9234775119</v>
      </c>
      <c r="O134" s="112">
        <f>SUM(CO$49:CO$70)+SUM(CQ$49:CQ$70)+SUM(CS$49:CS$70)+SUM(CU$49:CU$70)</f>
        <v>2088309.6</v>
      </c>
    </row>
    <row r="135" spans="2:15" x14ac:dyDescent="0.2">
      <c r="C135" s="111" t="s">
        <v>130</v>
      </c>
      <c r="D135" s="112">
        <f>SUM(E$71:E$86)+SUM(G$71:G$86)+SUM(I$71:I$86)+SUM(K$71:K$86)</f>
        <v>4794108</v>
      </c>
      <c r="E135" s="112">
        <f>SUM(M$71:M$86)+SUM(O$71:O$86)+SUM(Q$71:Q$86)+SUM(S$71:S$86)</f>
        <v>4104590.0309283342</v>
      </c>
      <c r="F135" s="112">
        <f>SUM(U$71:U$86)+SUM(W$71:W$86)+SUM(Y$71:Y$86)+SUM(AA$71:AA$86)</f>
        <v>2564678.4</v>
      </c>
      <c r="G135" s="112">
        <f>SUM(AC$71:AC$86)+SUM(AE$71:AE$86)+SUM(AG$71:AG$86)+SUM(AI$71:AI$86)</f>
        <v>1615944</v>
      </c>
      <c r="H135" s="112">
        <f>SUM(AK$71:AK$86)+SUM(AM$71:AM$86)+SUM(AO$71:AO$86)+SUM(AQ$71:AQ$86)</f>
        <v>4714886.3999999994</v>
      </c>
      <c r="I135" s="112">
        <f>SUM(AS$71:AS$86)+SUM(AU$71:AU$86)+SUM(AW$71:AW$86)+SUM(AY$71:AY$86)</f>
        <v>5536812</v>
      </c>
      <c r="J135" s="112">
        <f>SUM(BA$71:BA$86)+SUM(BC$71:BC$86)+SUM(BE$71:BE$86)+SUM(BG$71:BG$86)</f>
        <v>561608.39999999991</v>
      </c>
      <c r="K135" s="112">
        <f>SUM(BI$71:BI$86)+SUM(BK$71:BK$86)+SUM(BM$71:BM$86)+SUM(BO$71:BO$86)</f>
        <v>485842.8</v>
      </c>
      <c r="L135" s="112">
        <f>SUM(BQ$71:BQ$86)+SUM(BS$71:BS$86)+SUM(BU$71:BU$86)+SUM(BW$71:BW$86)</f>
        <v>674852.39999999991</v>
      </c>
      <c r="M135" s="112">
        <f>SUM(BY$71:BY$86)+SUM(CA$71:CA$86)+SUM(CC$71:CC$86)+SUM(CE$71:CE$86)</f>
        <v>3451543.1999999997</v>
      </c>
      <c r="N135" s="112">
        <f>SUM(CG$71:CG$86)+SUM(CI$71:CI$86)+SUM(CK$71:CK$86)+SUM(CM$71:CM$86)</f>
        <v>443656.79999999993</v>
      </c>
      <c r="O135" s="112">
        <f>SUM(CO$71:CO$86)+SUM(CQ$71:CQ$86)+SUM(CS$71:CS$86)+SUM(CU$71:CU$86)</f>
        <v>857248.79999999993</v>
      </c>
    </row>
    <row r="136" spans="2:15" x14ac:dyDescent="0.2">
      <c r="C136" s="111" t="s">
        <v>131</v>
      </c>
      <c r="D136" s="112">
        <f>SUM(E$87:E$94)+SUM(G$87:G$94)+SUM(I$87:I$94)+SUM(K$87:K$94)</f>
        <v>1034179.2</v>
      </c>
      <c r="E136" s="112">
        <f>SUM(M$87:M$94)+SUM(O$87:O$94)+SUM(Q$87:Q$94)+SUM(S$87:S$94)</f>
        <v>1705646.0344748534</v>
      </c>
      <c r="F136" s="112">
        <f>SUM(U$87:U$94)+SUM(W$87:W$94)+SUM(Y$87:Y$94)+SUM(AA$87:AA$94)</f>
        <v>2073087.6</v>
      </c>
      <c r="G136" s="112">
        <f>SUM(AC$87:AC$94)+SUM(AE$87:AE$94)+SUM(AG$87:AG$94)+SUM(AI$87:AI$94)</f>
        <v>3128088</v>
      </c>
      <c r="H136" s="112">
        <f>SUM(AK$87:AK$94)+SUM(AM$87:AM$94)+SUM(AO$87:AO$94)+SUM(AQ$87:AQ$94)</f>
        <v>2538603.6</v>
      </c>
      <c r="I136" s="112">
        <f>SUM(AS$87:AS$94)+SUM(AU$87:AU$94)+SUM(AW$87:AW$94)+SUM(AY$87:AY$94)</f>
        <v>4104522</v>
      </c>
      <c r="J136" s="112">
        <f>SUM(BA$87:BA$94)+SUM(BC$87:BC$94)+SUM(BE$87:BE$94)+SUM(BG$87:BG$94)</f>
        <v>1267711.2000000002</v>
      </c>
      <c r="K136" s="112">
        <f>SUM(BI$87:BI$94)+SUM(BK$87:BK$94)+SUM(BM$87:BM$94)+SUM(BO$87:BO$94)</f>
        <v>2363704.7999999998</v>
      </c>
      <c r="L136" s="112">
        <f>SUM(BQ$87:BQ$94)+SUM(BS$87:BS$94)+SUM(BU$87:BU$94)+SUM(BW$87:BW$94)</f>
        <v>4497609.5999999996</v>
      </c>
      <c r="M136" s="112">
        <f>SUM(BY$87:BY$94)+SUM(CA$87:CA$94)+SUM(CC$87:CC$94)+SUM(CE$87:CE$94)</f>
        <v>2393804.4</v>
      </c>
      <c r="N136" s="112">
        <f>SUM(CG$87:CG$94)+SUM(CI$87:CI$94)+SUM(CK$87:CK$94)+SUM(CM$87:CM$94)</f>
        <v>1170660</v>
      </c>
      <c r="O136" s="112">
        <f>SUM(CO$87:CO$94)+SUM(CQ$87:CQ$94)+SUM(CS$87:CS$94)+SUM(CU$87:CU$94)</f>
        <v>1124317.2</v>
      </c>
    </row>
    <row r="137" spans="2:15" x14ac:dyDescent="0.2">
      <c r="C137" s="111" t="s">
        <v>132</v>
      </c>
      <c r="D137" s="112">
        <f>SUM(E$95:E$105)+SUM(G$95:G$105)+SUM(I$95:I$105)+SUM(K$95:K$105)</f>
        <v>4667652</v>
      </c>
      <c r="E137" s="112">
        <f>SUM(M$95:M$105)+SUM(O$95:O$105)+SUM(Q$95:Q$105)+SUM(S$95:S$105)</f>
        <v>10449702.392792217</v>
      </c>
      <c r="F137" s="112">
        <f>SUM(U$95:U$105)+SUM(W$95:W$105)+SUM(Y$95:Y$105)+SUM(AA$95:AA$105)</f>
        <v>4677500.3999999994</v>
      </c>
      <c r="G137" s="112">
        <f>SUM(AC$95:AC$105)+SUM(AE$95:AE$105)+SUM(AG$95:AG$105)+SUM(AI$95:AI$105)</f>
        <v>2380824</v>
      </c>
      <c r="H137" s="112">
        <f>SUM(AK$95:AK$105)+SUM(AM$95:AM$105)+SUM(AO$95:AO$105)+SUM(AQ$95:AQ$105)</f>
        <v>2741174.4</v>
      </c>
      <c r="I137" s="112">
        <f>SUM(AS$95:AS$105)+SUM(AU$95:AU$105)+SUM(AW$95:AW$105)+SUM(AY$95:AY$105)</f>
        <v>1292029.2000000002</v>
      </c>
      <c r="J137" s="112">
        <f>SUM(BA$95:BA$105)+SUM(BC$95:BC$105)+SUM(BE$95:BE$105)+SUM(BG$95:BG$105)</f>
        <v>2220306</v>
      </c>
      <c r="K137" s="112">
        <f>SUM(BI$95:BI$105)+SUM(BK$95:BK$105)+SUM(BM$95:BM$105)+SUM(BO$95:BO$105)</f>
        <v>2880133.1999999997</v>
      </c>
      <c r="L137" s="112">
        <f>SUM(BQ$95:BQ$105)+SUM(BS$95:BS$105)+SUM(BU$95:BU$105)+SUM(BW$95:BW$105)</f>
        <v>1264959.5999999999</v>
      </c>
      <c r="M137" s="112">
        <f>SUM(BY$95:BY$105)+SUM(CA$95:CA$105)+SUM(CC$95:CC$105)+SUM(CE$95:CE$105)</f>
        <v>3291896.4</v>
      </c>
      <c r="N137" s="112">
        <f>SUM(CG$95:CG$105)+SUM(CI$95:CI$105)+SUM(CK$95:CK$105)+SUM(CM$95:CM$105)</f>
        <v>1992578.4</v>
      </c>
      <c r="O137" s="112">
        <f>SUM(CO$95:CO$105)+SUM(CQ$95:CQ$105)+SUM(CS$95:CS$105)+SUM(CU$95:CU$105)</f>
        <v>2867527.2</v>
      </c>
    </row>
    <row r="138" spans="2:15" x14ac:dyDescent="0.2">
      <c r="C138" s="111" t="s">
        <v>277</v>
      </c>
      <c r="D138" s="106">
        <f t="shared" ref="D138:O138" si="2">SUM(D$131:D$137)</f>
        <v>14404392</v>
      </c>
      <c r="E138" s="106">
        <f t="shared" si="2"/>
        <v>23488726.968442276</v>
      </c>
      <c r="F138" s="106">
        <f t="shared" si="2"/>
        <v>25912041.637828749</v>
      </c>
      <c r="G138" s="106">
        <f t="shared" si="2"/>
        <v>19005079.199999999</v>
      </c>
      <c r="H138" s="106">
        <f t="shared" si="2"/>
        <v>19452175.199999999</v>
      </c>
      <c r="I138" s="106">
        <f t="shared" si="2"/>
        <v>21472274.399999999</v>
      </c>
      <c r="J138" s="106">
        <f t="shared" si="2"/>
        <v>10023278.399999999</v>
      </c>
      <c r="K138" s="106">
        <f t="shared" si="2"/>
        <v>14759376</v>
      </c>
      <c r="L138" s="106">
        <f t="shared" si="2"/>
        <v>16438420.799999999</v>
      </c>
      <c r="M138" s="106">
        <f t="shared" si="2"/>
        <v>18817200.655531477</v>
      </c>
      <c r="N138" s="106">
        <f t="shared" si="2"/>
        <v>14177573.603625076</v>
      </c>
      <c r="O138" s="106">
        <f t="shared" si="2"/>
        <v>13448530.800000001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47.104606685514717</v>
      </c>
      <c r="M6" s="106">
        <v>27245.30450690171</v>
      </c>
      <c r="N6" s="106">
        <v>28.525675675675675</v>
      </c>
      <c r="O6" s="106">
        <v>16499.250810810809</v>
      </c>
      <c r="P6" s="106">
        <v>24.049196457855036</v>
      </c>
      <c r="Q6" s="106">
        <v>13910.055231223352</v>
      </c>
      <c r="R6" s="106">
        <v>24.500074250074249</v>
      </c>
      <c r="S6" s="106">
        <v>14170.842946242945</v>
      </c>
      <c r="T6" s="106">
        <v>0</v>
      </c>
      <c r="U6" s="106">
        <v>0</v>
      </c>
      <c r="V6" s="106">
        <v>4.4972402207823379</v>
      </c>
      <c r="W6" s="106">
        <v>2601.2037437005042</v>
      </c>
      <c r="X6" s="106">
        <v>0</v>
      </c>
      <c r="Y6" s="106">
        <v>0</v>
      </c>
      <c r="Z6" s="106">
        <v>6.9546165884194053</v>
      </c>
      <c r="AA6" s="106">
        <v>4022.5502347417837</v>
      </c>
      <c r="AB6" s="106">
        <v>23.641139697042558</v>
      </c>
      <c r="AC6" s="106">
        <v>13674.035200769415</v>
      </c>
      <c r="AD6" s="106">
        <v>38.015397775876821</v>
      </c>
      <c r="AE6" s="106">
        <v>21988.106073567153</v>
      </c>
      <c r="AF6" s="106">
        <v>22.918784136784609</v>
      </c>
      <c r="AG6" s="106">
        <v>13256.224744716217</v>
      </c>
      <c r="AH6" s="106">
        <v>0</v>
      </c>
      <c r="AI6" s="106">
        <v>0</v>
      </c>
      <c r="AJ6" s="106">
        <v>16.307469180565626</v>
      </c>
      <c r="AK6" s="106">
        <v>9432.2401740391579</v>
      </c>
      <c r="AL6" s="106">
        <v>0</v>
      </c>
      <c r="AM6" s="106">
        <v>0</v>
      </c>
      <c r="AN6" s="106">
        <v>17.02842497670084</v>
      </c>
      <c r="AO6" s="106">
        <v>9849.2410065237655</v>
      </c>
      <c r="AP6" s="106">
        <v>0</v>
      </c>
      <c r="AQ6" s="106">
        <v>0</v>
      </c>
      <c r="AR6" s="106">
        <v>17.760429897410848</v>
      </c>
      <c r="AS6" s="106">
        <v>10272.632652662434</v>
      </c>
      <c r="AT6" s="106">
        <v>0</v>
      </c>
      <c r="AU6" s="106">
        <v>0</v>
      </c>
      <c r="AV6" s="106">
        <v>16.870425029515939</v>
      </c>
      <c r="AW6" s="106">
        <v>9757.853837072018</v>
      </c>
      <c r="AX6" s="106">
        <v>34.613308074828318</v>
      </c>
      <c r="AY6" s="106">
        <v>20020.337390480698</v>
      </c>
      <c r="AZ6" s="106">
        <v>4.5573006383625492</v>
      </c>
      <c r="BA6" s="106">
        <v>2635.9426892288984</v>
      </c>
      <c r="BB6" s="106">
        <v>5.1321017452655031</v>
      </c>
      <c r="BC6" s="106">
        <v>2968.407649461567</v>
      </c>
      <c r="BD6" s="106">
        <v>0</v>
      </c>
      <c r="BE6" s="106">
        <v>0</v>
      </c>
      <c r="BF6" s="106">
        <v>9.7874056120070847</v>
      </c>
      <c r="BG6" s="106">
        <v>5661.0354059848978</v>
      </c>
      <c r="BH6" s="106">
        <v>31.83513289036545</v>
      </c>
      <c r="BI6" s="106">
        <v>18413.440863787375</v>
      </c>
      <c r="BJ6" s="106">
        <v>35.841331382589608</v>
      </c>
      <c r="BK6" s="106">
        <v>20730.626071689829</v>
      </c>
      <c r="BL6" s="106">
        <v>28.25847839135654</v>
      </c>
      <c r="BM6" s="106">
        <v>16344.703901560622</v>
      </c>
      <c r="BN6" s="106">
        <v>0</v>
      </c>
      <c r="BO6" s="106">
        <v>0</v>
      </c>
      <c r="BP6" s="106">
        <v>30.412928929443517</v>
      </c>
      <c r="BQ6" s="106">
        <v>17590.838092790131</v>
      </c>
      <c r="BR6" s="106">
        <v>60.18793891427935</v>
      </c>
      <c r="BS6" s="106">
        <v>34812.703868019176</v>
      </c>
      <c r="BT6" s="106">
        <v>0</v>
      </c>
      <c r="BU6" s="106">
        <v>0</v>
      </c>
      <c r="BV6" s="106">
        <v>33.240097955706986</v>
      </c>
      <c r="BW6" s="106">
        <v>19226.07265758092</v>
      </c>
      <c r="BX6" s="106">
        <v>22.585314374583426</v>
      </c>
      <c r="BY6" s="106">
        <v>13063.345834259053</v>
      </c>
      <c r="BZ6" s="106">
        <v>12.45877036375809</v>
      </c>
      <c r="CA6" s="106">
        <v>7206.152778397679</v>
      </c>
      <c r="CB6" s="106">
        <v>0</v>
      </c>
      <c r="CC6" s="106">
        <v>0</v>
      </c>
      <c r="CD6" s="106">
        <v>11.361877772301627</v>
      </c>
      <c r="CE6" s="106">
        <v>6571.7101034992611</v>
      </c>
      <c r="CF6" s="106">
        <v>8.8513736263736273</v>
      </c>
      <c r="CG6" s="106">
        <v>5119.6345054945059</v>
      </c>
      <c r="CH6" s="106">
        <v>4.1411594457112786</v>
      </c>
      <c r="CI6" s="106">
        <v>2395.2466233994032</v>
      </c>
      <c r="CJ6" s="106">
        <v>0</v>
      </c>
      <c r="CK6" s="106">
        <v>0</v>
      </c>
      <c r="CL6" s="106">
        <v>4.3372472179011607</v>
      </c>
      <c r="CM6" s="106">
        <v>2508.6637908340313</v>
      </c>
      <c r="CN6" s="106">
        <v>0</v>
      </c>
      <c r="CO6" s="106">
        <v>0</v>
      </c>
      <c r="CP6" s="106">
        <v>5.2452926208651398</v>
      </c>
      <c r="CQ6" s="106">
        <v>3033.8772519083968</v>
      </c>
      <c r="CR6" s="106">
        <v>5.1860427310729218</v>
      </c>
      <c r="CS6" s="106">
        <v>2999.6071156525777</v>
      </c>
      <c r="CT6" s="106">
        <v>9.3425696167631642</v>
      </c>
      <c r="CU6" s="106">
        <v>5403.7422663358138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48.28222185265259</v>
      </c>
      <c r="M7" s="106">
        <v>38065.703708631299</v>
      </c>
      <c r="N7" s="106">
        <v>23.885135135135137</v>
      </c>
      <c r="O7" s="106">
        <v>18831.04054054054</v>
      </c>
      <c r="P7" s="106">
        <v>21.589619547392587</v>
      </c>
      <c r="Q7" s="106">
        <v>17021.256051164317</v>
      </c>
      <c r="R7" s="106">
        <v>26.727353727353726</v>
      </c>
      <c r="S7" s="106">
        <v>21071.845678645677</v>
      </c>
      <c r="T7" s="106">
        <v>0</v>
      </c>
      <c r="U7" s="106">
        <v>0</v>
      </c>
      <c r="V7" s="106">
        <v>5.1718262538996882</v>
      </c>
      <c r="W7" s="106">
        <v>4077.4678185745142</v>
      </c>
      <c r="X7" s="106">
        <v>0</v>
      </c>
      <c r="Y7" s="106">
        <v>0</v>
      </c>
      <c r="Z7" s="106">
        <v>6.5199530516431929</v>
      </c>
      <c r="AA7" s="106">
        <v>5140.3309859154933</v>
      </c>
      <c r="AB7" s="106">
        <v>21.838001923539313</v>
      </c>
      <c r="AC7" s="106">
        <v>17217.080716518394</v>
      </c>
      <c r="AD7" s="106">
        <v>36.58982035928144</v>
      </c>
      <c r="AE7" s="106">
        <v>28847.414371257488</v>
      </c>
      <c r="AF7" s="106">
        <v>22.028734267394917</v>
      </c>
      <c r="AG7" s="106">
        <v>17367.454096414152</v>
      </c>
      <c r="AH7" s="106">
        <v>0</v>
      </c>
      <c r="AI7" s="106">
        <v>0</v>
      </c>
      <c r="AJ7" s="106">
        <v>14.608774474256709</v>
      </c>
      <c r="AK7" s="106">
        <v>11517.55779550399</v>
      </c>
      <c r="AL7" s="106">
        <v>0</v>
      </c>
      <c r="AM7" s="106">
        <v>0</v>
      </c>
      <c r="AN7" s="106">
        <v>15.718546132339235</v>
      </c>
      <c r="AO7" s="106">
        <v>12392.501770736253</v>
      </c>
      <c r="AP7" s="106">
        <v>0</v>
      </c>
      <c r="AQ7" s="106">
        <v>0</v>
      </c>
      <c r="AR7" s="106">
        <v>16.844943820224721</v>
      </c>
      <c r="AS7" s="106">
        <v>13280.553707865169</v>
      </c>
      <c r="AT7" s="106">
        <v>0</v>
      </c>
      <c r="AU7" s="106">
        <v>0</v>
      </c>
      <c r="AV7" s="106">
        <v>15.395415190869738</v>
      </c>
      <c r="AW7" s="106">
        <v>12137.745336481701</v>
      </c>
      <c r="AX7" s="106">
        <v>32.172626095192989</v>
      </c>
      <c r="AY7" s="106">
        <v>25364.898413450152</v>
      </c>
      <c r="AZ7" s="106">
        <v>4.36741311176411</v>
      </c>
      <c r="BA7" s="106">
        <v>3443.2684973148243</v>
      </c>
      <c r="BB7" s="106">
        <v>4.9581321945785373</v>
      </c>
      <c r="BC7" s="106">
        <v>3908.9914222057187</v>
      </c>
      <c r="BD7" s="106">
        <v>0</v>
      </c>
      <c r="BE7" s="106">
        <v>0</v>
      </c>
      <c r="BF7" s="106">
        <v>8.2338491656567534</v>
      </c>
      <c r="BG7" s="106">
        <v>6491.5666822037838</v>
      </c>
      <c r="BH7" s="106">
        <v>28.689368770764119</v>
      </c>
      <c r="BI7" s="106">
        <v>22618.698338870432</v>
      </c>
      <c r="BJ7" s="106">
        <v>35.475603511338697</v>
      </c>
      <c r="BK7" s="106">
        <v>27968.965808339428</v>
      </c>
      <c r="BL7" s="106">
        <v>27.508253301320526</v>
      </c>
      <c r="BM7" s="106">
        <v>21687.506902761103</v>
      </c>
      <c r="BN7" s="106">
        <v>0</v>
      </c>
      <c r="BO7" s="106">
        <v>0</v>
      </c>
      <c r="BP7" s="106">
        <v>29.984577817761217</v>
      </c>
      <c r="BQ7" s="106">
        <v>23639.841151522942</v>
      </c>
      <c r="BR7" s="106">
        <v>52.385798684650545</v>
      </c>
      <c r="BS7" s="106">
        <v>41300.963682978487</v>
      </c>
      <c r="BT7" s="106">
        <v>0</v>
      </c>
      <c r="BU7" s="106">
        <v>0</v>
      </c>
      <c r="BV7" s="106">
        <v>33.476682282793867</v>
      </c>
      <c r="BW7" s="106">
        <v>26393.016311754684</v>
      </c>
      <c r="BX7" s="106">
        <v>24.806820706509665</v>
      </c>
      <c r="BY7" s="106">
        <v>19557.697445012218</v>
      </c>
      <c r="BZ7" s="106">
        <v>12.086866770810087</v>
      </c>
      <c r="CA7" s="106">
        <v>9529.2857621066723</v>
      </c>
      <c r="CB7" s="106">
        <v>0</v>
      </c>
      <c r="CC7" s="106">
        <v>0</v>
      </c>
      <c r="CD7" s="106">
        <v>10.677427304090685</v>
      </c>
      <c r="CE7" s="106">
        <v>8418.0836865450965</v>
      </c>
      <c r="CF7" s="106">
        <v>8.546153846153846</v>
      </c>
      <c r="CG7" s="106">
        <v>6737.7876923076919</v>
      </c>
      <c r="CH7" s="106">
        <v>4.287318014383442</v>
      </c>
      <c r="CI7" s="106">
        <v>3380.1215225399055</v>
      </c>
      <c r="CJ7" s="106">
        <v>0</v>
      </c>
      <c r="CK7" s="106">
        <v>0</v>
      </c>
      <c r="CL7" s="106">
        <v>3.9384198875194447</v>
      </c>
      <c r="CM7" s="106">
        <v>3105.0502393203301</v>
      </c>
      <c r="CN7" s="106">
        <v>0</v>
      </c>
      <c r="CO7" s="106">
        <v>0</v>
      </c>
      <c r="CP7" s="106">
        <v>4.8365685205379858</v>
      </c>
      <c r="CQ7" s="106">
        <v>3813.1506215921477</v>
      </c>
      <c r="CR7" s="106">
        <v>5.960078959591268</v>
      </c>
      <c r="CS7" s="106">
        <v>4698.9262517417556</v>
      </c>
      <c r="CT7" s="106">
        <v>9.6488833746898255</v>
      </c>
      <c r="CU7" s="106">
        <v>7607.1796526054586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52.109471145850655</v>
      </c>
      <c r="M8" s="106">
        <v>16133.09226675536</v>
      </c>
      <c r="N8" s="106">
        <v>31.255405405405401</v>
      </c>
      <c r="O8" s="106">
        <v>9676.6735135135114</v>
      </c>
      <c r="P8" s="106">
        <v>28.011848146933417</v>
      </c>
      <c r="Q8" s="106">
        <v>8672.4681862905854</v>
      </c>
      <c r="R8" s="106">
        <v>29.07837095337095</v>
      </c>
      <c r="S8" s="106">
        <v>9002.6636471636448</v>
      </c>
      <c r="T8" s="106">
        <v>0</v>
      </c>
      <c r="U8" s="106">
        <v>0</v>
      </c>
      <c r="V8" s="106">
        <v>4.9469642428605711</v>
      </c>
      <c r="W8" s="106">
        <v>1531.5801295896326</v>
      </c>
      <c r="X8" s="106">
        <v>0</v>
      </c>
      <c r="Y8" s="106">
        <v>0</v>
      </c>
      <c r="Z8" s="106">
        <v>6.7372848200312987</v>
      </c>
      <c r="AA8" s="106">
        <v>2085.8633802816898</v>
      </c>
      <c r="AB8" s="106">
        <v>23.440791055542199</v>
      </c>
      <c r="AC8" s="106">
        <v>7257.268910795864</v>
      </c>
      <c r="AD8" s="106">
        <v>46.093669803250641</v>
      </c>
      <c r="AE8" s="106">
        <v>14270.600171086397</v>
      </c>
      <c r="AF8" s="106">
        <v>23.141296604132037</v>
      </c>
      <c r="AG8" s="106">
        <v>7164.5454286392778</v>
      </c>
      <c r="AH8" s="106">
        <v>0</v>
      </c>
      <c r="AI8" s="106">
        <v>0</v>
      </c>
      <c r="AJ8" s="106">
        <v>16.307469180565626</v>
      </c>
      <c r="AK8" s="106">
        <v>5048.7924583031172</v>
      </c>
      <c r="AL8" s="106">
        <v>0</v>
      </c>
      <c r="AM8" s="106">
        <v>0</v>
      </c>
      <c r="AN8" s="106">
        <v>20.084808946877914</v>
      </c>
      <c r="AO8" s="106">
        <v>6218.2568499534018</v>
      </c>
      <c r="AP8" s="106">
        <v>0</v>
      </c>
      <c r="AQ8" s="106">
        <v>0</v>
      </c>
      <c r="AR8" s="106">
        <v>20.873082559843674</v>
      </c>
      <c r="AS8" s="106">
        <v>6462.3063605276011</v>
      </c>
      <c r="AT8" s="106">
        <v>0</v>
      </c>
      <c r="AU8" s="106">
        <v>0</v>
      </c>
      <c r="AV8" s="106">
        <v>19.175127902400632</v>
      </c>
      <c r="AW8" s="106">
        <v>5936.6195985832355</v>
      </c>
      <c r="AX8" s="106">
        <v>40.382192753966372</v>
      </c>
      <c r="AY8" s="106">
        <v>12502.326876627987</v>
      </c>
      <c r="AZ8" s="106">
        <v>5.3168507447563078</v>
      </c>
      <c r="BA8" s="106">
        <v>1646.0969905765528</v>
      </c>
      <c r="BB8" s="106">
        <v>4.6101930932046047</v>
      </c>
      <c r="BC8" s="106">
        <v>1427.3157816561454</v>
      </c>
      <c r="BD8" s="106">
        <v>0</v>
      </c>
      <c r="BE8" s="106">
        <v>0</v>
      </c>
      <c r="BF8" s="106">
        <v>9.9427612566421182</v>
      </c>
      <c r="BG8" s="106">
        <v>3078.2788850563993</v>
      </c>
      <c r="BH8" s="106">
        <v>32.841777408637874</v>
      </c>
      <c r="BI8" s="106">
        <v>10167.814285714285</v>
      </c>
      <c r="BJ8" s="106">
        <v>40.108156547183611</v>
      </c>
      <c r="BK8" s="106">
        <v>12417.485267008045</v>
      </c>
      <c r="BL8" s="106">
        <v>36.135841836734691</v>
      </c>
      <c r="BM8" s="106">
        <v>11187.656632653059</v>
      </c>
      <c r="BN8" s="106">
        <v>0</v>
      </c>
      <c r="BO8" s="106">
        <v>0</v>
      </c>
      <c r="BP8" s="106">
        <v>35.87440560339288</v>
      </c>
      <c r="BQ8" s="106">
        <v>11106.715974810435</v>
      </c>
      <c r="BR8" s="106">
        <v>72.634210232972904</v>
      </c>
      <c r="BS8" s="106">
        <v>22487.551488128407</v>
      </c>
      <c r="BT8" s="106">
        <v>0</v>
      </c>
      <c r="BU8" s="106">
        <v>0</v>
      </c>
      <c r="BV8" s="106">
        <v>36.433986371379895</v>
      </c>
      <c r="BW8" s="106">
        <v>11279.962180579214</v>
      </c>
      <c r="BX8" s="106">
        <v>26.287824927793825</v>
      </c>
      <c r="BY8" s="106">
        <v>8138.7105976449675</v>
      </c>
      <c r="BZ8" s="106">
        <v>15.062095514394109</v>
      </c>
      <c r="CA8" s="106">
        <v>4663.2247712564158</v>
      </c>
      <c r="CB8" s="106">
        <v>0</v>
      </c>
      <c r="CC8" s="106">
        <v>0</v>
      </c>
      <c r="CD8" s="106">
        <v>11.635657959586004</v>
      </c>
      <c r="CE8" s="106">
        <v>3602.3997042878264</v>
      </c>
      <c r="CF8" s="106">
        <v>9.0548534798534792</v>
      </c>
      <c r="CG8" s="106">
        <v>2803.3826373626371</v>
      </c>
      <c r="CH8" s="106">
        <v>4.4334765830556035</v>
      </c>
      <c r="CI8" s="106">
        <v>1372.6043501140148</v>
      </c>
      <c r="CJ8" s="106">
        <v>0</v>
      </c>
      <c r="CK8" s="106">
        <v>0</v>
      </c>
      <c r="CL8" s="106">
        <v>5.0850484623668777</v>
      </c>
      <c r="CM8" s="106">
        <v>1574.3310039487851</v>
      </c>
      <c r="CN8" s="106">
        <v>0</v>
      </c>
      <c r="CO8" s="106">
        <v>0</v>
      </c>
      <c r="CP8" s="106">
        <v>5.2452926208651398</v>
      </c>
      <c r="CQ8" s="106">
        <v>1623.9425954198471</v>
      </c>
      <c r="CR8" s="106">
        <v>6.0374825824431024</v>
      </c>
      <c r="CS8" s="106">
        <v>1869.2046075243843</v>
      </c>
      <c r="CT8" s="106">
        <v>9.1894127377998345</v>
      </c>
      <c r="CU8" s="106">
        <v>2845.0421836228284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44.454972559454518</v>
      </c>
      <c r="M9" s="106">
        <v>31207.39073673707</v>
      </c>
      <c r="N9" s="106">
        <v>27.024324324324326</v>
      </c>
      <c r="O9" s="106">
        <v>18971.075675675678</v>
      </c>
      <c r="P9" s="106">
        <v>23.229337487700885</v>
      </c>
      <c r="Q9" s="106">
        <v>16306.994916366022</v>
      </c>
      <c r="R9" s="106">
        <v>26.974829224829225</v>
      </c>
      <c r="S9" s="106">
        <v>18936.330115830115</v>
      </c>
      <c r="T9" s="106">
        <v>0</v>
      </c>
      <c r="U9" s="106">
        <v>0</v>
      </c>
      <c r="V9" s="106">
        <v>4.7221022318214541</v>
      </c>
      <c r="W9" s="106">
        <v>3314.9157667386607</v>
      </c>
      <c r="X9" s="106">
        <v>0</v>
      </c>
      <c r="Y9" s="106">
        <v>0</v>
      </c>
      <c r="Z9" s="106">
        <v>6.5199530516431929</v>
      </c>
      <c r="AA9" s="106">
        <v>4577.0070422535218</v>
      </c>
      <c r="AB9" s="106">
        <v>21.637653282038951</v>
      </c>
      <c r="AC9" s="106">
        <v>15189.632603991344</v>
      </c>
      <c r="AD9" s="106">
        <v>37.540205303678363</v>
      </c>
      <c r="AE9" s="106">
        <v>26353.224123182212</v>
      </c>
      <c r="AF9" s="106">
        <v>19.136072191878412</v>
      </c>
      <c r="AG9" s="106">
        <v>13433.522678698646</v>
      </c>
      <c r="AH9" s="106">
        <v>0</v>
      </c>
      <c r="AI9" s="106">
        <v>0</v>
      </c>
      <c r="AJ9" s="106">
        <v>16.986947063089193</v>
      </c>
      <c r="AK9" s="106">
        <v>11924.836838288613</v>
      </c>
      <c r="AL9" s="106">
        <v>0</v>
      </c>
      <c r="AM9" s="106">
        <v>0</v>
      </c>
      <c r="AN9" s="106">
        <v>19.21155638397018</v>
      </c>
      <c r="AO9" s="106">
        <v>13486.512581547066</v>
      </c>
      <c r="AP9" s="106">
        <v>0</v>
      </c>
      <c r="AQ9" s="106">
        <v>0</v>
      </c>
      <c r="AR9" s="106">
        <v>18.675915974596972</v>
      </c>
      <c r="AS9" s="106">
        <v>13110.493014167074</v>
      </c>
      <c r="AT9" s="106">
        <v>0</v>
      </c>
      <c r="AU9" s="106">
        <v>0</v>
      </c>
      <c r="AV9" s="106">
        <v>17.146989374262102</v>
      </c>
      <c r="AW9" s="106">
        <v>12037.186540731995</v>
      </c>
      <c r="AX9" s="106">
        <v>33.28202699502723</v>
      </c>
      <c r="AY9" s="106">
        <v>23363.982950509115</v>
      </c>
      <c r="AZ9" s="106">
        <v>5.2219069814570886</v>
      </c>
      <c r="BA9" s="106">
        <v>3665.7787009828762</v>
      </c>
      <c r="BB9" s="106">
        <v>4.349238767174155</v>
      </c>
      <c r="BC9" s="106">
        <v>3053.165614556257</v>
      </c>
      <c r="BD9" s="106">
        <v>0</v>
      </c>
      <c r="BE9" s="106">
        <v>0</v>
      </c>
      <c r="BF9" s="106">
        <v>9.1659830334669525</v>
      </c>
      <c r="BG9" s="106">
        <v>6434.5200894938007</v>
      </c>
      <c r="BH9" s="106">
        <v>28.941029900332225</v>
      </c>
      <c r="BI9" s="106">
        <v>20316.602990033221</v>
      </c>
      <c r="BJ9" s="106">
        <v>34.012692026335039</v>
      </c>
      <c r="BK9" s="106">
        <v>23876.909802487196</v>
      </c>
      <c r="BL9" s="106">
        <v>30.259078631452578</v>
      </c>
      <c r="BM9" s="106">
        <v>21241.873199279711</v>
      </c>
      <c r="BN9" s="106">
        <v>0</v>
      </c>
      <c r="BO9" s="106">
        <v>0</v>
      </c>
      <c r="BP9" s="106">
        <v>28.806612260634878</v>
      </c>
      <c r="BQ9" s="106">
        <v>20222.241806965685</v>
      </c>
      <c r="BR9" s="106">
        <v>57.587225504403072</v>
      </c>
      <c r="BS9" s="106">
        <v>40426.232304090954</v>
      </c>
      <c r="BT9" s="106">
        <v>0</v>
      </c>
      <c r="BU9" s="106">
        <v>0</v>
      </c>
      <c r="BV9" s="106">
        <v>37.971784497444631</v>
      </c>
      <c r="BW9" s="106">
        <v>26656.19271720613</v>
      </c>
      <c r="BX9" s="106">
        <v>23.325816485225506</v>
      </c>
      <c r="BY9" s="106">
        <v>16374.723172628304</v>
      </c>
      <c r="BZ9" s="106">
        <v>14.132336532024102</v>
      </c>
      <c r="CA9" s="106">
        <v>9920.9002454809197</v>
      </c>
      <c r="CB9" s="106">
        <v>0</v>
      </c>
      <c r="CC9" s="106">
        <v>0</v>
      </c>
      <c r="CD9" s="106">
        <v>11.498767865943815</v>
      </c>
      <c r="CE9" s="106">
        <v>8072.1350418925585</v>
      </c>
      <c r="CF9" s="106">
        <v>8.6478937728937719</v>
      </c>
      <c r="CG9" s="106">
        <v>6070.8214285714275</v>
      </c>
      <c r="CH9" s="106">
        <v>4.628354674618488</v>
      </c>
      <c r="CI9" s="106">
        <v>3249.1049815821784</v>
      </c>
      <c r="CJ9" s="106">
        <v>0</v>
      </c>
      <c r="CK9" s="106">
        <v>0</v>
      </c>
      <c r="CL9" s="106">
        <v>4.1876869690080172</v>
      </c>
      <c r="CM9" s="106">
        <v>2939.7562522436278</v>
      </c>
      <c r="CN9" s="106">
        <v>0</v>
      </c>
      <c r="CO9" s="106">
        <v>0</v>
      </c>
      <c r="CP9" s="106">
        <v>5.1090512540894224</v>
      </c>
      <c r="CQ9" s="106">
        <v>3586.5539803707743</v>
      </c>
      <c r="CR9" s="106">
        <v>6.1148862052949378</v>
      </c>
      <c r="CS9" s="106">
        <v>4292.6501161170463</v>
      </c>
      <c r="CT9" s="106">
        <v>9.3425696167631642</v>
      </c>
      <c r="CU9" s="106">
        <v>6558.4838709677415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46.810202893730249</v>
      </c>
      <c r="M10" s="106">
        <v>25502.198536504238</v>
      </c>
      <c r="N10" s="106">
        <v>25.932432432432432</v>
      </c>
      <c r="O10" s="106">
        <v>14127.989189189188</v>
      </c>
      <c r="P10" s="106">
        <v>25.005698589701542</v>
      </c>
      <c r="Q10" s="106">
        <v>13623.104591669398</v>
      </c>
      <c r="R10" s="106">
        <v>24.995025245025246</v>
      </c>
      <c r="S10" s="106">
        <v>13617.289753489753</v>
      </c>
      <c r="T10" s="106">
        <v>0</v>
      </c>
      <c r="U10" s="106">
        <v>0</v>
      </c>
      <c r="V10" s="106">
        <v>4.9469642428605711</v>
      </c>
      <c r="W10" s="106">
        <v>2695.1061195104389</v>
      </c>
      <c r="X10" s="106">
        <v>0</v>
      </c>
      <c r="Y10" s="106">
        <v>0</v>
      </c>
      <c r="Z10" s="106">
        <v>6.0852895148669797</v>
      </c>
      <c r="AA10" s="106">
        <v>3315.2657276995301</v>
      </c>
      <c r="AB10" s="106">
        <v>22.839745131041116</v>
      </c>
      <c r="AC10" s="106">
        <v>12443.093147391199</v>
      </c>
      <c r="AD10" s="106">
        <v>41.341745081266041</v>
      </c>
      <c r="AE10" s="106">
        <v>22522.982720273736</v>
      </c>
      <c r="AF10" s="106">
        <v>19.358584659225837</v>
      </c>
      <c r="AG10" s="106">
        <v>10546.556922346235</v>
      </c>
      <c r="AH10" s="106">
        <v>0</v>
      </c>
      <c r="AI10" s="106">
        <v>0</v>
      </c>
      <c r="AJ10" s="106">
        <v>16.986947063089193</v>
      </c>
      <c r="AK10" s="106">
        <v>9254.4887599709909</v>
      </c>
      <c r="AL10" s="106">
        <v>0</v>
      </c>
      <c r="AM10" s="106">
        <v>0</v>
      </c>
      <c r="AN10" s="106">
        <v>17.901677539608574</v>
      </c>
      <c r="AO10" s="106">
        <v>9752.8339235787498</v>
      </c>
      <c r="AP10" s="106">
        <v>0</v>
      </c>
      <c r="AQ10" s="106">
        <v>0</v>
      </c>
      <c r="AR10" s="106">
        <v>20.506888128969223</v>
      </c>
      <c r="AS10" s="106">
        <v>11172.152652662431</v>
      </c>
      <c r="AT10" s="106">
        <v>0</v>
      </c>
      <c r="AU10" s="106">
        <v>0</v>
      </c>
      <c r="AV10" s="106">
        <v>18.34543486816214</v>
      </c>
      <c r="AW10" s="106">
        <v>9994.5929161747335</v>
      </c>
      <c r="AX10" s="106">
        <v>37.497750414397352</v>
      </c>
      <c r="AY10" s="106">
        <v>20428.774425763677</v>
      </c>
      <c r="AZ10" s="106">
        <v>4.5573006383625492</v>
      </c>
      <c r="BA10" s="106">
        <v>2482.8173877799168</v>
      </c>
      <c r="BB10" s="106">
        <v>5.0451169699220193</v>
      </c>
      <c r="BC10" s="106">
        <v>2748.5797252135158</v>
      </c>
      <c r="BD10" s="106">
        <v>0</v>
      </c>
      <c r="BE10" s="106">
        <v>0</v>
      </c>
      <c r="BF10" s="106">
        <v>9.4766943227370177</v>
      </c>
      <c r="BG10" s="106">
        <v>5162.9030670271268</v>
      </c>
      <c r="BH10" s="106">
        <v>32.212624584717609</v>
      </c>
      <c r="BI10" s="106">
        <v>17549.437873754152</v>
      </c>
      <c r="BJ10" s="106">
        <v>35.353694220921724</v>
      </c>
      <c r="BK10" s="106">
        <v>19260.692611558155</v>
      </c>
      <c r="BL10" s="106">
        <v>33.885166566626651</v>
      </c>
      <c r="BM10" s="106">
        <v>18460.6387454982</v>
      </c>
      <c r="BN10" s="106">
        <v>0</v>
      </c>
      <c r="BO10" s="106">
        <v>0</v>
      </c>
      <c r="BP10" s="106">
        <v>33.197211155378483</v>
      </c>
      <c r="BQ10" s="106">
        <v>18085.840637450197</v>
      </c>
      <c r="BR10" s="106">
        <v>62.045591349905251</v>
      </c>
      <c r="BS10" s="106">
        <v>33802.43816742838</v>
      </c>
      <c r="BT10" s="106">
        <v>0</v>
      </c>
      <c r="BU10" s="106">
        <v>0</v>
      </c>
      <c r="BV10" s="106">
        <v>34.068143100511072</v>
      </c>
      <c r="BW10" s="106">
        <v>18560.324361158429</v>
      </c>
      <c r="BX10" s="106">
        <v>25.917573872472786</v>
      </c>
      <c r="BY10" s="106">
        <v>14119.894245723173</v>
      </c>
      <c r="BZ10" s="106">
        <v>13.202577549654094</v>
      </c>
      <c r="CA10" s="106">
        <v>7192.76424905155</v>
      </c>
      <c r="CB10" s="106">
        <v>0</v>
      </c>
      <c r="CC10" s="106">
        <v>0</v>
      </c>
      <c r="CD10" s="106">
        <v>11.635657959586004</v>
      </c>
      <c r="CE10" s="106">
        <v>6339.1064563824539</v>
      </c>
      <c r="CF10" s="106">
        <v>7.8339743589743582</v>
      </c>
      <c r="CG10" s="106">
        <v>4267.9492307692299</v>
      </c>
      <c r="CH10" s="106">
        <v>4.5796351517277669</v>
      </c>
      <c r="CI10" s="106">
        <v>2494.985230661287</v>
      </c>
      <c r="CJ10" s="106">
        <v>0</v>
      </c>
      <c r="CK10" s="106">
        <v>0</v>
      </c>
      <c r="CL10" s="106">
        <v>4.5366608830920185</v>
      </c>
      <c r="CM10" s="106">
        <v>2471.5728491085315</v>
      </c>
      <c r="CN10" s="106">
        <v>0</v>
      </c>
      <c r="CO10" s="106">
        <v>0</v>
      </c>
      <c r="CP10" s="106">
        <v>5.5858960378044351</v>
      </c>
      <c r="CQ10" s="106">
        <v>3043.1961613958561</v>
      </c>
      <c r="CR10" s="106">
        <v>5.3408499767765907</v>
      </c>
      <c r="CS10" s="106">
        <v>2909.6950673478864</v>
      </c>
      <c r="CT10" s="106">
        <v>10.720981527433139</v>
      </c>
      <c r="CU10" s="106">
        <v>5840.7907361455736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46.810202893730249</v>
      </c>
      <c r="M11" s="106">
        <v>24940.476101779474</v>
      </c>
      <c r="N11" s="106">
        <v>27.297297297297298</v>
      </c>
      <c r="O11" s="106">
        <v>14544</v>
      </c>
      <c r="P11" s="106">
        <v>26.372130206625123</v>
      </c>
      <c r="Q11" s="106">
        <v>14051.070974089864</v>
      </c>
      <c r="R11" s="106">
        <v>26.974829224829225</v>
      </c>
      <c r="S11" s="106">
        <v>14372.18901098901</v>
      </c>
      <c r="T11" s="106">
        <v>0</v>
      </c>
      <c r="U11" s="106">
        <v>0</v>
      </c>
      <c r="V11" s="106">
        <v>4.9469642428605711</v>
      </c>
      <c r="W11" s="106">
        <v>2635.7425485961121</v>
      </c>
      <c r="X11" s="106">
        <v>0</v>
      </c>
      <c r="Y11" s="106">
        <v>0</v>
      </c>
      <c r="Z11" s="106">
        <v>6.9546165884194053</v>
      </c>
      <c r="AA11" s="106">
        <v>3705.419718309859</v>
      </c>
      <c r="AB11" s="106">
        <v>20.836258716037509</v>
      </c>
      <c r="AC11" s="106">
        <v>11101.558643904784</v>
      </c>
      <c r="AD11" s="106">
        <v>38.015397775876821</v>
      </c>
      <c r="AE11" s="106">
        <v>20254.603934987168</v>
      </c>
      <c r="AF11" s="106">
        <v>22.028734267394917</v>
      </c>
      <c r="AG11" s="106">
        <v>11736.90961766801</v>
      </c>
      <c r="AH11" s="106">
        <v>0</v>
      </c>
      <c r="AI11" s="106">
        <v>0</v>
      </c>
      <c r="AJ11" s="106">
        <v>15.967730239303846</v>
      </c>
      <c r="AK11" s="106">
        <v>8507.6066715010875</v>
      </c>
      <c r="AL11" s="106">
        <v>0</v>
      </c>
      <c r="AM11" s="106">
        <v>0</v>
      </c>
      <c r="AN11" s="106">
        <v>17.901677539608574</v>
      </c>
      <c r="AO11" s="106">
        <v>9538.0137931034478</v>
      </c>
      <c r="AP11" s="106">
        <v>0</v>
      </c>
      <c r="AQ11" s="106">
        <v>0</v>
      </c>
      <c r="AR11" s="106">
        <v>21.605471421592576</v>
      </c>
      <c r="AS11" s="106">
        <v>11511.395173424524</v>
      </c>
      <c r="AT11" s="106">
        <v>0</v>
      </c>
      <c r="AU11" s="106">
        <v>0</v>
      </c>
      <c r="AV11" s="106">
        <v>16.686048799685164</v>
      </c>
      <c r="AW11" s="106">
        <v>8890.326800472254</v>
      </c>
      <c r="AX11" s="106">
        <v>33.28202699502723</v>
      </c>
      <c r="AY11" s="106">
        <v>17732.663982950507</v>
      </c>
      <c r="AZ11" s="106">
        <v>4.46235687506333</v>
      </c>
      <c r="BA11" s="106">
        <v>2377.543743033742</v>
      </c>
      <c r="BB11" s="106">
        <v>4.8711474192350543</v>
      </c>
      <c r="BC11" s="106">
        <v>2595.3473449684366</v>
      </c>
      <c r="BD11" s="106">
        <v>0</v>
      </c>
      <c r="BE11" s="106">
        <v>0</v>
      </c>
      <c r="BF11" s="106">
        <v>8.6999160995618539</v>
      </c>
      <c r="BG11" s="106">
        <v>4635.315297846555</v>
      </c>
      <c r="BH11" s="106">
        <v>30.95431893687708</v>
      </c>
      <c r="BI11" s="106">
        <v>16492.461129568106</v>
      </c>
      <c r="BJ11" s="106">
        <v>38.035698610095103</v>
      </c>
      <c r="BK11" s="106">
        <v>20265.420219458669</v>
      </c>
      <c r="BL11" s="106">
        <v>30.634191176470591</v>
      </c>
      <c r="BM11" s="106">
        <v>16321.89705882353</v>
      </c>
      <c r="BN11" s="106">
        <v>0</v>
      </c>
      <c r="BO11" s="106">
        <v>0</v>
      </c>
      <c r="BP11" s="106">
        <v>31.483806708649276</v>
      </c>
      <c r="BQ11" s="106">
        <v>16774.572214368334</v>
      </c>
      <c r="BR11" s="106">
        <v>62.974417567718206</v>
      </c>
      <c r="BS11" s="106">
        <v>33552.769680080259</v>
      </c>
      <c r="BT11" s="106">
        <v>0</v>
      </c>
      <c r="BU11" s="106">
        <v>0</v>
      </c>
      <c r="BV11" s="106">
        <v>39.746166950596255</v>
      </c>
      <c r="BW11" s="106">
        <v>21176.757751277684</v>
      </c>
      <c r="BX11" s="106">
        <v>22.955565429904468</v>
      </c>
      <c r="BY11" s="106">
        <v>12230.7252610531</v>
      </c>
      <c r="BZ11" s="106">
        <v>12.830673956706093</v>
      </c>
      <c r="CA11" s="106">
        <v>6836.1830841330057</v>
      </c>
      <c r="CB11" s="106">
        <v>0</v>
      </c>
      <c r="CC11" s="106">
        <v>0</v>
      </c>
      <c r="CD11" s="106">
        <v>10.814317397732873</v>
      </c>
      <c r="CE11" s="106">
        <v>5761.8683095120741</v>
      </c>
      <c r="CF11" s="106">
        <v>7.8339743589743582</v>
      </c>
      <c r="CG11" s="106">
        <v>4173.9415384615377</v>
      </c>
      <c r="CH11" s="106">
        <v>4.5309156288370458</v>
      </c>
      <c r="CI11" s="106">
        <v>2414.0718470443776</v>
      </c>
      <c r="CJ11" s="106">
        <v>0</v>
      </c>
      <c r="CK11" s="106">
        <v>0</v>
      </c>
      <c r="CL11" s="106">
        <v>4.4369540504965892</v>
      </c>
      <c r="CM11" s="106">
        <v>2364.0091181045827</v>
      </c>
      <c r="CN11" s="106">
        <v>0</v>
      </c>
      <c r="CO11" s="106">
        <v>0</v>
      </c>
      <c r="CP11" s="106">
        <v>5.3134133042529985</v>
      </c>
      <c r="CQ11" s="106">
        <v>2830.9866085059975</v>
      </c>
      <c r="CR11" s="106">
        <v>5.2634463539247562</v>
      </c>
      <c r="CS11" s="106">
        <v>2804.36421737111</v>
      </c>
      <c r="CT11" s="106">
        <v>9.9551971326164885</v>
      </c>
      <c r="CU11" s="106">
        <v>5304.1290322580644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48.28222185265259</v>
      </c>
      <c r="M12" s="106">
        <v>27173.234458672876</v>
      </c>
      <c r="N12" s="106">
        <v>25.522972972972973</v>
      </c>
      <c r="O12" s="106">
        <v>14364.329189189188</v>
      </c>
      <c r="P12" s="106">
        <v>22.272835355854376</v>
      </c>
      <c r="Q12" s="106">
        <v>12535.151738274843</v>
      </c>
      <c r="R12" s="106">
        <v>26.479878229878228</v>
      </c>
      <c r="S12" s="106">
        <v>14902.875467775466</v>
      </c>
      <c r="T12" s="106">
        <v>0</v>
      </c>
      <c r="U12" s="106">
        <v>0</v>
      </c>
      <c r="V12" s="106">
        <v>4.9469642428605711</v>
      </c>
      <c r="W12" s="106">
        <v>2784.1514758819294</v>
      </c>
      <c r="X12" s="106">
        <v>0</v>
      </c>
      <c r="Y12" s="106">
        <v>0</v>
      </c>
      <c r="Z12" s="106">
        <v>6.9546165884194053</v>
      </c>
      <c r="AA12" s="106">
        <v>3914.058215962441</v>
      </c>
      <c r="AB12" s="106">
        <v>21.838001923539313</v>
      </c>
      <c r="AC12" s="106">
        <v>12290.427482567924</v>
      </c>
      <c r="AD12" s="106">
        <v>38.015397775876821</v>
      </c>
      <c r="AE12" s="106">
        <v>21395.065868263471</v>
      </c>
      <c r="AF12" s="106">
        <v>22.028734267394917</v>
      </c>
      <c r="AG12" s="106">
        <v>12397.771645689858</v>
      </c>
      <c r="AH12" s="106">
        <v>0</v>
      </c>
      <c r="AI12" s="106">
        <v>0</v>
      </c>
      <c r="AJ12" s="106">
        <v>16.986947063089193</v>
      </c>
      <c r="AK12" s="106">
        <v>9560.2538071065974</v>
      </c>
      <c r="AL12" s="106">
        <v>0</v>
      </c>
      <c r="AM12" s="106">
        <v>0</v>
      </c>
      <c r="AN12" s="106">
        <v>18.774930102516311</v>
      </c>
      <c r="AO12" s="106">
        <v>10566.530661696179</v>
      </c>
      <c r="AP12" s="106">
        <v>0</v>
      </c>
      <c r="AQ12" s="106">
        <v>0</v>
      </c>
      <c r="AR12" s="106">
        <v>19.225207620908645</v>
      </c>
      <c r="AS12" s="106">
        <v>10819.946849047385</v>
      </c>
      <c r="AT12" s="106">
        <v>0</v>
      </c>
      <c r="AU12" s="106">
        <v>0</v>
      </c>
      <c r="AV12" s="106">
        <v>18.529811097992919</v>
      </c>
      <c r="AW12" s="106">
        <v>10428.577685950415</v>
      </c>
      <c r="AX12" s="106">
        <v>36.832109874496801</v>
      </c>
      <c r="AY12" s="106">
        <v>20729.111437366799</v>
      </c>
      <c r="AZ12" s="106">
        <v>4.6522444016617692</v>
      </c>
      <c r="BA12" s="106">
        <v>2618.2831492552436</v>
      </c>
      <c r="BB12" s="106">
        <v>4.6971778685480876</v>
      </c>
      <c r="BC12" s="106">
        <v>2643.5717044188636</v>
      </c>
      <c r="BD12" s="106">
        <v>0</v>
      </c>
      <c r="BE12" s="106">
        <v>0</v>
      </c>
      <c r="BF12" s="106">
        <v>8.2338491656567534</v>
      </c>
      <c r="BG12" s="106">
        <v>4634.0103104316204</v>
      </c>
      <c r="BH12" s="106">
        <v>30.450996677740868</v>
      </c>
      <c r="BI12" s="106">
        <v>17137.820930232559</v>
      </c>
      <c r="BJ12" s="106">
        <v>33.281236283833209</v>
      </c>
      <c r="BK12" s="106">
        <v>18730.67978054133</v>
      </c>
      <c r="BL12" s="106">
        <v>30.259078631452578</v>
      </c>
      <c r="BM12" s="106">
        <v>17029.809453781509</v>
      </c>
      <c r="BN12" s="106">
        <v>0</v>
      </c>
      <c r="BO12" s="106">
        <v>0</v>
      </c>
      <c r="BP12" s="106">
        <v>31.697982264490427</v>
      </c>
      <c r="BQ12" s="106">
        <v>17839.624418455212</v>
      </c>
      <c r="BR12" s="106">
        <v>59.63064318359158</v>
      </c>
      <c r="BS12" s="106">
        <v>33560.125983725338</v>
      </c>
      <c r="BT12" s="106">
        <v>0</v>
      </c>
      <c r="BU12" s="106">
        <v>0</v>
      </c>
      <c r="BV12" s="106">
        <v>34.186435264054509</v>
      </c>
      <c r="BW12" s="106">
        <v>19240.125766609875</v>
      </c>
      <c r="BX12" s="106">
        <v>22.585314374583426</v>
      </c>
      <c r="BY12" s="106">
        <v>12711.014930015552</v>
      </c>
      <c r="BZ12" s="106">
        <v>13.946384735550101</v>
      </c>
      <c r="CA12" s="106">
        <v>7849.0253291675963</v>
      </c>
      <c r="CB12" s="106">
        <v>0</v>
      </c>
      <c r="CC12" s="106">
        <v>0</v>
      </c>
      <c r="CD12" s="106">
        <v>11.772548053228192</v>
      </c>
      <c r="CE12" s="106">
        <v>6625.5900443568262</v>
      </c>
      <c r="CF12" s="106">
        <v>8.0374542124542128</v>
      </c>
      <c r="CG12" s="106">
        <v>4523.4792307692305</v>
      </c>
      <c r="CH12" s="106">
        <v>4.5796351517277669</v>
      </c>
      <c r="CI12" s="106">
        <v>2577.4186633923869</v>
      </c>
      <c r="CJ12" s="106">
        <v>0</v>
      </c>
      <c r="CK12" s="106">
        <v>0</v>
      </c>
      <c r="CL12" s="106">
        <v>4.3372472179011607</v>
      </c>
      <c r="CM12" s="106">
        <v>2441.002734234773</v>
      </c>
      <c r="CN12" s="106">
        <v>0</v>
      </c>
      <c r="CO12" s="106">
        <v>0</v>
      </c>
      <c r="CP12" s="106">
        <v>4.9046892039258454</v>
      </c>
      <c r="CQ12" s="106">
        <v>2760.3590839694657</v>
      </c>
      <c r="CR12" s="106">
        <v>5.960078959591268</v>
      </c>
      <c r="CS12" s="106">
        <v>3354.3324384579655</v>
      </c>
      <c r="CT12" s="106">
        <v>8.8830989798731732</v>
      </c>
      <c r="CU12" s="106">
        <v>4999.4081058726215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52.698278729419592</v>
      </c>
      <c r="M13" s="106">
        <v>4489.8933477465489</v>
      </c>
      <c r="N13" s="106">
        <v>29.208108108108107</v>
      </c>
      <c r="O13" s="106">
        <v>2488.5308108108106</v>
      </c>
      <c r="P13" s="106">
        <v>28.285134470318134</v>
      </c>
      <c r="Q13" s="106">
        <v>2409.8934568711052</v>
      </c>
      <c r="R13" s="106">
        <v>30.686961686961688</v>
      </c>
      <c r="S13" s="106">
        <v>2614.5291357291358</v>
      </c>
      <c r="T13" s="106">
        <v>0</v>
      </c>
      <c r="U13" s="106">
        <v>0</v>
      </c>
      <c r="V13" s="106">
        <v>5.3966882649388044</v>
      </c>
      <c r="W13" s="106">
        <v>459.79784017278615</v>
      </c>
      <c r="X13" s="106">
        <v>0</v>
      </c>
      <c r="Y13" s="106">
        <v>0</v>
      </c>
      <c r="Z13" s="106">
        <v>7.3892801251956186</v>
      </c>
      <c r="AA13" s="106">
        <v>629.56666666666672</v>
      </c>
      <c r="AB13" s="106">
        <v>26.245672036547248</v>
      </c>
      <c r="AC13" s="106">
        <v>2236.1312575138254</v>
      </c>
      <c r="AD13" s="106">
        <v>44.192899914456802</v>
      </c>
      <c r="AE13" s="106">
        <v>3765.2350727117196</v>
      </c>
      <c r="AF13" s="106">
        <v>24.921396342911422</v>
      </c>
      <c r="AG13" s="106">
        <v>2123.3029684160533</v>
      </c>
      <c r="AH13" s="106">
        <v>0</v>
      </c>
      <c r="AI13" s="106">
        <v>0</v>
      </c>
      <c r="AJ13" s="106">
        <v>18.345902828136328</v>
      </c>
      <c r="AK13" s="106">
        <v>1563.0709209572151</v>
      </c>
      <c r="AL13" s="106">
        <v>0</v>
      </c>
      <c r="AM13" s="106">
        <v>0</v>
      </c>
      <c r="AN13" s="106">
        <v>17.465051258154705</v>
      </c>
      <c r="AO13" s="106">
        <v>1488.0223671947811</v>
      </c>
      <c r="AP13" s="106">
        <v>0</v>
      </c>
      <c r="AQ13" s="106">
        <v>0</v>
      </c>
      <c r="AR13" s="106">
        <v>20.323790913531997</v>
      </c>
      <c r="AS13" s="106">
        <v>1731.5869858329263</v>
      </c>
      <c r="AT13" s="106">
        <v>0</v>
      </c>
      <c r="AU13" s="106">
        <v>0</v>
      </c>
      <c r="AV13" s="106">
        <v>18.068870523415978</v>
      </c>
      <c r="AW13" s="106">
        <v>1539.4677685950414</v>
      </c>
      <c r="AX13" s="106">
        <v>41.713473833767466</v>
      </c>
      <c r="AY13" s="106">
        <v>3553.9879706369884</v>
      </c>
      <c r="AZ13" s="106">
        <v>4.8421319282602093</v>
      </c>
      <c r="BA13" s="106">
        <v>412.54964028776988</v>
      </c>
      <c r="BB13" s="106">
        <v>4.7841626438915714</v>
      </c>
      <c r="BC13" s="106">
        <v>407.61065725956189</v>
      </c>
      <c r="BD13" s="106">
        <v>0</v>
      </c>
      <c r="BE13" s="106">
        <v>0</v>
      </c>
      <c r="BF13" s="106">
        <v>9.1659830334669525</v>
      </c>
      <c r="BG13" s="106">
        <v>780.94175445138433</v>
      </c>
      <c r="BH13" s="106">
        <v>34.729235880398669</v>
      </c>
      <c r="BI13" s="106">
        <v>2958.9308970099669</v>
      </c>
      <c r="BJ13" s="106">
        <v>37.669970738844185</v>
      </c>
      <c r="BK13" s="106">
        <v>3209.4815069495248</v>
      </c>
      <c r="BL13" s="106">
        <v>36.010804321728692</v>
      </c>
      <c r="BM13" s="106">
        <v>3068.1205282112846</v>
      </c>
      <c r="BN13" s="106">
        <v>0</v>
      </c>
      <c r="BO13" s="106">
        <v>0</v>
      </c>
      <c r="BP13" s="106">
        <v>35.660230047551728</v>
      </c>
      <c r="BQ13" s="106">
        <v>3038.2516000514074</v>
      </c>
      <c r="BR13" s="106">
        <v>74.120332181473643</v>
      </c>
      <c r="BS13" s="106">
        <v>6315.052301861555</v>
      </c>
      <c r="BT13" s="106">
        <v>0</v>
      </c>
      <c r="BU13" s="106">
        <v>0</v>
      </c>
      <c r="BV13" s="106">
        <v>43.531516183986369</v>
      </c>
      <c r="BW13" s="106">
        <v>3708.8851788756388</v>
      </c>
      <c r="BX13" s="106">
        <v>23.325816485225506</v>
      </c>
      <c r="BY13" s="106">
        <v>1987.3595645412131</v>
      </c>
      <c r="BZ13" s="106">
        <v>15.248047310868111</v>
      </c>
      <c r="CA13" s="106">
        <v>1299.1336308859632</v>
      </c>
      <c r="CB13" s="106">
        <v>0</v>
      </c>
      <c r="CC13" s="106">
        <v>0</v>
      </c>
      <c r="CD13" s="106">
        <v>12.046328240512567</v>
      </c>
      <c r="CE13" s="106">
        <v>1026.3471660916707</v>
      </c>
      <c r="CF13" s="106">
        <v>8.8513736263736273</v>
      </c>
      <c r="CG13" s="106">
        <v>754.13703296703306</v>
      </c>
      <c r="CH13" s="106">
        <v>4.3360375372741622</v>
      </c>
      <c r="CI13" s="106">
        <v>369.43039817575863</v>
      </c>
      <c r="CJ13" s="106">
        <v>0</v>
      </c>
      <c r="CK13" s="106">
        <v>0</v>
      </c>
      <c r="CL13" s="106">
        <v>4.387100634198875</v>
      </c>
      <c r="CM13" s="106">
        <v>373.78097403374414</v>
      </c>
      <c r="CN13" s="106">
        <v>0</v>
      </c>
      <c r="CO13" s="106">
        <v>0</v>
      </c>
      <c r="CP13" s="106">
        <v>5.9264994547437295</v>
      </c>
      <c r="CQ13" s="106">
        <v>504.93775354416579</v>
      </c>
      <c r="CR13" s="106">
        <v>6.1148862052949378</v>
      </c>
      <c r="CS13" s="106">
        <v>520.98830469112875</v>
      </c>
      <c r="CT13" s="106">
        <v>10.108354011579818</v>
      </c>
      <c r="CU13" s="106">
        <v>861.2317617866006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55.05350906369533</v>
      </c>
      <c r="M14" s="106">
        <v>26888.133826708799</v>
      </c>
      <c r="N14" s="106">
        <v>28.389189189189189</v>
      </c>
      <c r="O14" s="106">
        <v>13865.279999999999</v>
      </c>
      <c r="P14" s="106">
        <v>23.229337487700885</v>
      </c>
      <c r="Q14" s="106">
        <v>11345.208428993112</v>
      </c>
      <c r="R14" s="106">
        <v>29.449584199584201</v>
      </c>
      <c r="S14" s="106">
        <v>14383.176923076924</v>
      </c>
      <c r="T14" s="106">
        <v>0</v>
      </c>
      <c r="U14" s="106">
        <v>0</v>
      </c>
      <c r="V14" s="106">
        <v>4.7221022318214541</v>
      </c>
      <c r="W14" s="106">
        <v>2306.2747300215979</v>
      </c>
      <c r="X14" s="106">
        <v>0</v>
      </c>
      <c r="Y14" s="106">
        <v>0</v>
      </c>
      <c r="Z14" s="106">
        <v>6.0852895148669797</v>
      </c>
      <c r="AA14" s="106">
        <v>2972.0553990610329</v>
      </c>
      <c r="AB14" s="106">
        <v>24.242185621543641</v>
      </c>
      <c r="AC14" s="106">
        <v>11839.883457561913</v>
      </c>
      <c r="AD14" s="106">
        <v>38.965782720273737</v>
      </c>
      <c r="AE14" s="106">
        <v>19030.888280581694</v>
      </c>
      <c r="AF14" s="106">
        <v>22.696271669437188</v>
      </c>
      <c r="AG14" s="106">
        <v>11084.859083353122</v>
      </c>
      <c r="AH14" s="106">
        <v>0</v>
      </c>
      <c r="AI14" s="106">
        <v>0</v>
      </c>
      <c r="AJ14" s="106">
        <v>16.307469180565626</v>
      </c>
      <c r="AK14" s="106">
        <v>7964.5679477882513</v>
      </c>
      <c r="AL14" s="106">
        <v>0</v>
      </c>
      <c r="AM14" s="106">
        <v>0</v>
      </c>
      <c r="AN14" s="106">
        <v>18.774930102516311</v>
      </c>
      <c r="AO14" s="106">
        <v>9169.6758620689652</v>
      </c>
      <c r="AP14" s="106">
        <v>0</v>
      </c>
      <c r="AQ14" s="106">
        <v>0</v>
      </c>
      <c r="AR14" s="106">
        <v>21.42237420615535</v>
      </c>
      <c r="AS14" s="106">
        <v>10462.687562286272</v>
      </c>
      <c r="AT14" s="106">
        <v>0</v>
      </c>
      <c r="AU14" s="106">
        <v>0</v>
      </c>
      <c r="AV14" s="106">
        <v>18.437622983077528</v>
      </c>
      <c r="AW14" s="106">
        <v>9004.9350649350636</v>
      </c>
      <c r="AX14" s="106">
        <v>39.272791854132137</v>
      </c>
      <c r="AY14" s="106">
        <v>19180.831541558135</v>
      </c>
      <c r="AZ14" s="106">
        <v>5.4117945080555279</v>
      </c>
      <c r="BA14" s="106">
        <v>2643.1204377343197</v>
      </c>
      <c r="BB14" s="106">
        <v>4.6971778685480876</v>
      </c>
      <c r="BC14" s="106">
        <v>2294.1016709988858</v>
      </c>
      <c r="BD14" s="106">
        <v>0</v>
      </c>
      <c r="BE14" s="106">
        <v>0</v>
      </c>
      <c r="BF14" s="106">
        <v>9.6320499673720512</v>
      </c>
      <c r="BG14" s="106">
        <v>4704.2932040645092</v>
      </c>
      <c r="BH14" s="106">
        <v>28.941029900332225</v>
      </c>
      <c r="BI14" s="106">
        <v>14134.799003322258</v>
      </c>
      <c r="BJ14" s="106">
        <v>39.498610095098755</v>
      </c>
      <c r="BK14" s="106">
        <v>19291.121170446229</v>
      </c>
      <c r="BL14" s="106">
        <v>30.134041116446578</v>
      </c>
      <c r="BM14" s="106">
        <v>14717.465681272508</v>
      </c>
      <c r="BN14" s="106">
        <v>0</v>
      </c>
      <c r="BO14" s="106">
        <v>0</v>
      </c>
      <c r="BP14" s="106">
        <v>33.304298933299059</v>
      </c>
      <c r="BQ14" s="106">
        <v>16265.81959902326</v>
      </c>
      <c r="BR14" s="106">
        <v>63.717478541968568</v>
      </c>
      <c r="BS14" s="106">
        <v>31119.616519897449</v>
      </c>
      <c r="BT14" s="106">
        <v>0</v>
      </c>
      <c r="BU14" s="106">
        <v>0</v>
      </c>
      <c r="BV14" s="106">
        <v>38.208368824531519</v>
      </c>
      <c r="BW14" s="106">
        <v>18660.967333901193</v>
      </c>
      <c r="BX14" s="106">
        <v>21.844812263941346</v>
      </c>
      <c r="BY14" s="106">
        <v>10669.006309708953</v>
      </c>
      <c r="BZ14" s="106">
        <v>12.45877036375809</v>
      </c>
      <c r="CA14" s="106">
        <v>6084.8634456594509</v>
      </c>
      <c r="CB14" s="106">
        <v>0</v>
      </c>
      <c r="CC14" s="106">
        <v>0</v>
      </c>
      <c r="CD14" s="106">
        <v>10.40364711680631</v>
      </c>
      <c r="CE14" s="106">
        <v>5081.1412518482011</v>
      </c>
      <c r="CF14" s="106">
        <v>8.7496336996336996</v>
      </c>
      <c r="CG14" s="106">
        <v>4273.3210989010986</v>
      </c>
      <c r="CH14" s="106">
        <v>4.0924399228205584</v>
      </c>
      <c r="CI14" s="106">
        <v>1998.7476583055607</v>
      </c>
      <c r="CJ14" s="106">
        <v>0</v>
      </c>
      <c r="CK14" s="106">
        <v>0</v>
      </c>
      <c r="CL14" s="106">
        <v>4.7360745482828763</v>
      </c>
      <c r="CM14" s="106">
        <v>2313.0988093813567</v>
      </c>
      <c r="CN14" s="106">
        <v>0</v>
      </c>
      <c r="CO14" s="106">
        <v>0</v>
      </c>
      <c r="CP14" s="106">
        <v>5.3815339876408581</v>
      </c>
      <c r="CQ14" s="106">
        <v>2628.3411995637948</v>
      </c>
      <c r="CR14" s="106">
        <v>5.2634463539247562</v>
      </c>
      <c r="CS14" s="106">
        <v>2570.6671992568508</v>
      </c>
      <c r="CT14" s="106">
        <v>10.41466776950648</v>
      </c>
      <c r="CU14" s="106">
        <v>5086.5237386269646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45.632587726592384</v>
      </c>
      <c r="M15" s="106">
        <v>34826.790952935306</v>
      </c>
      <c r="N15" s="106">
        <v>23.475675675675674</v>
      </c>
      <c r="O15" s="106">
        <v>17916.635675675672</v>
      </c>
      <c r="P15" s="106">
        <v>25.278984913086259</v>
      </c>
      <c r="Q15" s="106">
        <v>19292.921285667431</v>
      </c>
      <c r="R15" s="106">
        <v>26.479878229878228</v>
      </c>
      <c r="S15" s="106">
        <v>20209.443065043062</v>
      </c>
      <c r="T15" s="106">
        <v>0</v>
      </c>
      <c r="U15" s="106">
        <v>0</v>
      </c>
      <c r="V15" s="106">
        <v>4.7221022318214541</v>
      </c>
      <c r="W15" s="106">
        <v>3603.9084233261333</v>
      </c>
      <c r="X15" s="106">
        <v>0</v>
      </c>
      <c r="Y15" s="106">
        <v>0</v>
      </c>
      <c r="Z15" s="106">
        <v>6.3026212832550854</v>
      </c>
      <c r="AA15" s="106">
        <v>4810.160563380281</v>
      </c>
      <c r="AB15" s="106">
        <v>22.839745131041116</v>
      </c>
      <c r="AC15" s="106">
        <v>17431.293484010577</v>
      </c>
      <c r="AD15" s="106">
        <v>37.540205303678363</v>
      </c>
      <c r="AE15" s="106">
        <v>28650.684687767323</v>
      </c>
      <c r="AF15" s="106">
        <v>20.471146995962954</v>
      </c>
      <c r="AG15" s="106">
        <v>15623.579387318925</v>
      </c>
      <c r="AH15" s="106">
        <v>0</v>
      </c>
      <c r="AI15" s="106">
        <v>0</v>
      </c>
      <c r="AJ15" s="106">
        <v>16.647208121827411</v>
      </c>
      <c r="AK15" s="106">
        <v>12705.149238578679</v>
      </c>
      <c r="AL15" s="106">
        <v>0</v>
      </c>
      <c r="AM15" s="106">
        <v>0</v>
      </c>
      <c r="AN15" s="106">
        <v>17.02842497670084</v>
      </c>
      <c r="AO15" s="106">
        <v>12996.09394221808</v>
      </c>
      <c r="AP15" s="106">
        <v>0</v>
      </c>
      <c r="AQ15" s="106">
        <v>0</v>
      </c>
      <c r="AR15" s="106">
        <v>17.760429897410848</v>
      </c>
      <c r="AS15" s="106">
        <v>13554.760097703958</v>
      </c>
      <c r="AT15" s="106">
        <v>0</v>
      </c>
      <c r="AU15" s="106">
        <v>0</v>
      </c>
      <c r="AV15" s="106">
        <v>15.764167650531286</v>
      </c>
      <c r="AW15" s="106">
        <v>12031.212750885477</v>
      </c>
      <c r="AX15" s="106">
        <v>37.053990054463647</v>
      </c>
      <c r="AY15" s="106">
        <v>28279.605209566653</v>
      </c>
      <c r="AZ15" s="106">
        <v>5.0320194548586485</v>
      </c>
      <c r="BA15" s="106">
        <v>3840.4372479481203</v>
      </c>
      <c r="BB15" s="106">
        <v>4.349238767174155</v>
      </c>
      <c r="BC15" s="106">
        <v>3319.3390271073149</v>
      </c>
      <c r="BD15" s="106">
        <v>0</v>
      </c>
      <c r="BE15" s="106">
        <v>0</v>
      </c>
      <c r="BF15" s="106">
        <v>7.9231378763866882</v>
      </c>
      <c r="BG15" s="106">
        <v>6046.9388272583201</v>
      </c>
      <c r="BH15" s="106">
        <v>30.073504983388702</v>
      </c>
      <c r="BI15" s="106">
        <v>22952.099003322255</v>
      </c>
      <c r="BJ15" s="106">
        <v>34.622238478419895</v>
      </c>
      <c r="BK15" s="106">
        <v>26423.692406730061</v>
      </c>
      <c r="BL15" s="106">
        <v>27.258178271308523</v>
      </c>
      <c r="BM15" s="106">
        <v>20803.441656662664</v>
      </c>
      <c r="BN15" s="106">
        <v>0</v>
      </c>
      <c r="BO15" s="106">
        <v>0</v>
      </c>
      <c r="BP15" s="106">
        <v>29.877490039840641</v>
      </c>
      <c r="BQ15" s="106">
        <v>22802.500398406373</v>
      </c>
      <c r="BR15" s="106">
        <v>55.915338312339756</v>
      </c>
      <c r="BS15" s="106">
        <v>42674.586199977697</v>
      </c>
      <c r="BT15" s="106">
        <v>0</v>
      </c>
      <c r="BU15" s="106">
        <v>0</v>
      </c>
      <c r="BV15" s="106">
        <v>32.766929301533224</v>
      </c>
      <c r="BW15" s="106">
        <v>25007.720442930153</v>
      </c>
      <c r="BX15" s="106">
        <v>21.844812263941346</v>
      </c>
      <c r="BY15" s="106">
        <v>16671.960719840034</v>
      </c>
      <c r="BZ15" s="106">
        <v>13.202577549654094</v>
      </c>
      <c r="CA15" s="106">
        <v>10076.207185896004</v>
      </c>
      <c r="CB15" s="106">
        <v>0</v>
      </c>
      <c r="CC15" s="106">
        <v>0</v>
      </c>
      <c r="CD15" s="106">
        <v>10.677427304090685</v>
      </c>
      <c r="CE15" s="106">
        <v>8149.0125184820099</v>
      </c>
      <c r="CF15" s="106">
        <v>8.2409340659340664</v>
      </c>
      <c r="CG15" s="106">
        <v>6289.4808791208789</v>
      </c>
      <c r="CH15" s="106">
        <v>3.8001227854762321</v>
      </c>
      <c r="CI15" s="106">
        <v>2900.2537098754601</v>
      </c>
      <c r="CJ15" s="106">
        <v>0</v>
      </c>
      <c r="CK15" s="106">
        <v>0</v>
      </c>
      <c r="CL15" s="106">
        <v>4.6862211319851621</v>
      </c>
      <c r="CM15" s="106">
        <v>3576.5239679310753</v>
      </c>
      <c r="CN15" s="106">
        <v>0</v>
      </c>
      <c r="CO15" s="106">
        <v>0</v>
      </c>
      <c r="CP15" s="106">
        <v>5.3815339876408581</v>
      </c>
      <c r="CQ15" s="106">
        <v>4107.1867393675029</v>
      </c>
      <c r="CR15" s="106">
        <v>5.5730608453320949</v>
      </c>
      <c r="CS15" s="106">
        <v>4253.3600371574548</v>
      </c>
      <c r="CT15" s="106">
        <v>8.8830989798731732</v>
      </c>
      <c r="CU15" s="106">
        <v>6779.5811414392056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57.408739397971061</v>
      </c>
      <c r="M16" s="106">
        <v>19564.89838682854</v>
      </c>
      <c r="N16" s="106">
        <v>29.071621621621624</v>
      </c>
      <c r="O16" s="106">
        <v>9907.6086486486493</v>
      </c>
      <c r="P16" s="106">
        <v>25.1423417513939</v>
      </c>
      <c r="Q16" s="106">
        <v>8568.5100688750408</v>
      </c>
      <c r="R16" s="106">
        <v>29.573321948321947</v>
      </c>
      <c r="S16" s="106">
        <v>10078.588119988121</v>
      </c>
      <c r="T16" s="106">
        <v>0</v>
      </c>
      <c r="U16" s="106">
        <v>0</v>
      </c>
      <c r="V16" s="106">
        <v>4.4972402207823379</v>
      </c>
      <c r="W16" s="106">
        <v>1532.6594672426208</v>
      </c>
      <c r="X16" s="106">
        <v>0</v>
      </c>
      <c r="Y16" s="106">
        <v>0</v>
      </c>
      <c r="Z16" s="106">
        <v>6.0852895148669797</v>
      </c>
      <c r="AA16" s="106">
        <v>2073.8666666666668</v>
      </c>
      <c r="AB16" s="106">
        <v>22.439047848040396</v>
      </c>
      <c r="AC16" s="106">
        <v>7647.2275066121674</v>
      </c>
      <c r="AD16" s="106">
        <v>46.568862275449099</v>
      </c>
      <c r="AE16" s="106">
        <v>15870.668263473053</v>
      </c>
      <c r="AF16" s="106">
        <v>22.696271669437188</v>
      </c>
      <c r="AG16" s="106">
        <v>7734.8893849441938</v>
      </c>
      <c r="AH16" s="106">
        <v>0</v>
      </c>
      <c r="AI16" s="106">
        <v>0</v>
      </c>
      <c r="AJ16" s="106">
        <v>17.326686004350979</v>
      </c>
      <c r="AK16" s="106">
        <v>5904.9345902828136</v>
      </c>
      <c r="AL16" s="106">
        <v>0</v>
      </c>
      <c r="AM16" s="106">
        <v>0</v>
      </c>
      <c r="AN16" s="106">
        <v>18.338303821062443</v>
      </c>
      <c r="AO16" s="106">
        <v>6249.6939422180803</v>
      </c>
      <c r="AP16" s="106">
        <v>0</v>
      </c>
      <c r="AQ16" s="106">
        <v>0</v>
      </c>
      <c r="AR16" s="106">
        <v>21.239276990718121</v>
      </c>
      <c r="AS16" s="106">
        <v>7238.3455984367356</v>
      </c>
      <c r="AT16" s="106">
        <v>0</v>
      </c>
      <c r="AU16" s="106">
        <v>0</v>
      </c>
      <c r="AV16" s="106">
        <v>18.437622983077528</v>
      </c>
      <c r="AW16" s="106">
        <v>6283.5419126328215</v>
      </c>
      <c r="AX16" s="106">
        <v>36.610229694529956</v>
      </c>
      <c r="AY16" s="106">
        <v>12476.76627989581</v>
      </c>
      <c r="AZ16" s="106">
        <v>5.1269632181578677</v>
      </c>
      <c r="BA16" s="106">
        <v>1747.2690647482013</v>
      </c>
      <c r="BB16" s="106">
        <v>4.7841626438915714</v>
      </c>
      <c r="BC16" s="106">
        <v>1630.4426290382476</v>
      </c>
      <c r="BD16" s="106">
        <v>0</v>
      </c>
      <c r="BE16" s="106">
        <v>0</v>
      </c>
      <c r="BF16" s="106">
        <v>9.6320499673720512</v>
      </c>
      <c r="BG16" s="106">
        <v>3282.6026288803951</v>
      </c>
      <c r="BH16" s="106">
        <v>31.331810631229239</v>
      </c>
      <c r="BI16" s="106">
        <v>10677.881063122924</v>
      </c>
      <c r="BJ16" s="106">
        <v>34.256510607168984</v>
      </c>
      <c r="BK16" s="106">
        <v>11674.618814923189</v>
      </c>
      <c r="BL16" s="106">
        <v>31.384416266506605</v>
      </c>
      <c r="BM16" s="106">
        <v>10695.809063625451</v>
      </c>
      <c r="BN16" s="106">
        <v>0</v>
      </c>
      <c r="BO16" s="106">
        <v>0</v>
      </c>
      <c r="BP16" s="106">
        <v>35.231878935869425</v>
      </c>
      <c r="BQ16" s="106">
        <v>12007.0243413443</v>
      </c>
      <c r="BR16" s="106">
        <v>66.875487682532608</v>
      </c>
      <c r="BS16" s="106">
        <v>22791.166202207114</v>
      </c>
      <c r="BT16" s="106">
        <v>0</v>
      </c>
      <c r="BU16" s="106">
        <v>0</v>
      </c>
      <c r="BV16" s="106">
        <v>41.165672913117547</v>
      </c>
      <c r="BW16" s="106">
        <v>14029.261328790461</v>
      </c>
      <c r="BX16" s="106">
        <v>24.806820706509665</v>
      </c>
      <c r="BY16" s="106">
        <v>8454.1644967784941</v>
      </c>
      <c r="BZ16" s="106">
        <v>12.45877036375809</v>
      </c>
      <c r="CA16" s="106">
        <v>4245.9489399687573</v>
      </c>
      <c r="CB16" s="106">
        <v>0</v>
      </c>
      <c r="CC16" s="106">
        <v>0</v>
      </c>
      <c r="CD16" s="106">
        <v>12.456998521439132</v>
      </c>
      <c r="CE16" s="106">
        <v>4245.3450961064564</v>
      </c>
      <c r="CF16" s="106">
        <v>9.0548534798534792</v>
      </c>
      <c r="CG16" s="106">
        <v>3085.894065934066</v>
      </c>
      <c r="CH16" s="106">
        <v>4.4334765830556035</v>
      </c>
      <c r="CI16" s="106">
        <v>1510.9288195053498</v>
      </c>
      <c r="CJ16" s="106">
        <v>0</v>
      </c>
      <c r="CK16" s="106">
        <v>0</v>
      </c>
      <c r="CL16" s="106">
        <v>5.0351950460691635</v>
      </c>
      <c r="CM16" s="106">
        <v>1715.9944717003709</v>
      </c>
      <c r="CN16" s="106">
        <v>0</v>
      </c>
      <c r="CO16" s="106">
        <v>0</v>
      </c>
      <c r="CP16" s="106">
        <v>5.9946201381315891</v>
      </c>
      <c r="CQ16" s="106">
        <v>2042.9665430752457</v>
      </c>
      <c r="CR16" s="106">
        <v>5.3408499767765907</v>
      </c>
      <c r="CS16" s="106">
        <v>1820.1616720854622</v>
      </c>
      <c r="CT16" s="106">
        <v>9.6488833746898255</v>
      </c>
      <c r="CU16" s="106">
        <v>3288.3394540942927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50.048644603359385</v>
      </c>
      <c r="M17" s="106">
        <v>21140.547480459005</v>
      </c>
      <c r="N17" s="106">
        <v>27.024324324324326</v>
      </c>
      <c r="O17" s="106">
        <v>11415.074594594595</v>
      </c>
      <c r="P17" s="106">
        <v>23.229337487700885</v>
      </c>
      <c r="Q17" s="106">
        <v>9812.0721548048532</v>
      </c>
      <c r="R17" s="106">
        <v>25.984927234927238</v>
      </c>
      <c r="S17" s="106">
        <v>10976.033264033265</v>
      </c>
      <c r="T17" s="106">
        <v>0</v>
      </c>
      <c r="U17" s="106">
        <v>0</v>
      </c>
      <c r="V17" s="106">
        <v>4.4972402207823379</v>
      </c>
      <c r="W17" s="106">
        <v>1899.6342692584594</v>
      </c>
      <c r="X17" s="106">
        <v>0</v>
      </c>
      <c r="Y17" s="106">
        <v>0</v>
      </c>
      <c r="Z17" s="106">
        <v>6.9546165884194053</v>
      </c>
      <c r="AA17" s="106">
        <v>2937.6300469483567</v>
      </c>
      <c r="AB17" s="106">
        <v>22.839745131041116</v>
      </c>
      <c r="AC17" s="106">
        <v>9647.5083433517666</v>
      </c>
      <c r="AD17" s="106">
        <v>42.292130025662964</v>
      </c>
      <c r="AE17" s="106">
        <v>17864.195722840035</v>
      </c>
      <c r="AF17" s="106">
        <v>23.141296604132037</v>
      </c>
      <c r="AG17" s="106">
        <v>9774.8836855853715</v>
      </c>
      <c r="AH17" s="106">
        <v>0</v>
      </c>
      <c r="AI17" s="106">
        <v>0</v>
      </c>
      <c r="AJ17" s="106">
        <v>16.986947063089193</v>
      </c>
      <c r="AK17" s="106">
        <v>7175.2864394488752</v>
      </c>
      <c r="AL17" s="106">
        <v>0</v>
      </c>
      <c r="AM17" s="106">
        <v>0</v>
      </c>
      <c r="AN17" s="106">
        <v>20.084808946877914</v>
      </c>
      <c r="AO17" s="106">
        <v>8483.8232991612294</v>
      </c>
      <c r="AP17" s="106">
        <v>0</v>
      </c>
      <c r="AQ17" s="106">
        <v>0</v>
      </c>
      <c r="AR17" s="106">
        <v>20.689985344406448</v>
      </c>
      <c r="AS17" s="106">
        <v>8739.4498094772825</v>
      </c>
      <c r="AT17" s="106">
        <v>0</v>
      </c>
      <c r="AU17" s="106">
        <v>0</v>
      </c>
      <c r="AV17" s="106">
        <v>16.962613144431327</v>
      </c>
      <c r="AW17" s="106">
        <v>7165.0077922077917</v>
      </c>
      <c r="AX17" s="106">
        <v>35.057068434762023</v>
      </c>
      <c r="AY17" s="106">
        <v>14808.105706843478</v>
      </c>
      <c r="AZ17" s="106">
        <v>5.3168507447563078</v>
      </c>
      <c r="BA17" s="106">
        <v>2245.8377545850644</v>
      </c>
      <c r="BB17" s="106">
        <v>4.7841626438915714</v>
      </c>
      <c r="BC17" s="106">
        <v>2020.8303007797997</v>
      </c>
      <c r="BD17" s="106">
        <v>0</v>
      </c>
      <c r="BE17" s="106">
        <v>0</v>
      </c>
      <c r="BF17" s="106">
        <v>9.4766943227370177</v>
      </c>
      <c r="BG17" s="106">
        <v>4002.9556819241161</v>
      </c>
      <c r="BH17" s="106">
        <v>29.57018272425249</v>
      </c>
      <c r="BI17" s="106">
        <v>12490.445182724252</v>
      </c>
      <c r="BJ17" s="106">
        <v>39.254791514264816</v>
      </c>
      <c r="BK17" s="106">
        <v>16581.223935625458</v>
      </c>
      <c r="BL17" s="106">
        <v>34.885466686674668</v>
      </c>
      <c r="BM17" s="106">
        <v>14735.621128451379</v>
      </c>
      <c r="BN17" s="106">
        <v>0</v>
      </c>
      <c r="BO17" s="106">
        <v>0</v>
      </c>
      <c r="BP17" s="106">
        <v>33.090123377457907</v>
      </c>
      <c r="BQ17" s="106">
        <v>13977.268114638218</v>
      </c>
      <c r="BR17" s="106">
        <v>66.503957195407423</v>
      </c>
      <c r="BS17" s="106">
        <v>28091.271519340095</v>
      </c>
      <c r="BT17" s="106">
        <v>0</v>
      </c>
      <c r="BU17" s="106">
        <v>0</v>
      </c>
      <c r="BV17" s="106">
        <v>40.810796422487229</v>
      </c>
      <c r="BW17" s="106">
        <v>17238.480408858606</v>
      </c>
      <c r="BX17" s="106">
        <v>24.066318595867582</v>
      </c>
      <c r="BY17" s="106">
        <v>10165.612974894466</v>
      </c>
      <c r="BZ17" s="106">
        <v>13.016625753180094</v>
      </c>
      <c r="CA17" s="106">
        <v>5498.2227181432709</v>
      </c>
      <c r="CB17" s="106">
        <v>0</v>
      </c>
      <c r="CC17" s="106">
        <v>0</v>
      </c>
      <c r="CD17" s="106">
        <v>10.677427304090685</v>
      </c>
      <c r="CE17" s="106">
        <v>4510.1452932479051</v>
      </c>
      <c r="CF17" s="106">
        <v>8.2409340659340664</v>
      </c>
      <c r="CG17" s="106">
        <v>3480.9705494505492</v>
      </c>
      <c r="CH17" s="106">
        <v>4.628354674618488</v>
      </c>
      <c r="CI17" s="106">
        <v>1955.0170145588493</v>
      </c>
      <c r="CJ17" s="106">
        <v>0</v>
      </c>
      <c r="CK17" s="106">
        <v>0</v>
      </c>
      <c r="CL17" s="106">
        <v>4.1876869690080172</v>
      </c>
      <c r="CM17" s="106">
        <v>1768.8789757089864</v>
      </c>
      <c r="CN17" s="106">
        <v>0</v>
      </c>
      <c r="CO17" s="106">
        <v>0</v>
      </c>
      <c r="CP17" s="106">
        <v>5.1090512540894224</v>
      </c>
      <c r="CQ17" s="106">
        <v>2158.0632497273718</v>
      </c>
      <c r="CR17" s="106">
        <v>6.3470970738504411</v>
      </c>
      <c r="CS17" s="106">
        <v>2681.0138039944263</v>
      </c>
      <c r="CT17" s="106">
        <v>9.4957264957264957</v>
      </c>
      <c r="CU17" s="106">
        <v>4010.9948717948714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51.815067354066187</v>
      </c>
      <c r="M18" s="106">
        <v>33824.875968734406</v>
      </c>
      <c r="N18" s="106">
        <v>25.659459459459459</v>
      </c>
      <c r="O18" s="106">
        <v>16750.495135135134</v>
      </c>
      <c r="P18" s="106">
        <v>25.68891439816333</v>
      </c>
      <c r="Q18" s="106">
        <v>16769.723319121022</v>
      </c>
      <c r="R18" s="106">
        <v>28.335944460944461</v>
      </c>
      <c r="S18" s="106">
        <v>18497.704544104541</v>
      </c>
      <c r="T18" s="106">
        <v>0</v>
      </c>
      <c r="U18" s="106">
        <v>0</v>
      </c>
      <c r="V18" s="106">
        <v>4.9469642428605711</v>
      </c>
      <c r="W18" s="106">
        <v>3229.3782577393804</v>
      </c>
      <c r="X18" s="106">
        <v>0</v>
      </c>
      <c r="Y18" s="106">
        <v>0</v>
      </c>
      <c r="Z18" s="106">
        <v>6.7372848200312987</v>
      </c>
      <c r="AA18" s="106">
        <v>4398.0995305164315</v>
      </c>
      <c r="AB18" s="106">
        <v>24.442534263043999</v>
      </c>
      <c r="AC18" s="106">
        <v>15956.086366915122</v>
      </c>
      <c r="AD18" s="106">
        <v>39.91616766467066</v>
      </c>
      <c r="AE18" s="106">
        <v>26057.274251497005</v>
      </c>
      <c r="AF18" s="106">
        <v>20.026122061268108</v>
      </c>
      <c r="AG18" s="106">
        <v>13073.05248159582</v>
      </c>
      <c r="AH18" s="106">
        <v>0</v>
      </c>
      <c r="AI18" s="106">
        <v>0</v>
      </c>
      <c r="AJ18" s="106">
        <v>14.948513415518493</v>
      </c>
      <c r="AK18" s="106">
        <v>9758.389557650471</v>
      </c>
      <c r="AL18" s="106">
        <v>0</v>
      </c>
      <c r="AM18" s="106">
        <v>0</v>
      </c>
      <c r="AN18" s="106">
        <v>19.648182665424045</v>
      </c>
      <c r="AO18" s="106">
        <v>12826.333643988815</v>
      </c>
      <c r="AP18" s="106">
        <v>0</v>
      </c>
      <c r="AQ18" s="106">
        <v>0</v>
      </c>
      <c r="AR18" s="106">
        <v>18.309721543722521</v>
      </c>
      <c r="AS18" s="106">
        <v>11952.586223742061</v>
      </c>
      <c r="AT18" s="106">
        <v>0</v>
      </c>
      <c r="AU18" s="106">
        <v>0</v>
      </c>
      <c r="AV18" s="106">
        <v>16.040731995277451</v>
      </c>
      <c r="AW18" s="106">
        <v>10471.389846517119</v>
      </c>
      <c r="AX18" s="106">
        <v>34.169547714894627</v>
      </c>
      <c r="AY18" s="106">
        <v>22305.880748283209</v>
      </c>
      <c r="AZ18" s="106">
        <v>4.46235687506333</v>
      </c>
      <c r="BA18" s="106">
        <v>2913.0265680413418</v>
      </c>
      <c r="BB18" s="106">
        <v>5.219086520608986</v>
      </c>
      <c r="BC18" s="106">
        <v>3407.0196806535459</v>
      </c>
      <c r="BD18" s="106">
        <v>0</v>
      </c>
      <c r="BE18" s="106">
        <v>0</v>
      </c>
      <c r="BF18" s="106">
        <v>8.2338491656567534</v>
      </c>
      <c r="BG18" s="106">
        <v>5375.0567353407287</v>
      </c>
      <c r="BH18" s="106">
        <v>26.172757475083056</v>
      </c>
      <c r="BI18" s="106">
        <v>17085.576079734219</v>
      </c>
      <c r="BJ18" s="106">
        <v>34.256510607168984</v>
      </c>
      <c r="BK18" s="106">
        <v>22362.650124359912</v>
      </c>
      <c r="BL18" s="106">
        <v>30.259078631452578</v>
      </c>
      <c r="BM18" s="106">
        <v>19753.12653061224</v>
      </c>
      <c r="BN18" s="106">
        <v>0</v>
      </c>
      <c r="BO18" s="106">
        <v>0</v>
      </c>
      <c r="BP18" s="106">
        <v>28.913700038555454</v>
      </c>
      <c r="BQ18" s="106">
        <v>18874.863385168999</v>
      </c>
      <c r="BR18" s="106">
        <v>63.160182811280791</v>
      </c>
      <c r="BS18" s="106">
        <v>41230.9673392041</v>
      </c>
      <c r="BT18" s="106">
        <v>0</v>
      </c>
      <c r="BU18" s="106">
        <v>0</v>
      </c>
      <c r="BV18" s="106">
        <v>34.186435264054509</v>
      </c>
      <c r="BW18" s="106">
        <v>22316.904940374781</v>
      </c>
      <c r="BX18" s="106">
        <v>25.177071761830703</v>
      </c>
      <c r="BY18" s="106">
        <v>16435.592446123082</v>
      </c>
      <c r="BZ18" s="106">
        <v>13.388529346128097</v>
      </c>
      <c r="CA18" s="106">
        <v>8740.0319571524215</v>
      </c>
      <c r="CB18" s="106">
        <v>0</v>
      </c>
      <c r="CC18" s="106">
        <v>0</v>
      </c>
      <c r="CD18" s="106">
        <v>10.951207491375062</v>
      </c>
      <c r="CE18" s="106">
        <v>7148.9482503696399</v>
      </c>
      <c r="CF18" s="106">
        <v>8.8513736263736273</v>
      </c>
      <c r="CG18" s="106">
        <v>5778.1767032967036</v>
      </c>
      <c r="CH18" s="106">
        <v>3.946281354148395</v>
      </c>
      <c r="CI18" s="106">
        <v>2576.1324679880722</v>
      </c>
      <c r="CJ18" s="106">
        <v>0</v>
      </c>
      <c r="CK18" s="106">
        <v>0</v>
      </c>
      <c r="CL18" s="106">
        <v>4.2375403853057314</v>
      </c>
      <c r="CM18" s="106">
        <v>2766.2663635275812</v>
      </c>
      <c r="CN18" s="106">
        <v>0</v>
      </c>
      <c r="CO18" s="106">
        <v>0</v>
      </c>
      <c r="CP18" s="106">
        <v>5.1771719374772811</v>
      </c>
      <c r="CQ18" s="106">
        <v>3379.6578407851689</v>
      </c>
      <c r="CR18" s="106">
        <v>6.1148862052949378</v>
      </c>
      <c r="CS18" s="106">
        <v>3991.7977148165351</v>
      </c>
      <c r="CT18" s="106">
        <v>10.108354011579818</v>
      </c>
      <c r="CU18" s="106">
        <v>6598.7334987593049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49.459837019790456</v>
      </c>
      <c r="M19" s="106">
        <v>16321.74621653085</v>
      </c>
      <c r="N19" s="106">
        <v>26.068918918918921</v>
      </c>
      <c r="O19" s="106">
        <v>8602.7432432432433</v>
      </c>
      <c r="P19" s="106">
        <v>28.968350278779926</v>
      </c>
      <c r="Q19" s="106">
        <v>9559.5555919973758</v>
      </c>
      <c r="R19" s="106">
        <v>28.459682209682207</v>
      </c>
      <c r="S19" s="106">
        <v>9391.6951291951282</v>
      </c>
      <c r="T19" s="106">
        <v>0</v>
      </c>
      <c r="U19" s="106">
        <v>0</v>
      </c>
      <c r="V19" s="106">
        <v>5.1718262538996882</v>
      </c>
      <c r="W19" s="106">
        <v>1706.7026637868971</v>
      </c>
      <c r="X19" s="106">
        <v>0</v>
      </c>
      <c r="Y19" s="106">
        <v>0</v>
      </c>
      <c r="Z19" s="106">
        <v>7.3892801251956186</v>
      </c>
      <c r="AA19" s="106">
        <v>2438.4624413145543</v>
      </c>
      <c r="AB19" s="106">
        <v>21.637653282038951</v>
      </c>
      <c r="AC19" s="106">
        <v>7140.4255830728534</v>
      </c>
      <c r="AD19" s="106">
        <v>43.717707442258344</v>
      </c>
      <c r="AE19" s="106">
        <v>14426.843455945254</v>
      </c>
      <c r="AF19" s="106">
        <v>19.803609593920683</v>
      </c>
      <c r="AG19" s="106">
        <v>6535.1911659938251</v>
      </c>
      <c r="AH19" s="106">
        <v>0</v>
      </c>
      <c r="AI19" s="106">
        <v>0</v>
      </c>
      <c r="AJ19" s="106">
        <v>14.948513415518493</v>
      </c>
      <c r="AK19" s="106">
        <v>4933.0094271211028</v>
      </c>
      <c r="AL19" s="106">
        <v>0</v>
      </c>
      <c r="AM19" s="106">
        <v>0</v>
      </c>
      <c r="AN19" s="106">
        <v>20.084808946877914</v>
      </c>
      <c r="AO19" s="106">
        <v>6627.9869524697115</v>
      </c>
      <c r="AP19" s="106">
        <v>0</v>
      </c>
      <c r="AQ19" s="106">
        <v>0</v>
      </c>
      <c r="AR19" s="106">
        <v>21.605471421592576</v>
      </c>
      <c r="AS19" s="106">
        <v>7129.8055691255504</v>
      </c>
      <c r="AT19" s="106">
        <v>0</v>
      </c>
      <c r="AU19" s="106">
        <v>0</v>
      </c>
      <c r="AV19" s="106">
        <v>19.359504132231404</v>
      </c>
      <c r="AW19" s="106">
        <v>6388.6363636363631</v>
      </c>
      <c r="AX19" s="106">
        <v>41.935354013734312</v>
      </c>
      <c r="AY19" s="106">
        <v>13838.666824532324</v>
      </c>
      <c r="AZ19" s="106">
        <v>5.506738271354747</v>
      </c>
      <c r="BA19" s="106">
        <v>1817.2236295470666</v>
      </c>
      <c r="BB19" s="106">
        <v>4.7841626438915714</v>
      </c>
      <c r="BC19" s="106">
        <v>1578.7736724842187</v>
      </c>
      <c r="BD19" s="106">
        <v>0</v>
      </c>
      <c r="BE19" s="106">
        <v>0</v>
      </c>
      <c r="BF19" s="106">
        <v>8.3892048102917869</v>
      </c>
      <c r="BG19" s="106">
        <v>2768.4375873962895</v>
      </c>
      <c r="BH19" s="106">
        <v>29.821843853820596</v>
      </c>
      <c r="BI19" s="106">
        <v>9841.2084717607959</v>
      </c>
      <c r="BJ19" s="106">
        <v>37.182333577176294</v>
      </c>
      <c r="BK19" s="106">
        <v>12270.170080468177</v>
      </c>
      <c r="BL19" s="106">
        <v>34.010204081632651</v>
      </c>
      <c r="BM19" s="106">
        <v>11223.367346938774</v>
      </c>
      <c r="BN19" s="106">
        <v>0</v>
      </c>
      <c r="BO19" s="106">
        <v>0</v>
      </c>
      <c r="BP19" s="106">
        <v>35.981493381313456</v>
      </c>
      <c r="BQ19" s="106">
        <v>11873.89281583344</v>
      </c>
      <c r="BR19" s="106">
        <v>73.005740720098089</v>
      </c>
      <c r="BS19" s="106">
        <v>24091.894437632371</v>
      </c>
      <c r="BT19" s="106">
        <v>0</v>
      </c>
      <c r="BU19" s="106">
        <v>0</v>
      </c>
      <c r="BV19" s="106">
        <v>43.531516183986369</v>
      </c>
      <c r="BW19" s="106">
        <v>14365.400340715501</v>
      </c>
      <c r="BX19" s="106">
        <v>24.436569651188623</v>
      </c>
      <c r="BY19" s="106">
        <v>8064.0679848922455</v>
      </c>
      <c r="BZ19" s="106">
        <v>13.388529346128097</v>
      </c>
      <c r="CA19" s="106">
        <v>4418.2146842222719</v>
      </c>
      <c r="CB19" s="106">
        <v>0</v>
      </c>
      <c r="CC19" s="106">
        <v>0</v>
      </c>
      <c r="CD19" s="106">
        <v>11.772548053228192</v>
      </c>
      <c r="CE19" s="106">
        <v>3884.9408575653033</v>
      </c>
      <c r="CF19" s="106">
        <v>8.1391941391941387</v>
      </c>
      <c r="CG19" s="106">
        <v>2685.934065934066</v>
      </c>
      <c r="CH19" s="106">
        <v>4.1898789686019997</v>
      </c>
      <c r="CI19" s="106">
        <v>1382.66005963866</v>
      </c>
      <c r="CJ19" s="106">
        <v>0</v>
      </c>
      <c r="CK19" s="106">
        <v>0</v>
      </c>
      <c r="CL19" s="106">
        <v>4.2873938016034465</v>
      </c>
      <c r="CM19" s="106">
        <v>1414.8399545291375</v>
      </c>
      <c r="CN19" s="106">
        <v>0</v>
      </c>
      <c r="CO19" s="106">
        <v>0</v>
      </c>
      <c r="CP19" s="106">
        <v>5.2452926208651398</v>
      </c>
      <c r="CQ19" s="106">
        <v>1730.9465648854962</v>
      </c>
      <c r="CR19" s="106">
        <v>5.8826753367394335</v>
      </c>
      <c r="CS19" s="106">
        <v>1941.2828611240132</v>
      </c>
      <c r="CT19" s="106">
        <v>9.802040253653157</v>
      </c>
      <c r="CU19" s="106">
        <v>3234.673283705542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26.790745052386495</v>
      </c>
      <c r="M20" s="106">
        <v>7683.5856810244468</v>
      </c>
      <c r="N20" s="106">
        <v>11.601351351351353</v>
      </c>
      <c r="O20" s="106">
        <v>3327.2675675675682</v>
      </c>
      <c r="P20" s="106">
        <v>9.565021318465071</v>
      </c>
      <c r="Q20" s="106">
        <v>2743.2481141357825</v>
      </c>
      <c r="R20" s="106">
        <v>12.373774873774874</v>
      </c>
      <c r="S20" s="106">
        <v>3548.798633798634</v>
      </c>
      <c r="T20" s="106">
        <v>0</v>
      </c>
      <c r="U20" s="106">
        <v>0</v>
      </c>
      <c r="V20" s="106">
        <v>31.255819534437247</v>
      </c>
      <c r="W20" s="106">
        <v>8964.169042476602</v>
      </c>
      <c r="X20" s="106">
        <v>0</v>
      </c>
      <c r="Y20" s="106">
        <v>0</v>
      </c>
      <c r="Z20" s="106">
        <v>27.818466353677621</v>
      </c>
      <c r="AA20" s="106">
        <v>7978.3361502347425</v>
      </c>
      <c r="AB20" s="106">
        <v>15.02614811252705</v>
      </c>
      <c r="AC20" s="106">
        <v>4309.499278672758</v>
      </c>
      <c r="AD20" s="106">
        <v>27.085970915312235</v>
      </c>
      <c r="AE20" s="106">
        <v>7768.2564585115488</v>
      </c>
      <c r="AF20" s="106">
        <v>17.355972453099024</v>
      </c>
      <c r="AG20" s="106">
        <v>4977.6928995488006</v>
      </c>
      <c r="AH20" s="106">
        <v>0</v>
      </c>
      <c r="AI20" s="106">
        <v>0</v>
      </c>
      <c r="AJ20" s="106">
        <v>41.108411892675853</v>
      </c>
      <c r="AK20" s="106">
        <v>11789.892530819436</v>
      </c>
      <c r="AL20" s="106">
        <v>0</v>
      </c>
      <c r="AM20" s="106">
        <v>0</v>
      </c>
      <c r="AN20" s="106">
        <v>37.986486486486491</v>
      </c>
      <c r="AO20" s="106">
        <v>10894.524324324326</v>
      </c>
      <c r="AP20" s="106">
        <v>0</v>
      </c>
      <c r="AQ20" s="106">
        <v>0</v>
      </c>
      <c r="AR20" s="106">
        <v>14.281582804103566</v>
      </c>
      <c r="AS20" s="106">
        <v>4095.9579482169029</v>
      </c>
      <c r="AT20" s="106">
        <v>0</v>
      </c>
      <c r="AU20" s="106">
        <v>0</v>
      </c>
      <c r="AV20" s="106">
        <v>6.6375442739079107</v>
      </c>
      <c r="AW20" s="106">
        <v>1903.6476977567888</v>
      </c>
      <c r="AX20" s="106">
        <v>17.306654037414159</v>
      </c>
      <c r="AY20" s="106">
        <v>4963.5483779303813</v>
      </c>
      <c r="AZ20" s="106">
        <v>42.155030904853582</v>
      </c>
      <c r="BA20" s="106">
        <v>12090.062863512008</v>
      </c>
      <c r="BB20" s="106">
        <v>44.188265874489417</v>
      </c>
      <c r="BC20" s="106">
        <v>12673.194652803566</v>
      </c>
      <c r="BD20" s="106">
        <v>0</v>
      </c>
      <c r="BE20" s="106">
        <v>0</v>
      </c>
      <c r="BF20" s="106">
        <v>82.493847301202578</v>
      </c>
      <c r="BG20" s="106">
        <v>23659.235405984899</v>
      </c>
      <c r="BH20" s="106">
        <v>11.073089700996679</v>
      </c>
      <c r="BI20" s="106">
        <v>3175.7621262458474</v>
      </c>
      <c r="BJ20" s="106">
        <v>6.4611923920994885</v>
      </c>
      <c r="BK20" s="106">
        <v>1853.0699780541333</v>
      </c>
      <c r="BL20" s="106">
        <v>7.3772133853541408</v>
      </c>
      <c r="BM20" s="106">
        <v>2115.7847989195675</v>
      </c>
      <c r="BN20" s="106">
        <v>0</v>
      </c>
      <c r="BO20" s="106">
        <v>0</v>
      </c>
      <c r="BP20" s="106">
        <v>7.4961444544403042</v>
      </c>
      <c r="BQ20" s="106">
        <v>2149.8942295334791</v>
      </c>
      <c r="BR20" s="106">
        <v>15.046984728569837</v>
      </c>
      <c r="BS20" s="106">
        <v>4315.4752201538295</v>
      </c>
      <c r="BT20" s="106">
        <v>0</v>
      </c>
      <c r="BU20" s="106">
        <v>0</v>
      </c>
      <c r="BV20" s="106">
        <v>6.2694846678023852</v>
      </c>
      <c r="BW20" s="106">
        <v>1798.0882027257242</v>
      </c>
      <c r="BX20" s="106">
        <v>25.177071761830703</v>
      </c>
      <c r="BY20" s="106">
        <v>7220.7841812930455</v>
      </c>
      <c r="BZ20" s="106">
        <v>10.785204195492078</v>
      </c>
      <c r="CA20" s="106">
        <v>3093.1965632671281</v>
      </c>
      <c r="CB20" s="106">
        <v>0</v>
      </c>
      <c r="CC20" s="106">
        <v>0</v>
      </c>
      <c r="CD20" s="106">
        <v>9.8560867422375562</v>
      </c>
      <c r="CE20" s="106">
        <v>2826.7256776737313</v>
      </c>
      <c r="CF20" s="106">
        <v>74.880586080586085</v>
      </c>
      <c r="CG20" s="106">
        <v>21475.752087912089</v>
      </c>
      <c r="CH20" s="106">
        <v>32.203604630766534</v>
      </c>
      <c r="CI20" s="106">
        <v>9235.9938081038417</v>
      </c>
      <c r="CJ20" s="106">
        <v>0</v>
      </c>
      <c r="CK20" s="106">
        <v>0</v>
      </c>
      <c r="CL20" s="106">
        <v>36.24343364843844</v>
      </c>
      <c r="CM20" s="106">
        <v>10394.616770372146</v>
      </c>
      <c r="CN20" s="106">
        <v>0</v>
      </c>
      <c r="CO20" s="106">
        <v>0</v>
      </c>
      <c r="CP20" s="106">
        <v>46.730788804071246</v>
      </c>
      <c r="CQ20" s="106">
        <v>13402.390229007633</v>
      </c>
      <c r="CR20" s="106">
        <v>37.231142591732464</v>
      </c>
      <c r="CS20" s="106">
        <v>10677.891695308872</v>
      </c>
      <c r="CT20" s="106">
        <v>81.938930245381854</v>
      </c>
      <c r="CU20" s="106">
        <v>23500.085194375515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31.501205720937964</v>
      </c>
      <c r="M21" s="106">
        <v>1965.6752369865289</v>
      </c>
      <c r="N21" s="106">
        <v>13.102702702702702</v>
      </c>
      <c r="O21" s="106">
        <v>817.60864864864857</v>
      </c>
      <c r="P21" s="106">
        <v>10.521523450311577</v>
      </c>
      <c r="Q21" s="106">
        <v>656.54306329944234</v>
      </c>
      <c r="R21" s="106">
        <v>12.002561627561628</v>
      </c>
      <c r="S21" s="106">
        <v>748.95984555984558</v>
      </c>
      <c r="T21" s="106">
        <v>0</v>
      </c>
      <c r="U21" s="106">
        <v>0</v>
      </c>
      <c r="V21" s="106">
        <v>30.356371490280779</v>
      </c>
      <c r="W21" s="106">
        <v>1894.2375809935206</v>
      </c>
      <c r="X21" s="106">
        <v>0</v>
      </c>
      <c r="Y21" s="106">
        <v>0</v>
      </c>
      <c r="Z21" s="106">
        <v>28.470461658841941</v>
      </c>
      <c r="AA21" s="106">
        <v>1776.5568075117371</v>
      </c>
      <c r="AB21" s="106">
        <v>15.627194037028133</v>
      </c>
      <c r="AC21" s="106">
        <v>975.13690791055546</v>
      </c>
      <c r="AD21" s="106">
        <v>28.98674080410607</v>
      </c>
      <c r="AE21" s="106">
        <v>1808.7726261762186</v>
      </c>
      <c r="AF21" s="106">
        <v>16.910947518404182</v>
      </c>
      <c r="AG21" s="106">
        <v>1055.2431251484209</v>
      </c>
      <c r="AH21" s="106">
        <v>0</v>
      </c>
      <c r="AI21" s="106">
        <v>0</v>
      </c>
      <c r="AJ21" s="106">
        <v>39.409717186366933</v>
      </c>
      <c r="AK21" s="106">
        <v>2459.1663524292967</v>
      </c>
      <c r="AL21" s="106">
        <v>0</v>
      </c>
      <c r="AM21" s="106">
        <v>0</v>
      </c>
      <c r="AN21" s="106">
        <v>40.606244175209689</v>
      </c>
      <c r="AO21" s="106">
        <v>2533.8296365330843</v>
      </c>
      <c r="AP21" s="106">
        <v>0</v>
      </c>
      <c r="AQ21" s="106">
        <v>0</v>
      </c>
      <c r="AR21" s="106">
        <v>16.47874938935027</v>
      </c>
      <c r="AS21" s="106">
        <v>1028.2739618954568</v>
      </c>
      <c r="AT21" s="106">
        <v>0</v>
      </c>
      <c r="AU21" s="106">
        <v>0</v>
      </c>
      <c r="AV21" s="106">
        <v>6.7297323888232974</v>
      </c>
      <c r="AW21" s="106">
        <v>419.93530106257373</v>
      </c>
      <c r="AX21" s="106">
        <v>18.63793511721525</v>
      </c>
      <c r="AY21" s="106">
        <v>1163.0071513142316</v>
      </c>
      <c r="AZ21" s="106">
        <v>44.528624987334076</v>
      </c>
      <c r="BA21" s="106">
        <v>2778.5861992096461</v>
      </c>
      <c r="BB21" s="106">
        <v>43.927311548458967</v>
      </c>
      <c r="BC21" s="106">
        <v>2741.0642406238394</v>
      </c>
      <c r="BD21" s="106">
        <v>0</v>
      </c>
      <c r="BE21" s="106">
        <v>0</v>
      </c>
      <c r="BF21" s="106">
        <v>84.047403747552906</v>
      </c>
      <c r="BG21" s="106">
        <v>5244.5579938473011</v>
      </c>
      <c r="BH21" s="106">
        <v>11.828073089700997</v>
      </c>
      <c r="BI21" s="106">
        <v>738.07176079734222</v>
      </c>
      <c r="BJ21" s="106">
        <v>6.0954645208485738</v>
      </c>
      <c r="BK21" s="106">
        <v>380.35698610095102</v>
      </c>
      <c r="BL21" s="106">
        <v>8.6275885354141657</v>
      </c>
      <c r="BM21" s="106">
        <v>538.36152460984397</v>
      </c>
      <c r="BN21" s="106">
        <v>0</v>
      </c>
      <c r="BO21" s="106">
        <v>0</v>
      </c>
      <c r="BP21" s="106">
        <v>6.8536177869168489</v>
      </c>
      <c r="BQ21" s="106">
        <v>427.66574990361136</v>
      </c>
      <c r="BR21" s="106">
        <v>15.418515215695017</v>
      </c>
      <c r="BS21" s="106">
        <v>962.11534945936899</v>
      </c>
      <c r="BT21" s="106">
        <v>0</v>
      </c>
      <c r="BU21" s="106">
        <v>0</v>
      </c>
      <c r="BV21" s="106">
        <v>6.0329003407155026</v>
      </c>
      <c r="BW21" s="106">
        <v>376.45298126064733</v>
      </c>
      <c r="BX21" s="106">
        <v>27.398578093756939</v>
      </c>
      <c r="BY21" s="106">
        <v>1709.671273050433</v>
      </c>
      <c r="BZ21" s="106">
        <v>11.529011381388084</v>
      </c>
      <c r="CA21" s="106">
        <v>719.41031019861646</v>
      </c>
      <c r="CB21" s="106">
        <v>0</v>
      </c>
      <c r="CC21" s="106">
        <v>0</v>
      </c>
      <c r="CD21" s="106">
        <v>11.772548053228192</v>
      </c>
      <c r="CE21" s="106">
        <v>734.60699852143921</v>
      </c>
      <c r="CF21" s="106">
        <v>71.523168498168502</v>
      </c>
      <c r="CG21" s="106">
        <v>4463.045714285714</v>
      </c>
      <c r="CH21" s="106">
        <v>38.098666900543769</v>
      </c>
      <c r="CI21" s="106">
        <v>2377.3568145939312</v>
      </c>
      <c r="CJ21" s="106">
        <v>0</v>
      </c>
      <c r="CK21" s="106">
        <v>0</v>
      </c>
      <c r="CL21" s="106">
        <v>40.630534282637313</v>
      </c>
      <c r="CM21" s="106">
        <v>2535.3453392365682</v>
      </c>
      <c r="CN21" s="106">
        <v>0</v>
      </c>
      <c r="CO21" s="106">
        <v>0</v>
      </c>
      <c r="CP21" s="106">
        <v>46.39018538713195</v>
      </c>
      <c r="CQ21" s="106">
        <v>2894.7475681570336</v>
      </c>
      <c r="CR21" s="106">
        <v>43.965257779842084</v>
      </c>
      <c r="CS21" s="106">
        <v>2743.432085462146</v>
      </c>
      <c r="CT21" s="106">
        <v>77.191066997518604</v>
      </c>
      <c r="CU21" s="106">
        <v>4816.7225806451606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30.323590553800098</v>
      </c>
      <c r="M22" s="106">
        <v>5676.5761516713783</v>
      </c>
      <c r="N22" s="106">
        <v>11.737837837837837</v>
      </c>
      <c r="O22" s="106">
        <v>2197.3232432432428</v>
      </c>
      <c r="P22" s="106">
        <v>10.794809773696294</v>
      </c>
      <c r="Q22" s="106">
        <v>2020.788389635946</v>
      </c>
      <c r="R22" s="106">
        <v>12.992463617463619</v>
      </c>
      <c r="S22" s="106">
        <v>2432.1891891891892</v>
      </c>
      <c r="T22" s="106">
        <v>0</v>
      </c>
      <c r="U22" s="106">
        <v>0</v>
      </c>
      <c r="V22" s="106">
        <v>30.356371490280779</v>
      </c>
      <c r="W22" s="106">
        <v>5682.7127429805614</v>
      </c>
      <c r="X22" s="106">
        <v>0</v>
      </c>
      <c r="Y22" s="106">
        <v>0</v>
      </c>
      <c r="Z22" s="106">
        <v>30.861111111111111</v>
      </c>
      <c r="AA22" s="106">
        <v>5777.2</v>
      </c>
      <c r="AB22" s="106">
        <v>15.627194037028133</v>
      </c>
      <c r="AC22" s="106">
        <v>2925.4107237316662</v>
      </c>
      <c r="AD22" s="106">
        <v>31.837895637296835</v>
      </c>
      <c r="AE22" s="106">
        <v>5960.0540633019673</v>
      </c>
      <c r="AF22" s="106">
        <v>18.468534789836141</v>
      </c>
      <c r="AG22" s="106">
        <v>3457.3097126573252</v>
      </c>
      <c r="AH22" s="106">
        <v>0</v>
      </c>
      <c r="AI22" s="106">
        <v>0</v>
      </c>
      <c r="AJ22" s="106">
        <v>39.409717186366933</v>
      </c>
      <c r="AK22" s="106">
        <v>7377.4990572878896</v>
      </c>
      <c r="AL22" s="106">
        <v>0</v>
      </c>
      <c r="AM22" s="106">
        <v>0</v>
      </c>
      <c r="AN22" s="106">
        <v>44.972506989748368</v>
      </c>
      <c r="AO22" s="106">
        <v>8418.8533084808932</v>
      </c>
      <c r="AP22" s="106">
        <v>0</v>
      </c>
      <c r="AQ22" s="106">
        <v>0</v>
      </c>
      <c r="AR22" s="106">
        <v>14.647777234978015</v>
      </c>
      <c r="AS22" s="106">
        <v>2742.0638983878844</v>
      </c>
      <c r="AT22" s="106">
        <v>0</v>
      </c>
      <c r="AU22" s="106">
        <v>0</v>
      </c>
      <c r="AV22" s="106">
        <v>6.1766036993309719</v>
      </c>
      <c r="AW22" s="106">
        <v>1156.2602125147578</v>
      </c>
      <c r="AX22" s="106">
        <v>17.972294577314706</v>
      </c>
      <c r="AY22" s="106">
        <v>3364.4135448733127</v>
      </c>
      <c r="AZ22" s="106">
        <v>47.661769176208324</v>
      </c>
      <c r="BA22" s="106">
        <v>8922.2831897861979</v>
      </c>
      <c r="BB22" s="106">
        <v>38.360285926476053</v>
      </c>
      <c r="BC22" s="106">
        <v>7181.0455254363169</v>
      </c>
      <c r="BD22" s="106">
        <v>0</v>
      </c>
      <c r="BE22" s="106">
        <v>0</v>
      </c>
      <c r="BF22" s="106">
        <v>81.717069078027407</v>
      </c>
      <c r="BG22" s="106">
        <v>15297.43533140673</v>
      </c>
      <c r="BH22" s="106">
        <v>11.702242524916944</v>
      </c>
      <c r="BI22" s="106">
        <v>2190.6598006644517</v>
      </c>
      <c r="BJ22" s="106">
        <v>6.2173738112655448</v>
      </c>
      <c r="BK22" s="106">
        <v>1163.8923774689099</v>
      </c>
      <c r="BL22" s="106">
        <v>8.3775135054021597</v>
      </c>
      <c r="BM22" s="106">
        <v>1568.2705282112843</v>
      </c>
      <c r="BN22" s="106">
        <v>0</v>
      </c>
      <c r="BO22" s="106">
        <v>0</v>
      </c>
      <c r="BP22" s="106">
        <v>6.746530008996273</v>
      </c>
      <c r="BQ22" s="106">
        <v>1262.9504176841021</v>
      </c>
      <c r="BR22" s="106">
        <v>15.975810946382788</v>
      </c>
      <c r="BS22" s="106">
        <v>2990.6718091628577</v>
      </c>
      <c r="BT22" s="106">
        <v>0</v>
      </c>
      <c r="BU22" s="106">
        <v>0</v>
      </c>
      <c r="BV22" s="106">
        <v>6.1511925042589439</v>
      </c>
      <c r="BW22" s="106">
        <v>1151.5032367972742</v>
      </c>
      <c r="BX22" s="106">
        <v>24.066318595867582</v>
      </c>
      <c r="BY22" s="106">
        <v>4505.2148411464113</v>
      </c>
      <c r="BZ22" s="106">
        <v>9.6694934166480699</v>
      </c>
      <c r="CA22" s="106">
        <v>1810.1291675965185</v>
      </c>
      <c r="CB22" s="106">
        <v>0</v>
      </c>
      <c r="CC22" s="106">
        <v>0</v>
      </c>
      <c r="CD22" s="106">
        <v>10.814317397732873</v>
      </c>
      <c r="CE22" s="106">
        <v>2024.4402168555937</v>
      </c>
      <c r="CF22" s="106">
        <v>72.74404761904762</v>
      </c>
      <c r="CG22" s="106">
        <v>13617.685714285713</v>
      </c>
      <c r="CH22" s="106">
        <v>37.172995965620068</v>
      </c>
      <c r="CI22" s="106">
        <v>6958.7848447640763</v>
      </c>
      <c r="CJ22" s="106">
        <v>0</v>
      </c>
      <c r="CK22" s="106">
        <v>0</v>
      </c>
      <c r="CL22" s="106">
        <v>34.947244824697862</v>
      </c>
      <c r="CM22" s="106">
        <v>6542.1242311834394</v>
      </c>
      <c r="CN22" s="106">
        <v>0</v>
      </c>
      <c r="CO22" s="106">
        <v>0</v>
      </c>
      <c r="CP22" s="106">
        <v>44.346564885496186</v>
      </c>
      <c r="CQ22" s="106">
        <v>8301.6769465648849</v>
      </c>
      <c r="CR22" s="106">
        <v>38.701811425917327</v>
      </c>
      <c r="CS22" s="106">
        <v>7244.9790989317235</v>
      </c>
      <c r="CT22" s="106">
        <v>87.299421009098438</v>
      </c>
      <c r="CU22" s="106">
        <v>16342.451612903227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31.501205720937964</v>
      </c>
      <c r="M23" s="106">
        <v>9261.354481955761</v>
      </c>
      <c r="N23" s="106">
        <v>11.464864864864865</v>
      </c>
      <c r="O23" s="106">
        <v>3370.6702702702701</v>
      </c>
      <c r="P23" s="106">
        <v>9.8383076418497879</v>
      </c>
      <c r="Q23" s="106">
        <v>2892.4624467038375</v>
      </c>
      <c r="R23" s="106">
        <v>11.012659637659638</v>
      </c>
      <c r="S23" s="106">
        <v>3237.7219334719334</v>
      </c>
      <c r="T23" s="106">
        <v>0</v>
      </c>
      <c r="U23" s="106">
        <v>0</v>
      </c>
      <c r="V23" s="106">
        <v>32.604991600671944</v>
      </c>
      <c r="W23" s="106">
        <v>9585.8675305975521</v>
      </c>
      <c r="X23" s="106">
        <v>0</v>
      </c>
      <c r="Y23" s="106">
        <v>0</v>
      </c>
      <c r="Z23" s="106">
        <v>30.426447574334901</v>
      </c>
      <c r="AA23" s="106">
        <v>8945.3755868544613</v>
      </c>
      <c r="AB23" s="106">
        <v>13.623707622024526</v>
      </c>
      <c r="AC23" s="106">
        <v>4005.3700408752106</v>
      </c>
      <c r="AD23" s="106">
        <v>28.036355859709154</v>
      </c>
      <c r="AE23" s="106">
        <v>8242.688622754491</v>
      </c>
      <c r="AF23" s="106">
        <v>18.023509855141299</v>
      </c>
      <c r="AG23" s="106">
        <v>5298.9118974115418</v>
      </c>
      <c r="AH23" s="106">
        <v>0</v>
      </c>
      <c r="AI23" s="106">
        <v>0</v>
      </c>
      <c r="AJ23" s="106">
        <v>41.448150833937632</v>
      </c>
      <c r="AK23" s="106">
        <v>12185.756345177664</v>
      </c>
      <c r="AL23" s="106">
        <v>0</v>
      </c>
      <c r="AM23" s="106">
        <v>0</v>
      </c>
      <c r="AN23" s="106">
        <v>44.535880708294499</v>
      </c>
      <c r="AO23" s="106">
        <v>13093.548928238582</v>
      </c>
      <c r="AP23" s="106">
        <v>0</v>
      </c>
      <c r="AQ23" s="106">
        <v>0</v>
      </c>
      <c r="AR23" s="106">
        <v>15.746360527601366</v>
      </c>
      <c r="AS23" s="106">
        <v>4629.4299951148014</v>
      </c>
      <c r="AT23" s="106">
        <v>0</v>
      </c>
      <c r="AU23" s="106">
        <v>0</v>
      </c>
      <c r="AV23" s="106">
        <v>6.9141086186540734</v>
      </c>
      <c r="AW23" s="106">
        <v>2032.7479338842975</v>
      </c>
      <c r="AX23" s="106">
        <v>19.747336017049491</v>
      </c>
      <c r="AY23" s="106">
        <v>5805.7167890125502</v>
      </c>
      <c r="AZ23" s="106">
        <v>44.908400040530957</v>
      </c>
      <c r="BA23" s="106">
        <v>13203.069611916102</v>
      </c>
      <c r="BB23" s="106">
        <v>40.360935759376154</v>
      </c>
      <c r="BC23" s="106">
        <v>11866.11511325659</v>
      </c>
      <c r="BD23" s="106">
        <v>0</v>
      </c>
      <c r="BE23" s="106">
        <v>0</v>
      </c>
      <c r="BF23" s="106">
        <v>73.01715297846556</v>
      </c>
      <c r="BG23" s="106">
        <v>21467.042975668875</v>
      </c>
      <c r="BH23" s="106">
        <v>10.569767441860465</v>
      </c>
      <c r="BI23" s="106">
        <v>3107.5116279069766</v>
      </c>
      <c r="BJ23" s="106">
        <v>5.851645940014631</v>
      </c>
      <c r="BK23" s="106">
        <v>1720.3839063643015</v>
      </c>
      <c r="BL23" s="106">
        <v>7.0021008403361344</v>
      </c>
      <c r="BM23" s="106">
        <v>2058.6176470588234</v>
      </c>
      <c r="BN23" s="106">
        <v>0</v>
      </c>
      <c r="BO23" s="106">
        <v>0</v>
      </c>
      <c r="BP23" s="106">
        <v>7.9244955661226069</v>
      </c>
      <c r="BQ23" s="106">
        <v>2329.8016964400463</v>
      </c>
      <c r="BR23" s="106">
        <v>14.118158510756885</v>
      </c>
      <c r="BS23" s="106">
        <v>4150.7386021625243</v>
      </c>
      <c r="BT23" s="106">
        <v>0</v>
      </c>
      <c r="BU23" s="106">
        <v>0</v>
      </c>
      <c r="BV23" s="106">
        <v>6.5060689948892678</v>
      </c>
      <c r="BW23" s="106">
        <v>1912.7842844974448</v>
      </c>
      <c r="BX23" s="106">
        <v>23.325816485225506</v>
      </c>
      <c r="BY23" s="106">
        <v>6857.7900466562987</v>
      </c>
      <c r="BZ23" s="106">
        <v>10.599252399018077</v>
      </c>
      <c r="CA23" s="106">
        <v>3116.1802053113147</v>
      </c>
      <c r="CB23" s="106">
        <v>0</v>
      </c>
      <c r="CC23" s="106">
        <v>0</v>
      </c>
      <c r="CD23" s="106">
        <v>10.540537210448498</v>
      </c>
      <c r="CE23" s="106">
        <v>3098.9179398718584</v>
      </c>
      <c r="CF23" s="106">
        <v>73.35448717948718</v>
      </c>
      <c r="CG23" s="106">
        <v>21566.219230769231</v>
      </c>
      <c r="CH23" s="106">
        <v>33.860068409051046</v>
      </c>
      <c r="CI23" s="106">
        <v>9954.8601122610071</v>
      </c>
      <c r="CJ23" s="106">
        <v>0</v>
      </c>
      <c r="CK23" s="106">
        <v>0</v>
      </c>
      <c r="CL23" s="106">
        <v>34.897391408400146</v>
      </c>
      <c r="CM23" s="106">
        <v>10259.833074069644</v>
      </c>
      <c r="CN23" s="106">
        <v>0</v>
      </c>
      <c r="CO23" s="106">
        <v>0</v>
      </c>
      <c r="CP23" s="106">
        <v>45.16401308615049</v>
      </c>
      <c r="CQ23" s="106">
        <v>13278.219847328244</v>
      </c>
      <c r="CR23" s="106">
        <v>41.952763585694377</v>
      </c>
      <c r="CS23" s="106">
        <v>12334.112494194147</v>
      </c>
      <c r="CT23" s="106">
        <v>82.092087124345184</v>
      </c>
      <c r="CU23" s="106">
        <v>24135.073614557485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30.912398137369031</v>
      </c>
      <c r="M24" s="106">
        <v>11351.032596041909</v>
      </c>
      <c r="N24" s="106">
        <v>12.829729729729729</v>
      </c>
      <c r="O24" s="106">
        <v>4711.0767567567564</v>
      </c>
      <c r="P24" s="106">
        <v>10.248237126926862</v>
      </c>
      <c r="Q24" s="106">
        <v>3763.1526730075434</v>
      </c>
      <c r="R24" s="106">
        <v>11.383872883872883</v>
      </c>
      <c r="S24" s="106">
        <v>4180.1581229581225</v>
      </c>
      <c r="T24" s="106">
        <v>0</v>
      </c>
      <c r="U24" s="106">
        <v>0</v>
      </c>
      <c r="V24" s="106">
        <v>33.05471562275018</v>
      </c>
      <c r="W24" s="106">
        <v>12137.691576673866</v>
      </c>
      <c r="X24" s="106">
        <v>0</v>
      </c>
      <c r="Y24" s="106">
        <v>0</v>
      </c>
      <c r="Z24" s="106">
        <v>25.210485133020342</v>
      </c>
      <c r="AA24" s="106">
        <v>9257.2901408450689</v>
      </c>
      <c r="AB24" s="106">
        <v>16.228239961529216</v>
      </c>
      <c r="AC24" s="106">
        <v>5959.0097138735282</v>
      </c>
      <c r="AD24" s="106">
        <v>27.561163387510693</v>
      </c>
      <c r="AE24" s="106">
        <v>10120.459195893925</v>
      </c>
      <c r="AF24" s="106">
        <v>18.24602232248872</v>
      </c>
      <c r="AG24" s="106">
        <v>6699.9393968178574</v>
      </c>
      <c r="AH24" s="106">
        <v>0</v>
      </c>
      <c r="AI24" s="106">
        <v>0</v>
      </c>
      <c r="AJ24" s="106">
        <v>40.428934010152282</v>
      </c>
      <c r="AK24" s="106">
        <v>14845.504568527918</v>
      </c>
      <c r="AL24" s="106">
        <v>0</v>
      </c>
      <c r="AM24" s="106">
        <v>0</v>
      </c>
      <c r="AN24" s="106">
        <v>40.606244175209689</v>
      </c>
      <c r="AO24" s="106">
        <v>14910.612861136997</v>
      </c>
      <c r="AP24" s="106">
        <v>0</v>
      </c>
      <c r="AQ24" s="106">
        <v>0</v>
      </c>
      <c r="AR24" s="106">
        <v>15.746360527601366</v>
      </c>
      <c r="AS24" s="106">
        <v>5782.0635857352217</v>
      </c>
      <c r="AT24" s="106">
        <v>0</v>
      </c>
      <c r="AU24" s="106">
        <v>0</v>
      </c>
      <c r="AV24" s="106">
        <v>6.0844155844155852</v>
      </c>
      <c r="AW24" s="106">
        <v>2234.1974025974027</v>
      </c>
      <c r="AX24" s="106">
        <v>20.856736916883733</v>
      </c>
      <c r="AY24" s="106">
        <v>7658.5937958797067</v>
      </c>
      <c r="AZ24" s="106">
        <v>43.484243591042663</v>
      </c>
      <c r="BA24" s="106">
        <v>15967.414246630866</v>
      </c>
      <c r="BB24" s="106">
        <v>42.187616041589301</v>
      </c>
      <c r="BC24" s="106">
        <v>15491.292610471592</v>
      </c>
      <c r="BD24" s="106">
        <v>0</v>
      </c>
      <c r="BE24" s="106">
        <v>0</v>
      </c>
      <c r="BF24" s="106">
        <v>70.531462664305025</v>
      </c>
      <c r="BG24" s="106">
        <v>25899.153090332806</v>
      </c>
      <c r="BH24" s="106">
        <v>10.318106312292359</v>
      </c>
      <c r="BI24" s="106">
        <v>3788.8086378737544</v>
      </c>
      <c r="BJ24" s="106">
        <v>6.0954645208485738</v>
      </c>
      <c r="BK24" s="106">
        <v>2238.2545720555963</v>
      </c>
      <c r="BL24" s="106">
        <v>8.0024009603841524</v>
      </c>
      <c r="BM24" s="106">
        <v>2938.4816326530608</v>
      </c>
      <c r="BN24" s="106">
        <v>0</v>
      </c>
      <c r="BO24" s="106">
        <v>0</v>
      </c>
      <c r="BP24" s="106">
        <v>6.9607055648374239</v>
      </c>
      <c r="BQ24" s="106">
        <v>2555.9710834083021</v>
      </c>
      <c r="BR24" s="106">
        <v>14.861219485007245</v>
      </c>
      <c r="BS24" s="106">
        <v>5457.0397948946602</v>
      </c>
      <c r="BT24" s="106">
        <v>0</v>
      </c>
      <c r="BU24" s="106">
        <v>0</v>
      </c>
      <c r="BV24" s="106">
        <v>6.0329003407155026</v>
      </c>
      <c r="BW24" s="106">
        <v>2215.2810051107326</v>
      </c>
      <c r="BX24" s="106">
        <v>23.696067540546547</v>
      </c>
      <c r="BY24" s="106">
        <v>8701.1960008886927</v>
      </c>
      <c r="BZ24" s="106">
        <v>9.8554452131220707</v>
      </c>
      <c r="CA24" s="106">
        <v>3618.9194822584241</v>
      </c>
      <c r="CB24" s="106">
        <v>0</v>
      </c>
      <c r="CC24" s="106">
        <v>0</v>
      </c>
      <c r="CD24" s="106">
        <v>9.8560867422375562</v>
      </c>
      <c r="CE24" s="106">
        <v>3619.1550517496307</v>
      </c>
      <c r="CF24" s="106">
        <v>67.351831501831512</v>
      </c>
      <c r="CG24" s="106">
        <v>24731.59252747253</v>
      </c>
      <c r="CH24" s="106">
        <v>34.834458866865461</v>
      </c>
      <c r="CI24" s="106">
        <v>12791.213295912998</v>
      </c>
      <c r="CJ24" s="106">
        <v>0</v>
      </c>
      <c r="CK24" s="106">
        <v>0</v>
      </c>
      <c r="CL24" s="106">
        <v>38.137863467751586</v>
      </c>
      <c r="CM24" s="106">
        <v>14004.223465358382</v>
      </c>
      <c r="CN24" s="106">
        <v>0</v>
      </c>
      <c r="CO24" s="106">
        <v>0</v>
      </c>
      <c r="CP24" s="106">
        <v>41.485496183206109</v>
      </c>
      <c r="CQ24" s="106">
        <v>15233.474198473283</v>
      </c>
      <c r="CR24" s="106">
        <v>35.0638411518811</v>
      </c>
      <c r="CS24" s="106">
        <v>12875.44247097074</v>
      </c>
      <c r="CT24" s="106">
        <v>80.866832092638546</v>
      </c>
      <c r="CU24" s="106">
        <v>29694.300744416872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30.029186762015634</v>
      </c>
      <c r="M25" s="106">
        <v>15927.480658573091</v>
      </c>
      <c r="N25" s="106">
        <v>11.055405405405406</v>
      </c>
      <c r="O25" s="106">
        <v>5863.7870270270269</v>
      </c>
      <c r="P25" s="106">
        <v>9.1550918333879956</v>
      </c>
      <c r="Q25" s="106">
        <v>4855.8607084289924</v>
      </c>
      <c r="R25" s="106">
        <v>10.393970893970895</v>
      </c>
      <c r="S25" s="106">
        <v>5512.9621621621627</v>
      </c>
      <c r="T25" s="106">
        <v>0</v>
      </c>
      <c r="U25" s="106">
        <v>0</v>
      </c>
      <c r="V25" s="106">
        <v>33.72930165586753</v>
      </c>
      <c r="W25" s="106">
        <v>17890.021598272138</v>
      </c>
      <c r="X25" s="106">
        <v>0</v>
      </c>
      <c r="Y25" s="106">
        <v>0</v>
      </c>
      <c r="Z25" s="106">
        <v>27.383802816901412</v>
      </c>
      <c r="AA25" s="106">
        <v>14524.369014084508</v>
      </c>
      <c r="AB25" s="106">
        <v>15.627194037028133</v>
      </c>
      <c r="AC25" s="106">
        <v>8288.6637172397204</v>
      </c>
      <c r="AD25" s="106">
        <v>28.036355859709154</v>
      </c>
      <c r="AE25" s="106">
        <v>14870.483147989735</v>
      </c>
      <c r="AF25" s="106">
        <v>18.023509855141299</v>
      </c>
      <c r="AG25" s="106">
        <v>9559.6696271669443</v>
      </c>
      <c r="AH25" s="106">
        <v>0</v>
      </c>
      <c r="AI25" s="106">
        <v>0</v>
      </c>
      <c r="AJ25" s="106">
        <v>41.448150833937632</v>
      </c>
      <c r="AK25" s="106">
        <v>21984.099202320518</v>
      </c>
      <c r="AL25" s="106">
        <v>0</v>
      </c>
      <c r="AM25" s="106">
        <v>0</v>
      </c>
      <c r="AN25" s="106">
        <v>37.986486486486491</v>
      </c>
      <c r="AO25" s="106">
        <v>20148.032432432436</v>
      </c>
      <c r="AP25" s="106">
        <v>0</v>
      </c>
      <c r="AQ25" s="106">
        <v>0</v>
      </c>
      <c r="AR25" s="106">
        <v>14.281582804103566</v>
      </c>
      <c r="AS25" s="106">
        <v>7574.9515192965309</v>
      </c>
      <c r="AT25" s="106">
        <v>0</v>
      </c>
      <c r="AU25" s="106">
        <v>0</v>
      </c>
      <c r="AV25" s="106">
        <v>6.0844155844155852</v>
      </c>
      <c r="AW25" s="106">
        <v>3227.1740259740263</v>
      </c>
      <c r="AX25" s="106">
        <v>19.303575657115793</v>
      </c>
      <c r="AY25" s="106">
        <v>10238.616528534216</v>
      </c>
      <c r="AZ25" s="106">
        <v>38.262336609585567</v>
      </c>
      <c r="BA25" s="106">
        <v>20294.343337724185</v>
      </c>
      <c r="BB25" s="106">
        <v>41.404753063497957</v>
      </c>
      <c r="BC25" s="106">
        <v>21961.081024879317</v>
      </c>
      <c r="BD25" s="106">
        <v>0</v>
      </c>
      <c r="BE25" s="106">
        <v>0</v>
      </c>
      <c r="BF25" s="106">
        <v>71.152885242845159</v>
      </c>
      <c r="BG25" s="106">
        <v>37739.490332805071</v>
      </c>
      <c r="BH25" s="106">
        <v>10.947259136212626</v>
      </c>
      <c r="BI25" s="106">
        <v>5806.4262458471767</v>
      </c>
      <c r="BJ25" s="106">
        <v>5.4859180687637155</v>
      </c>
      <c r="BK25" s="106">
        <v>2909.7309436722744</v>
      </c>
      <c r="BL25" s="106">
        <v>7.627288415366146</v>
      </c>
      <c r="BM25" s="106">
        <v>4045.5137755102037</v>
      </c>
      <c r="BN25" s="106">
        <v>0</v>
      </c>
      <c r="BO25" s="106">
        <v>0</v>
      </c>
      <c r="BP25" s="106">
        <v>6.746530008996273</v>
      </c>
      <c r="BQ25" s="106">
        <v>3578.359516771623</v>
      </c>
      <c r="BR25" s="106">
        <v>14.303923754319474</v>
      </c>
      <c r="BS25" s="106">
        <v>7586.8011592910489</v>
      </c>
      <c r="BT25" s="106">
        <v>0</v>
      </c>
      <c r="BU25" s="106">
        <v>0</v>
      </c>
      <c r="BV25" s="106">
        <v>5.6780238500851787</v>
      </c>
      <c r="BW25" s="106">
        <v>3011.6238500851787</v>
      </c>
      <c r="BX25" s="106">
        <v>24.066318595867582</v>
      </c>
      <c r="BY25" s="106">
        <v>12764.775383248165</v>
      </c>
      <c r="BZ25" s="106">
        <v>10.041397009596071</v>
      </c>
      <c r="CA25" s="106">
        <v>5325.9569738897562</v>
      </c>
      <c r="CB25" s="106">
        <v>0</v>
      </c>
      <c r="CC25" s="106">
        <v>0</v>
      </c>
      <c r="CD25" s="106">
        <v>10.677427304090685</v>
      </c>
      <c r="CE25" s="106">
        <v>5663.3074420896992</v>
      </c>
      <c r="CF25" s="106">
        <v>59.619597069597063</v>
      </c>
      <c r="CG25" s="106">
        <v>31622.234285714279</v>
      </c>
      <c r="CH25" s="106">
        <v>30.790738466935622</v>
      </c>
      <c r="CI25" s="106">
        <v>16331.407682862653</v>
      </c>
      <c r="CJ25" s="106">
        <v>0</v>
      </c>
      <c r="CK25" s="106">
        <v>0</v>
      </c>
      <c r="CL25" s="106">
        <v>31.008824937178414</v>
      </c>
      <c r="CM25" s="106">
        <v>16447.080746679429</v>
      </c>
      <c r="CN25" s="106">
        <v>0</v>
      </c>
      <c r="CO25" s="106">
        <v>0</v>
      </c>
      <c r="CP25" s="106">
        <v>38.351944747364598</v>
      </c>
      <c r="CQ25" s="106">
        <v>20341.871494002182</v>
      </c>
      <c r="CR25" s="106">
        <v>37.076335346028799</v>
      </c>
      <c r="CS25" s="106">
        <v>19665.288267533673</v>
      </c>
      <c r="CT25" s="106">
        <v>76.884753239591944</v>
      </c>
      <c r="CU25" s="106">
        <v>40779.673118279563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28.262764011308832</v>
      </c>
      <c r="M26" s="106">
        <v>13735.703309496092</v>
      </c>
      <c r="N26" s="106">
        <v>12.147297297297296</v>
      </c>
      <c r="O26" s="106">
        <v>5903.5864864864861</v>
      </c>
      <c r="P26" s="106">
        <v>9.8383076418497879</v>
      </c>
      <c r="Q26" s="106">
        <v>4781.4175139389972</v>
      </c>
      <c r="R26" s="106">
        <v>11.136397386397386</v>
      </c>
      <c r="S26" s="106">
        <v>5412.2891297891292</v>
      </c>
      <c r="T26" s="106">
        <v>0</v>
      </c>
      <c r="U26" s="106">
        <v>0</v>
      </c>
      <c r="V26" s="106">
        <v>30.581233501319893</v>
      </c>
      <c r="W26" s="106">
        <v>14862.479481641469</v>
      </c>
      <c r="X26" s="106">
        <v>0</v>
      </c>
      <c r="Y26" s="106">
        <v>0</v>
      </c>
      <c r="Z26" s="106">
        <v>28.470461658841941</v>
      </c>
      <c r="AA26" s="106">
        <v>13836.644366197183</v>
      </c>
      <c r="AB26" s="106">
        <v>13.223010339023803</v>
      </c>
      <c r="AC26" s="106">
        <v>6426.3830247655687</v>
      </c>
      <c r="AD26" s="106">
        <v>26.610778443113769</v>
      </c>
      <c r="AE26" s="106">
        <v>12932.838323353291</v>
      </c>
      <c r="AF26" s="106">
        <v>15.798385181667062</v>
      </c>
      <c r="AG26" s="106">
        <v>7678.0151982901916</v>
      </c>
      <c r="AH26" s="106">
        <v>0</v>
      </c>
      <c r="AI26" s="106">
        <v>0</v>
      </c>
      <c r="AJ26" s="106">
        <v>37.711022480058013</v>
      </c>
      <c r="AK26" s="106">
        <v>18327.556925308196</v>
      </c>
      <c r="AL26" s="106">
        <v>0</v>
      </c>
      <c r="AM26" s="106">
        <v>0</v>
      </c>
      <c r="AN26" s="106">
        <v>35.803355079217148</v>
      </c>
      <c r="AO26" s="106">
        <v>17400.430568499534</v>
      </c>
      <c r="AP26" s="106">
        <v>0</v>
      </c>
      <c r="AQ26" s="106">
        <v>0</v>
      </c>
      <c r="AR26" s="106">
        <v>14.098485588666341</v>
      </c>
      <c r="AS26" s="106">
        <v>6851.8639960918417</v>
      </c>
      <c r="AT26" s="106">
        <v>0</v>
      </c>
      <c r="AU26" s="106">
        <v>0</v>
      </c>
      <c r="AV26" s="106">
        <v>6.6375442739079107</v>
      </c>
      <c r="AW26" s="106">
        <v>3225.8465171192447</v>
      </c>
      <c r="AX26" s="106">
        <v>17.528534217381011</v>
      </c>
      <c r="AY26" s="106">
        <v>8518.8676296471713</v>
      </c>
      <c r="AZ26" s="106">
        <v>39.686493059073868</v>
      </c>
      <c r="BA26" s="106">
        <v>19287.6356267099</v>
      </c>
      <c r="BB26" s="106">
        <v>34.880894912736721</v>
      </c>
      <c r="BC26" s="106">
        <v>16952.114927590046</v>
      </c>
      <c r="BD26" s="106">
        <v>0</v>
      </c>
      <c r="BE26" s="106">
        <v>0</v>
      </c>
      <c r="BF26" s="106">
        <v>79.076023119231849</v>
      </c>
      <c r="BG26" s="106">
        <v>38430.947235946682</v>
      </c>
      <c r="BH26" s="106">
        <v>10.569767441860465</v>
      </c>
      <c r="BI26" s="106">
        <v>5136.9069767441861</v>
      </c>
      <c r="BJ26" s="106">
        <v>5.973555230431602</v>
      </c>
      <c r="BK26" s="106">
        <v>2903.1478419897585</v>
      </c>
      <c r="BL26" s="106">
        <v>8.1274384753901554</v>
      </c>
      <c r="BM26" s="106">
        <v>3949.9350990396156</v>
      </c>
      <c r="BN26" s="106">
        <v>0</v>
      </c>
      <c r="BO26" s="106">
        <v>0</v>
      </c>
      <c r="BP26" s="106">
        <v>7.0677933427579998</v>
      </c>
      <c r="BQ26" s="106">
        <v>3434.9475645803877</v>
      </c>
      <c r="BR26" s="106">
        <v>13.7466280236317</v>
      </c>
      <c r="BS26" s="106">
        <v>6680.8612194850066</v>
      </c>
      <c r="BT26" s="106">
        <v>0</v>
      </c>
      <c r="BU26" s="106">
        <v>0</v>
      </c>
      <c r="BV26" s="106">
        <v>6.5060689948892678</v>
      </c>
      <c r="BW26" s="106">
        <v>3161.9495315161844</v>
      </c>
      <c r="BX26" s="106">
        <v>25.177071761830703</v>
      </c>
      <c r="BY26" s="106">
        <v>12236.056876249722</v>
      </c>
      <c r="BZ26" s="106">
        <v>9.8554452131220707</v>
      </c>
      <c r="CA26" s="106">
        <v>4789.7463735773263</v>
      </c>
      <c r="CB26" s="106">
        <v>0</v>
      </c>
      <c r="CC26" s="106">
        <v>0</v>
      </c>
      <c r="CD26" s="106">
        <v>11.224987678659438</v>
      </c>
      <c r="CE26" s="106">
        <v>5455.3440118284871</v>
      </c>
      <c r="CF26" s="106">
        <v>71.31968864468864</v>
      </c>
      <c r="CG26" s="106">
        <v>34661.36868131868</v>
      </c>
      <c r="CH26" s="106">
        <v>35.029336958428345</v>
      </c>
      <c r="CI26" s="106">
        <v>17024.257761796176</v>
      </c>
      <c r="CJ26" s="106">
        <v>0</v>
      </c>
      <c r="CK26" s="106">
        <v>0</v>
      </c>
      <c r="CL26" s="106">
        <v>37.041088309201868</v>
      </c>
      <c r="CM26" s="106">
        <v>18001.968918272109</v>
      </c>
      <c r="CN26" s="106">
        <v>0</v>
      </c>
      <c r="CO26" s="106">
        <v>0</v>
      </c>
      <c r="CP26" s="106">
        <v>41.144892766266807</v>
      </c>
      <c r="CQ26" s="106">
        <v>19996.41788440567</v>
      </c>
      <c r="CR26" s="106">
        <v>33.206154203437066</v>
      </c>
      <c r="CS26" s="106">
        <v>16138.190942870415</v>
      </c>
      <c r="CT26" s="106">
        <v>73.515301902398676</v>
      </c>
      <c r="CU26" s="106">
        <v>35728.436724565756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27.968360219524364</v>
      </c>
      <c r="M27" s="106">
        <v>11948.083485780808</v>
      </c>
      <c r="N27" s="106">
        <v>10.918918918918919</v>
      </c>
      <c r="O27" s="106">
        <v>4664.5621621621622</v>
      </c>
      <c r="P27" s="106">
        <v>9.4283781567727125</v>
      </c>
      <c r="Q27" s="106">
        <v>4027.8031485733027</v>
      </c>
      <c r="R27" s="106">
        <v>11.012659637659638</v>
      </c>
      <c r="S27" s="106">
        <v>4704.6081972081975</v>
      </c>
      <c r="T27" s="106">
        <v>0</v>
      </c>
      <c r="U27" s="106">
        <v>0</v>
      </c>
      <c r="V27" s="106">
        <v>31.70554355651548</v>
      </c>
      <c r="W27" s="106">
        <v>13544.608207343412</v>
      </c>
      <c r="X27" s="106">
        <v>0</v>
      </c>
      <c r="Y27" s="106">
        <v>0</v>
      </c>
      <c r="Z27" s="106">
        <v>28.687793427230044</v>
      </c>
      <c r="AA27" s="106">
        <v>12255.425352112674</v>
      </c>
      <c r="AB27" s="106">
        <v>14.425102188025969</v>
      </c>
      <c r="AC27" s="106">
        <v>6162.4036547246933</v>
      </c>
      <c r="AD27" s="106">
        <v>29.461933276304535</v>
      </c>
      <c r="AE27" s="106">
        <v>12586.137895637297</v>
      </c>
      <c r="AF27" s="106">
        <v>18.69104725718357</v>
      </c>
      <c r="AG27" s="106">
        <v>7984.8153882688212</v>
      </c>
      <c r="AH27" s="106">
        <v>0</v>
      </c>
      <c r="AI27" s="106">
        <v>0</v>
      </c>
      <c r="AJ27" s="106">
        <v>34.653372008701957</v>
      </c>
      <c r="AK27" s="106">
        <v>14803.920522117476</v>
      </c>
      <c r="AL27" s="106">
        <v>0</v>
      </c>
      <c r="AM27" s="106">
        <v>0</v>
      </c>
      <c r="AN27" s="106">
        <v>41.479496738117426</v>
      </c>
      <c r="AO27" s="106">
        <v>17720.041006523763</v>
      </c>
      <c r="AP27" s="106">
        <v>0</v>
      </c>
      <c r="AQ27" s="106">
        <v>0</v>
      </c>
      <c r="AR27" s="106">
        <v>15.746360527601366</v>
      </c>
      <c r="AS27" s="106">
        <v>6726.8452173913038</v>
      </c>
      <c r="AT27" s="106">
        <v>0</v>
      </c>
      <c r="AU27" s="106">
        <v>0</v>
      </c>
      <c r="AV27" s="106">
        <v>6.2687918142463603</v>
      </c>
      <c r="AW27" s="106">
        <v>2678.0278630460452</v>
      </c>
      <c r="AX27" s="106">
        <v>18.416054937248401</v>
      </c>
      <c r="AY27" s="106">
        <v>7867.3386691925161</v>
      </c>
      <c r="AZ27" s="106">
        <v>42.534805958050462</v>
      </c>
      <c r="BA27" s="106">
        <v>18170.869105279158</v>
      </c>
      <c r="BB27" s="106">
        <v>38.795209803193465</v>
      </c>
      <c r="BC27" s="106">
        <v>16573.313627924246</v>
      </c>
      <c r="BD27" s="106">
        <v>0</v>
      </c>
      <c r="BE27" s="106">
        <v>0</v>
      </c>
      <c r="BF27" s="106">
        <v>71.618952176750255</v>
      </c>
      <c r="BG27" s="106">
        <v>30595.616369907708</v>
      </c>
      <c r="BH27" s="106">
        <v>10.695598006644518</v>
      </c>
      <c r="BI27" s="106">
        <v>4569.1594684385382</v>
      </c>
      <c r="BJ27" s="106">
        <v>6.7050109729334313</v>
      </c>
      <c r="BK27" s="106">
        <v>2864.3806876371618</v>
      </c>
      <c r="BL27" s="106">
        <v>7.2521758703481387</v>
      </c>
      <c r="BM27" s="106">
        <v>3098.129531812725</v>
      </c>
      <c r="BN27" s="106">
        <v>0</v>
      </c>
      <c r="BO27" s="106">
        <v>0</v>
      </c>
      <c r="BP27" s="106">
        <v>7.4961444544403042</v>
      </c>
      <c r="BQ27" s="106">
        <v>3202.3529109368978</v>
      </c>
      <c r="BR27" s="106">
        <v>15.604280459257609</v>
      </c>
      <c r="BS27" s="106">
        <v>6666.1486121948501</v>
      </c>
      <c r="BT27" s="106">
        <v>0</v>
      </c>
      <c r="BU27" s="106">
        <v>0</v>
      </c>
      <c r="BV27" s="106">
        <v>5.9146081771720613</v>
      </c>
      <c r="BW27" s="106">
        <v>2526.7206132879046</v>
      </c>
      <c r="BX27" s="106">
        <v>23.696067540546547</v>
      </c>
      <c r="BY27" s="106">
        <v>10122.960053321485</v>
      </c>
      <c r="BZ27" s="106">
        <v>9.8554452131220707</v>
      </c>
      <c r="CA27" s="106">
        <v>4210.2461950457482</v>
      </c>
      <c r="CB27" s="106">
        <v>0</v>
      </c>
      <c r="CC27" s="106">
        <v>0</v>
      </c>
      <c r="CD27" s="106">
        <v>10.951207491375062</v>
      </c>
      <c r="CE27" s="106">
        <v>4678.3558403154266</v>
      </c>
      <c r="CF27" s="106">
        <v>65.11355311355311</v>
      </c>
      <c r="CG27" s="106">
        <v>27816.509890109886</v>
      </c>
      <c r="CH27" s="106">
        <v>34.298544115067536</v>
      </c>
      <c r="CI27" s="106">
        <v>14652.338045956851</v>
      </c>
      <c r="CJ27" s="106">
        <v>0</v>
      </c>
      <c r="CK27" s="106">
        <v>0</v>
      </c>
      <c r="CL27" s="106">
        <v>35.146658489888715</v>
      </c>
      <c r="CM27" s="106">
        <v>15014.652506880459</v>
      </c>
      <c r="CN27" s="106">
        <v>0</v>
      </c>
      <c r="CO27" s="106">
        <v>0</v>
      </c>
      <c r="CP27" s="106">
        <v>38.147582697201024</v>
      </c>
      <c r="CQ27" s="106">
        <v>16296.647328244277</v>
      </c>
      <c r="CR27" s="106">
        <v>38.856618671620993</v>
      </c>
      <c r="CS27" s="106">
        <v>16599.547496516487</v>
      </c>
      <c r="CT27" s="106">
        <v>78.722635787151916</v>
      </c>
      <c r="CU27" s="106">
        <v>33630.310008271299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28.851571594877761</v>
      </c>
      <c r="M28" s="106">
        <v>21292.459837019789</v>
      </c>
      <c r="N28" s="106">
        <v>12.693243243243243</v>
      </c>
      <c r="O28" s="106">
        <v>9367.6135135135137</v>
      </c>
      <c r="P28" s="106">
        <v>9.0184486716956371</v>
      </c>
      <c r="Q28" s="106">
        <v>6655.6151197113804</v>
      </c>
      <c r="R28" s="106">
        <v>10.393970893970895</v>
      </c>
      <c r="S28" s="106">
        <v>7670.7505197505207</v>
      </c>
      <c r="T28" s="106">
        <v>0</v>
      </c>
      <c r="U28" s="106">
        <v>0</v>
      </c>
      <c r="V28" s="106">
        <v>32.604991600671944</v>
      </c>
      <c r="W28" s="106">
        <v>24062.483801295893</v>
      </c>
      <c r="X28" s="106">
        <v>0</v>
      </c>
      <c r="Y28" s="106">
        <v>0</v>
      </c>
      <c r="Z28" s="106">
        <v>25.427816901408452</v>
      </c>
      <c r="AA28" s="106">
        <v>18765.728873239437</v>
      </c>
      <c r="AB28" s="106">
        <v>14.825799471026688</v>
      </c>
      <c r="AC28" s="106">
        <v>10941.440009617696</v>
      </c>
      <c r="AD28" s="106">
        <v>29.937125748502993</v>
      </c>
      <c r="AE28" s="106">
        <v>22093.598802395209</v>
      </c>
      <c r="AF28" s="106">
        <v>16.910947518404182</v>
      </c>
      <c r="AG28" s="106">
        <v>12480.279268582286</v>
      </c>
      <c r="AH28" s="106">
        <v>0</v>
      </c>
      <c r="AI28" s="106">
        <v>0</v>
      </c>
      <c r="AJ28" s="106">
        <v>33.294416243654823</v>
      </c>
      <c r="AK28" s="106">
        <v>24571.279187817257</v>
      </c>
      <c r="AL28" s="106">
        <v>0</v>
      </c>
      <c r="AM28" s="106">
        <v>0</v>
      </c>
      <c r="AN28" s="106">
        <v>37.549860205032623</v>
      </c>
      <c r="AO28" s="106">
        <v>27711.796831314077</v>
      </c>
      <c r="AP28" s="106">
        <v>0</v>
      </c>
      <c r="AQ28" s="106">
        <v>0</v>
      </c>
      <c r="AR28" s="106">
        <v>13.549193942354666</v>
      </c>
      <c r="AS28" s="106">
        <v>9999.3051294577435</v>
      </c>
      <c r="AT28" s="106">
        <v>0</v>
      </c>
      <c r="AU28" s="106">
        <v>0</v>
      </c>
      <c r="AV28" s="106">
        <v>6.2687918142463603</v>
      </c>
      <c r="AW28" s="106">
        <v>4626.3683589138136</v>
      </c>
      <c r="AX28" s="106">
        <v>17.972294577314706</v>
      </c>
      <c r="AY28" s="106">
        <v>13263.553398058253</v>
      </c>
      <c r="AZ28" s="106">
        <v>39.971324348971521</v>
      </c>
      <c r="BA28" s="106">
        <v>29498.837369540983</v>
      </c>
      <c r="BB28" s="106">
        <v>37.0555142963238</v>
      </c>
      <c r="BC28" s="106">
        <v>27346.969550686965</v>
      </c>
      <c r="BD28" s="106">
        <v>0</v>
      </c>
      <c r="BE28" s="106">
        <v>0</v>
      </c>
      <c r="BF28" s="106">
        <v>67.735061060874429</v>
      </c>
      <c r="BG28" s="106">
        <v>49988.475062925332</v>
      </c>
      <c r="BH28" s="106">
        <v>10.947259136212626</v>
      </c>
      <c r="BI28" s="106">
        <v>8079.0772425249179</v>
      </c>
      <c r="BJ28" s="106">
        <v>5.2420994879297735</v>
      </c>
      <c r="BK28" s="106">
        <v>3868.6694220921727</v>
      </c>
      <c r="BL28" s="106">
        <v>6.7520258103241293</v>
      </c>
      <c r="BM28" s="106">
        <v>4982.9950480192074</v>
      </c>
      <c r="BN28" s="106">
        <v>0</v>
      </c>
      <c r="BO28" s="106">
        <v>0</v>
      </c>
      <c r="BP28" s="106">
        <v>6.3181788973139703</v>
      </c>
      <c r="BQ28" s="106">
        <v>4662.8160262177098</v>
      </c>
      <c r="BR28" s="106">
        <v>15.046984728569837</v>
      </c>
      <c r="BS28" s="106">
        <v>11104.674729684541</v>
      </c>
      <c r="BT28" s="106">
        <v>0</v>
      </c>
      <c r="BU28" s="106">
        <v>0</v>
      </c>
      <c r="BV28" s="106">
        <v>5.6780238500851787</v>
      </c>
      <c r="BW28" s="106">
        <v>4190.3816013628621</v>
      </c>
      <c r="BX28" s="106">
        <v>21.844812263941346</v>
      </c>
      <c r="BY28" s="106">
        <v>16121.471450788713</v>
      </c>
      <c r="BZ28" s="106">
        <v>10.413300602544076</v>
      </c>
      <c r="CA28" s="106">
        <v>7685.0158446775285</v>
      </c>
      <c r="CB28" s="106">
        <v>0</v>
      </c>
      <c r="CC28" s="106">
        <v>0</v>
      </c>
      <c r="CD28" s="106">
        <v>10.129866929521933</v>
      </c>
      <c r="CE28" s="106">
        <v>7475.841793987187</v>
      </c>
      <c r="CF28" s="106">
        <v>55.753479853479853</v>
      </c>
      <c r="CG28" s="106">
        <v>41146.068131868131</v>
      </c>
      <c r="CH28" s="106">
        <v>28.403481845290301</v>
      </c>
      <c r="CI28" s="106">
        <v>20961.769601824242</v>
      </c>
      <c r="CJ28" s="106">
        <v>0</v>
      </c>
      <c r="CK28" s="106">
        <v>0</v>
      </c>
      <c r="CL28" s="106">
        <v>31.158385186071559</v>
      </c>
      <c r="CM28" s="106">
        <v>22994.88826732081</v>
      </c>
      <c r="CN28" s="106">
        <v>0</v>
      </c>
      <c r="CO28" s="106">
        <v>0</v>
      </c>
      <c r="CP28" s="106">
        <v>39.986841148673214</v>
      </c>
      <c r="CQ28" s="106">
        <v>29510.288767720831</v>
      </c>
      <c r="CR28" s="106">
        <v>32.819136089177888</v>
      </c>
      <c r="CS28" s="106">
        <v>24220.522433813283</v>
      </c>
      <c r="CT28" s="106">
        <v>60.956437827405573</v>
      </c>
      <c r="CU28" s="106">
        <v>44985.851116625316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28.557167803093296</v>
      </c>
      <c r="M29" s="106">
        <v>9663.74558456677</v>
      </c>
      <c r="N29" s="106">
        <v>12.420270270270271</v>
      </c>
      <c r="O29" s="106">
        <v>4203.0194594594595</v>
      </c>
      <c r="P29" s="106">
        <v>11.204739258773367</v>
      </c>
      <c r="Q29" s="106">
        <v>3791.683765168907</v>
      </c>
      <c r="R29" s="106">
        <v>12.373774873774874</v>
      </c>
      <c r="S29" s="106">
        <v>4187.2854172854168</v>
      </c>
      <c r="T29" s="106">
        <v>0</v>
      </c>
      <c r="U29" s="106">
        <v>0</v>
      </c>
      <c r="V29" s="106">
        <v>29.007199424046075</v>
      </c>
      <c r="W29" s="106">
        <v>9816.0362850971906</v>
      </c>
      <c r="X29" s="106">
        <v>0</v>
      </c>
      <c r="Y29" s="106">
        <v>0</v>
      </c>
      <c r="Z29" s="106">
        <v>28.905125195618151</v>
      </c>
      <c r="AA29" s="106">
        <v>9781.4943661971811</v>
      </c>
      <c r="AB29" s="106">
        <v>13.623707622024526</v>
      </c>
      <c r="AC29" s="106">
        <v>4610.2626592930992</v>
      </c>
      <c r="AD29" s="106">
        <v>27.561163387510693</v>
      </c>
      <c r="AE29" s="106">
        <v>9326.6976903336181</v>
      </c>
      <c r="AF29" s="106">
        <v>18.468534789836141</v>
      </c>
      <c r="AG29" s="106">
        <v>6249.7521728805496</v>
      </c>
      <c r="AH29" s="106">
        <v>0</v>
      </c>
      <c r="AI29" s="106">
        <v>0</v>
      </c>
      <c r="AJ29" s="106">
        <v>41.787889775199417</v>
      </c>
      <c r="AK29" s="106">
        <v>14141.021899927482</v>
      </c>
      <c r="AL29" s="106">
        <v>0</v>
      </c>
      <c r="AM29" s="106">
        <v>0</v>
      </c>
      <c r="AN29" s="106">
        <v>41.042870456663557</v>
      </c>
      <c r="AO29" s="106">
        <v>13888.907362534947</v>
      </c>
      <c r="AP29" s="106">
        <v>0</v>
      </c>
      <c r="AQ29" s="106">
        <v>0</v>
      </c>
      <c r="AR29" s="106">
        <v>15.929457743038595</v>
      </c>
      <c r="AS29" s="106">
        <v>5390.5285002442606</v>
      </c>
      <c r="AT29" s="106">
        <v>0</v>
      </c>
      <c r="AU29" s="106">
        <v>0</v>
      </c>
      <c r="AV29" s="106">
        <v>6.6375442739079107</v>
      </c>
      <c r="AW29" s="106">
        <v>2246.1449822904369</v>
      </c>
      <c r="AX29" s="106">
        <v>18.859815297182095</v>
      </c>
      <c r="AY29" s="106">
        <v>6382.1614965664203</v>
      </c>
      <c r="AZ29" s="106">
        <v>44.433681224034856</v>
      </c>
      <c r="BA29" s="106">
        <v>15036.357726213395</v>
      </c>
      <c r="BB29" s="106">
        <v>38.186316375789083</v>
      </c>
      <c r="BC29" s="106">
        <v>12922.249461567026</v>
      </c>
      <c r="BD29" s="106">
        <v>0</v>
      </c>
      <c r="BE29" s="106">
        <v>0</v>
      </c>
      <c r="BF29" s="106">
        <v>70.997529598210122</v>
      </c>
      <c r="BG29" s="106">
        <v>24025.564016034303</v>
      </c>
      <c r="BH29" s="106">
        <v>10.695598006644518</v>
      </c>
      <c r="BI29" s="106">
        <v>3619.3903654485048</v>
      </c>
      <c r="BJ29" s="106">
        <v>6.0954645208485738</v>
      </c>
      <c r="BK29" s="106">
        <v>2062.7051938551572</v>
      </c>
      <c r="BL29" s="106">
        <v>7.1271383553421366</v>
      </c>
      <c r="BM29" s="106">
        <v>2411.823619447779</v>
      </c>
      <c r="BN29" s="106">
        <v>0</v>
      </c>
      <c r="BO29" s="106">
        <v>0</v>
      </c>
      <c r="BP29" s="106">
        <v>6.5323544531551212</v>
      </c>
      <c r="BQ29" s="106">
        <v>2210.548746947693</v>
      </c>
      <c r="BR29" s="106">
        <v>16.161576189945382</v>
      </c>
      <c r="BS29" s="106">
        <v>5469.0773826775167</v>
      </c>
      <c r="BT29" s="106">
        <v>0</v>
      </c>
      <c r="BU29" s="106">
        <v>0</v>
      </c>
      <c r="BV29" s="106">
        <v>5.9146081771720613</v>
      </c>
      <c r="BW29" s="106">
        <v>2001.5034071550253</v>
      </c>
      <c r="BX29" s="106">
        <v>24.436569651188623</v>
      </c>
      <c r="BY29" s="106">
        <v>8269.335169962229</v>
      </c>
      <c r="BZ29" s="106">
        <v>10.413300602544076</v>
      </c>
      <c r="CA29" s="106">
        <v>3523.8609239009152</v>
      </c>
      <c r="CB29" s="106">
        <v>0</v>
      </c>
      <c r="CC29" s="106">
        <v>0</v>
      </c>
      <c r="CD29" s="106">
        <v>10.40364711680631</v>
      </c>
      <c r="CE29" s="106">
        <v>3520.5941843272549</v>
      </c>
      <c r="CF29" s="106">
        <v>70.20054945054946</v>
      </c>
      <c r="CG29" s="106">
        <v>23755.865934065936</v>
      </c>
      <c r="CH29" s="106">
        <v>33.17799508858095</v>
      </c>
      <c r="CI29" s="106">
        <v>11227.433537975792</v>
      </c>
      <c r="CJ29" s="106">
        <v>0</v>
      </c>
      <c r="CK29" s="106">
        <v>0</v>
      </c>
      <c r="CL29" s="106">
        <v>36.492700729927009</v>
      </c>
      <c r="CM29" s="106">
        <v>12349.1299270073</v>
      </c>
      <c r="CN29" s="106">
        <v>0</v>
      </c>
      <c r="CO29" s="106">
        <v>0</v>
      </c>
      <c r="CP29" s="106">
        <v>39.986841148673214</v>
      </c>
      <c r="CQ29" s="106">
        <v>13531.547044711015</v>
      </c>
      <c r="CR29" s="106">
        <v>39.70805852299118</v>
      </c>
      <c r="CS29" s="106">
        <v>13437.207004180214</v>
      </c>
      <c r="CT29" s="106">
        <v>76.578439481665285</v>
      </c>
      <c r="CU29" s="106">
        <v>25914.143920595532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27.085148844170963</v>
      </c>
      <c r="M30" s="106">
        <v>3770.2527191085978</v>
      </c>
      <c r="N30" s="106">
        <v>12.147297297297296</v>
      </c>
      <c r="O30" s="106">
        <v>1690.9037837837834</v>
      </c>
      <c r="P30" s="106">
        <v>10.794809773696294</v>
      </c>
      <c r="Q30" s="106">
        <v>1502.6375204985241</v>
      </c>
      <c r="R30" s="106">
        <v>12.002561627561628</v>
      </c>
      <c r="S30" s="106">
        <v>1670.7565785565785</v>
      </c>
      <c r="T30" s="106">
        <v>0</v>
      </c>
      <c r="U30" s="106">
        <v>0</v>
      </c>
      <c r="V30" s="106">
        <v>33.72930165586753</v>
      </c>
      <c r="W30" s="106">
        <v>4695.1187904967601</v>
      </c>
      <c r="X30" s="106">
        <v>0</v>
      </c>
      <c r="Y30" s="106">
        <v>0</v>
      </c>
      <c r="Z30" s="106">
        <v>29.339788732394368</v>
      </c>
      <c r="AA30" s="106">
        <v>4084.0985915492956</v>
      </c>
      <c r="AB30" s="106">
        <v>15.22649675402741</v>
      </c>
      <c r="AC30" s="106">
        <v>2119.5283481606152</v>
      </c>
      <c r="AD30" s="106">
        <v>30.887510692899916</v>
      </c>
      <c r="AE30" s="106">
        <v>4299.5414884516676</v>
      </c>
      <c r="AF30" s="106">
        <v>18.69104725718357</v>
      </c>
      <c r="AG30" s="106">
        <v>2601.7937781999526</v>
      </c>
      <c r="AH30" s="106">
        <v>0</v>
      </c>
      <c r="AI30" s="106">
        <v>0</v>
      </c>
      <c r="AJ30" s="106">
        <v>42.807106598984767</v>
      </c>
      <c r="AK30" s="106">
        <v>5958.7492385786791</v>
      </c>
      <c r="AL30" s="106">
        <v>0</v>
      </c>
      <c r="AM30" s="106">
        <v>0</v>
      </c>
      <c r="AN30" s="106">
        <v>45.845759552656105</v>
      </c>
      <c r="AO30" s="106">
        <v>6381.7297297297291</v>
      </c>
      <c r="AP30" s="106">
        <v>0</v>
      </c>
      <c r="AQ30" s="106">
        <v>0</v>
      </c>
      <c r="AR30" s="106">
        <v>16.47874938935027</v>
      </c>
      <c r="AS30" s="106">
        <v>2293.8419149975575</v>
      </c>
      <c r="AT30" s="106">
        <v>0</v>
      </c>
      <c r="AU30" s="106">
        <v>0</v>
      </c>
      <c r="AV30" s="106">
        <v>6.6375442739079107</v>
      </c>
      <c r="AW30" s="106">
        <v>923.94616292798105</v>
      </c>
      <c r="AX30" s="106">
        <v>21.078617096850579</v>
      </c>
      <c r="AY30" s="106">
        <v>2934.1434998816003</v>
      </c>
      <c r="AZ30" s="106">
        <v>50.130307021988045</v>
      </c>
      <c r="BA30" s="106">
        <v>6978.1387374607357</v>
      </c>
      <c r="BB30" s="106">
        <v>44.710174526550311</v>
      </c>
      <c r="BC30" s="106">
        <v>6223.6562940958029</v>
      </c>
      <c r="BD30" s="106">
        <v>0</v>
      </c>
      <c r="BE30" s="106">
        <v>0</v>
      </c>
      <c r="BF30" s="106">
        <v>74.415353780180851</v>
      </c>
      <c r="BG30" s="106">
        <v>10358.617246201173</v>
      </c>
      <c r="BH30" s="106">
        <v>9.9406146179401986</v>
      </c>
      <c r="BI30" s="106">
        <v>1383.7335548172755</v>
      </c>
      <c r="BJ30" s="106">
        <v>6.3392831016825157</v>
      </c>
      <c r="BK30" s="106">
        <v>882.42820775420614</v>
      </c>
      <c r="BL30" s="106">
        <v>7.627288415366146</v>
      </c>
      <c r="BM30" s="106">
        <v>1061.7185474189675</v>
      </c>
      <c r="BN30" s="106">
        <v>0</v>
      </c>
      <c r="BO30" s="106">
        <v>0</v>
      </c>
      <c r="BP30" s="106">
        <v>7.4961444544403042</v>
      </c>
      <c r="BQ30" s="106">
        <v>1043.4633080580902</v>
      </c>
      <c r="BR30" s="106">
        <v>14.303923754319474</v>
      </c>
      <c r="BS30" s="106">
        <v>1991.1061866012706</v>
      </c>
      <c r="BT30" s="106">
        <v>0</v>
      </c>
      <c r="BU30" s="106">
        <v>0</v>
      </c>
      <c r="BV30" s="106">
        <v>6.2694846678023852</v>
      </c>
      <c r="BW30" s="106">
        <v>872.71226575809192</v>
      </c>
      <c r="BX30" s="106">
        <v>27.398578093756939</v>
      </c>
      <c r="BY30" s="106">
        <v>3813.8820706509655</v>
      </c>
      <c r="BZ30" s="106">
        <v>11.343059584914082</v>
      </c>
      <c r="CA30" s="106">
        <v>1578.95389422004</v>
      </c>
      <c r="CB30" s="106">
        <v>0</v>
      </c>
      <c r="CC30" s="106">
        <v>0</v>
      </c>
      <c r="CD30" s="106">
        <v>10.951207491375062</v>
      </c>
      <c r="CE30" s="106">
        <v>1524.4080827994085</v>
      </c>
      <c r="CF30" s="106">
        <v>68.979670329670327</v>
      </c>
      <c r="CG30" s="106">
        <v>9601.9701098901096</v>
      </c>
      <c r="CH30" s="106">
        <v>36.052446939133489</v>
      </c>
      <c r="CI30" s="106">
        <v>5018.500613927381</v>
      </c>
      <c r="CJ30" s="106">
        <v>0</v>
      </c>
      <c r="CK30" s="106">
        <v>0</v>
      </c>
      <c r="CL30" s="106">
        <v>42.674524350843605</v>
      </c>
      <c r="CM30" s="106">
        <v>5940.2937896374297</v>
      </c>
      <c r="CN30" s="106">
        <v>0</v>
      </c>
      <c r="CO30" s="106">
        <v>0</v>
      </c>
      <c r="CP30" s="106">
        <v>45.027771719374769</v>
      </c>
      <c r="CQ30" s="106">
        <v>6267.865823336967</v>
      </c>
      <c r="CR30" s="106">
        <v>42.649396191360886</v>
      </c>
      <c r="CS30" s="106">
        <v>5936.7959498374348</v>
      </c>
      <c r="CT30" s="106">
        <v>74.740556934105314</v>
      </c>
      <c r="CU30" s="106">
        <v>10403.885525227459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29.145975386662229</v>
      </c>
      <c r="M31" s="106">
        <v>9932.9484117744887</v>
      </c>
      <c r="N31" s="106">
        <v>12.010810810810812</v>
      </c>
      <c r="O31" s="106">
        <v>4093.2843243243246</v>
      </c>
      <c r="P31" s="106">
        <v>9.7016644801574294</v>
      </c>
      <c r="Q31" s="106">
        <v>3306.3272548376522</v>
      </c>
      <c r="R31" s="106">
        <v>11.631348381348381</v>
      </c>
      <c r="S31" s="106">
        <v>3963.9635283635284</v>
      </c>
      <c r="T31" s="106">
        <v>0</v>
      </c>
      <c r="U31" s="106">
        <v>0</v>
      </c>
      <c r="V31" s="106">
        <v>31.030957523398126</v>
      </c>
      <c r="W31" s="106">
        <v>10575.350323974082</v>
      </c>
      <c r="X31" s="106">
        <v>0</v>
      </c>
      <c r="Y31" s="106">
        <v>0</v>
      </c>
      <c r="Z31" s="106">
        <v>29.122456964006261</v>
      </c>
      <c r="AA31" s="106">
        <v>9924.9333333333343</v>
      </c>
      <c r="AB31" s="106">
        <v>13.623707622024526</v>
      </c>
      <c r="AC31" s="106">
        <v>4642.9595575859585</v>
      </c>
      <c r="AD31" s="106">
        <v>29.937125748502993</v>
      </c>
      <c r="AE31" s="106">
        <v>10202.572455089819</v>
      </c>
      <c r="AF31" s="106">
        <v>16.465922583709332</v>
      </c>
      <c r="AG31" s="106">
        <v>5611.5864165281409</v>
      </c>
      <c r="AH31" s="106">
        <v>0</v>
      </c>
      <c r="AI31" s="106">
        <v>0</v>
      </c>
      <c r="AJ31" s="106">
        <v>40.089195068890497</v>
      </c>
      <c r="AK31" s="106">
        <v>13662.397679477881</v>
      </c>
      <c r="AL31" s="106">
        <v>0</v>
      </c>
      <c r="AM31" s="106">
        <v>0</v>
      </c>
      <c r="AN31" s="106">
        <v>44.099254426840631</v>
      </c>
      <c r="AO31" s="106">
        <v>15029.025908667287</v>
      </c>
      <c r="AP31" s="106">
        <v>0</v>
      </c>
      <c r="AQ31" s="106">
        <v>0</v>
      </c>
      <c r="AR31" s="106">
        <v>15.929457743038595</v>
      </c>
      <c r="AS31" s="106">
        <v>5428.7591988275535</v>
      </c>
      <c r="AT31" s="106">
        <v>0</v>
      </c>
      <c r="AU31" s="106">
        <v>0</v>
      </c>
      <c r="AV31" s="106">
        <v>7.0984848484848486</v>
      </c>
      <c r="AW31" s="106">
        <v>2419.1636363636367</v>
      </c>
      <c r="AX31" s="106">
        <v>17.972294577314706</v>
      </c>
      <c r="AY31" s="106">
        <v>6124.9579919488524</v>
      </c>
      <c r="AZ31" s="106">
        <v>44.243793697436416</v>
      </c>
      <c r="BA31" s="106">
        <v>15078.284892086331</v>
      </c>
      <c r="BB31" s="106">
        <v>40.447920534719643</v>
      </c>
      <c r="BC31" s="106">
        <v>13784.651318232454</v>
      </c>
      <c r="BD31" s="106">
        <v>0</v>
      </c>
      <c r="BE31" s="106">
        <v>0</v>
      </c>
      <c r="BF31" s="106">
        <v>81.25100214412231</v>
      </c>
      <c r="BG31" s="106">
        <v>27690.341530716883</v>
      </c>
      <c r="BH31" s="106">
        <v>11.073089700996679</v>
      </c>
      <c r="BI31" s="106">
        <v>3773.7089700996685</v>
      </c>
      <c r="BJ31" s="106">
        <v>5.7297366495976592</v>
      </c>
      <c r="BK31" s="106">
        <v>1952.6942501828823</v>
      </c>
      <c r="BL31" s="106">
        <v>8.1274384753901554</v>
      </c>
      <c r="BM31" s="106">
        <v>2769.8310324129652</v>
      </c>
      <c r="BN31" s="106">
        <v>0</v>
      </c>
      <c r="BO31" s="106">
        <v>0</v>
      </c>
      <c r="BP31" s="106">
        <v>6.5323544531551212</v>
      </c>
      <c r="BQ31" s="106">
        <v>2226.2263976352656</v>
      </c>
      <c r="BR31" s="106">
        <v>14.118158510756885</v>
      </c>
      <c r="BS31" s="106">
        <v>4811.468420465947</v>
      </c>
      <c r="BT31" s="106">
        <v>0</v>
      </c>
      <c r="BU31" s="106">
        <v>0</v>
      </c>
      <c r="BV31" s="106">
        <v>5.9146081771720613</v>
      </c>
      <c r="BW31" s="106">
        <v>2015.6984667802385</v>
      </c>
      <c r="BX31" s="106">
        <v>24.436569651188623</v>
      </c>
      <c r="BY31" s="106">
        <v>8327.9829371250835</v>
      </c>
      <c r="BZ31" s="106">
        <v>11.157107788440079</v>
      </c>
      <c r="CA31" s="106">
        <v>3802.3423343003792</v>
      </c>
      <c r="CB31" s="106">
        <v>0</v>
      </c>
      <c r="CC31" s="106">
        <v>0</v>
      </c>
      <c r="CD31" s="106">
        <v>11.08809758501725</v>
      </c>
      <c r="CE31" s="106">
        <v>3778.8236569738788</v>
      </c>
      <c r="CF31" s="106">
        <v>73.964926739926739</v>
      </c>
      <c r="CG31" s="106">
        <v>25207.247032967032</v>
      </c>
      <c r="CH31" s="106">
        <v>32.008726539203643</v>
      </c>
      <c r="CI31" s="106">
        <v>10908.574004560602</v>
      </c>
      <c r="CJ31" s="106">
        <v>0</v>
      </c>
      <c r="CK31" s="106">
        <v>0</v>
      </c>
      <c r="CL31" s="106">
        <v>37.838742969965296</v>
      </c>
      <c r="CM31" s="106">
        <v>12895.443604164173</v>
      </c>
      <c r="CN31" s="106">
        <v>0</v>
      </c>
      <c r="CO31" s="106">
        <v>0</v>
      </c>
      <c r="CP31" s="106">
        <v>41.757978916757544</v>
      </c>
      <c r="CQ31" s="106">
        <v>14231.119214830971</v>
      </c>
      <c r="CR31" s="106">
        <v>35.528262888992103</v>
      </c>
      <c r="CS31" s="106">
        <v>12108.031992568509</v>
      </c>
      <c r="CT31" s="106">
        <v>76.118968844775296</v>
      </c>
      <c r="CU31" s="106">
        <v>25941.344582299422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29.145975386662229</v>
      </c>
      <c r="M32" s="106">
        <v>24482.619324796273</v>
      </c>
      <c r="N32" s="106">
        <v>11.191891891891892</v>
      </c>
      <c r="O32" s="106">
        <v>9401.1891891891901</v>
      </c>
      <c r="P32" s="106">
        <v>9.8383076418497879</v>
      </c>
      <c r="Q32" s="106">
        <v>8264.1784191538227</v>
      </c>
      <c r="R32" s="106">
        <v>11.755086130086129</v>
      </c>
      <c r="S32" s="106">
        <v>9874.2723492723489</v>
      </c>
      <c r="T32" s="106">
        <v>0</v>
      </c>
      <c r="U32" s="106">
        <v>0</v>
      </c>
      <c r="V32" s="106">
        <v>28.332613390928728</v>
      </c>
      <c r="W32" s="106">
        <v>23799.395248380133</v>
      </c>
      <c r="X32" s="106">
        <v>0</v>
      </c>
      <c r="Y32" s="106">
        <v>0</v>
      </c>
      <c r="Z32" s="106">
        <v>26.949139280125195</v>
      </c>
      <c r="AA32" s="106">
        <v>22637.276995305165</v>
      </c>
      <c r="AB32" s="106">
        <v>13.623707622024526</v>
      </c>
      <c r="AC32" s="106">
        <v>11443.914402500601</v>
      </c>
      <c r="AD32" s="106">
        <v>26.610778443113769</v>
      </c>
      <c r="AE32" s="106">
        <v>22353.053892215565</v>
      </c>
      <c r="AF32" s="106">
        <v>15.575872714319638</v>
      </c>
      <c r="AG32" s="106">
        <v>13083.733080028496</v>
      </c>
      <c r="AH32" s="106">
        <v>0</v>
      </c>
      <c r="AI32" s="106">
        <v>0</v>
      </c>
      <c r="AJ32" s="106">
        <v>38.390500362581584</v>
      </c>
      <c r="AK32" s="106">
        <v>32248.02030456853</v>
      </c>
      <c r="AL32" s="106">
        <v>0</v>
      </c>
      <c r="AM32" s="106">
        <v>0</v>
      </c>
      <c r="AN32" s="106">
        <v>39.29636533084809</v>
      </c>
      <c r="AO32" s="106">
        <v>33008.946877912393</v>
      </c>
      <c r="AP32" s="106">
        <v>0</v>
      </c>
      <c r="AQ32" s="106">
        <v>0</v>
      </c>
      <c r="AR32" s="106">
        <v>12.816805080605764</v>
      </c>
      <c r="AS32" s="106">
        <v>10766.116267708841</v>
      </c>
      <c r="AT32" s="106">
        <v>0</v>
      </c>
      <c r="AU32" s="106">
        <v>0</v>
      </c>
      <c r="AV32" s="106">
        <v>6.1766036993309719</v>
      </c>
      <c r="AW32" s="106">
        <v>5188.3471074380168</v>
      </c>
      <c r="AX32" s="106">
        <v>17.750414397347857</v>
      </c>
      <c r="AY32" s="106">
        <v>14910.3480937722</v>
      </c>
      <c r="AZ32" s="106">
        <v>37.692674029790254</v>
      </c>
      <c r="BA32" s="106">
        <v>31661.846185023813</v>
      </c>
      <c r="BB32" s="106">
        <v>36.359636093575936</v>
      </c>
      <c r="BC32" s="106">
        <v>30542.094318603788</v>
      </c>
      <c r="BD32" s="106">
        <v>0</v>
      </c>
      <c r="BE32" s="106">
        <v>0</v>
      </c>
      <c r="BF32" s="106">
        <v>70.376107019669988</v>
      </c>
      <c r="BG32" s="106">
        <v>59115.929896522786</v>
      </c>
      <c r="BH32" s="106">
        <v>10.821428571428573</v>
      </c>
      <c r="BI32" s="106">
        <v>9090.0000000000018</v>
      </c>
      <c r="BJ32" s="106">
        <v>6.0954645208485738</v>
      </c>
      <c r="BK32" s="106">
        <v>5120.1901975128021</v>
      </c>
      <c r="BL32" s="106">
        <v>7.5022509003601439</v>
      </c>
      <c r="BM32" s="106">
        <v>6301.8907563025205</v>
      </c>
      <c r="BN32" s="106">
        <v>0</v>
      </c>
      <c r="BO32" s="106">
        <v>0</v>
      </c>
      <c r="BP32" s="106">
        <v>7.3890566765197283</v>
      </c>
      <c r="BQ32" s="106">
        <v>6206.807608276572</v>
      </c>
      <c r="BR32" s="106">
        <v>14.861219485007245</v>
      </c>
      <c r="BS32" s="106">
        <v>12483.424367406085</v>
      </c>
      <c r="BT32" s="106">
        <v>0</v>
      </c>
      <c r="BU32" s="106">
        <v>0</v>
      </c>
      <c r="BV32" s="106">
        <v>6.1511925042589439</v>
      </c>
      <c r="BW32" s="106">
        <v>5167.0017035775127</v>
      </c>
      <c r="BX32" s="106">
        <v>25.177071761830703</v>
      </c>
      <c r="BY32" s="106">
        <v>21148.740279937792</v>
      </c>
      <c r="BZ32" s="106">
        <v>10.599252399018077</v>
      </c>
      <c r="CA32" s="106">
        <v>8903.3720151751841</v>
      </c>
      <c r="CB32" s="106">
        <v>0</v>
      </c>
      <c r="CC32" s="106">
        <v>0</v>
      </c>
      <c r="CD32" s="106">
        <v>9.719196648595366</v>
      </c>
      <c r="CE32" s="106">
        <v>8164.1251848201073</v>
      </c>
      <c r="CF32" s="106">
        <v>54.43086080586081</v>
      </c>
      <c r="CG32" s="106">
        <v>45721.923076923078</v>
      </c>
      <c r="CH32" s="106">
        <v>28.549640413962461</v>
      </c>
      <c r="CI32" s="106">
        <v>23981.697947728466</v>
      </c>
      <c r="CJ32" s="106">
        <v>0</v>
      </c>
      <c r="CK32" s="106">
        <v>0</v>
      </c>
      <c r="CL32" s="106">
        <v>28.765421203781266</v>
      </c>
      <c r="CM32" s="106">
        <v>24162.953811176263</v>
      </c>
      <c r="CN32" s="106">
        <v>0</v>
      </c>
      <c r="CO32" s="106">
        <v>0</v>
      </c>
      <c r="CP32" s="106">
        <v>38.965030897855328</v>
      </c>
      <c r="CQ32" s="106">
        <v>32730.625954198476</v>
      </c>
      <c r="CR32" s="106">
        <v>33.128750580585233</v>
      </c>
      <c r="CS32" s="106">
        <v>27828.150487691597</v>
      </c>
      <c r="CT32" s="106">
        <v>70.299007444168737</v>
      </c>
      <c r="CU32" s="106">
        <v>59051.166253101735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29.145975386662229</v>
      </c>
      <c r="M33" s="106">
        <v>13815.192333277897</v>
      </c>
      <c r="N33" s="106">
        <v>13.102702702702702</v>
      </c>
      <c r="O33" s="106">
        <v>6210.6810810810812</v>
      </c>
      <c r="P33" s="106">
        <v>9.1550918333879956</v>
      </c>
      <c r="Q33" s="106">
        <v>4339.5135290259095</v>
      </c>
      <c r="R33" s="106">
        <v>11.012659637659638</v>
      </c>
      <c r="S33" s="106">
        <v>5220.0006682506682</v>
      </c>
      <c r="T33" s="106">
        <v>0</v>
      </c>
      <c r="U33" s="106">
        <v>0</v>
      </c>
      <c r="V33" s="106">
        <v>31.255819534437247</v>
      </c>
      <c r="W33" s="106">
        <v>14815.258459323255</v>
      </c>
      <c r="X33" s="106">
        <v>0</v>
      </c>
      <c r="Y33" s="106">
        <v>0</v>
      </c>
      <c r="Z33" s="106">
        <v>27.818466353677621</v>
      </c>
      <c r="AA33" s="106">
        <v>13185.953051643193</v>
      </c>
      <c r="AB33" s="106">
        <v>14.825799471026688</v>
      </c>
      <c r="AC33" s="106">
        <v>7027.4289492666503</v>
      </c>
      <c r="AD33" s="106">
        <v>28.98674080410607</v>
      </c>
      <c r="AE33" s="106">
        <v>13739.715141146276</v>
      </c>
      <c r="AF33" s="106">
        <v>15.575872714319638</v>
      </c>
      <c r="AG33" s="106">
        <v>7382.9636665875087</v>
      </c>
      <c r="AH33" s="106">
        <v>0</v>
      </c>
      <c r="AI33" s="106">
        <v>0</v>
      </c>
      <c r="AJ33" s="106">
        <v>40.428934010152282</v>
      </c>
      <c r="AK33" s="106">
        <v>19163.314720812181</v>
      </c>
      <c r="AL33" s="106">
        <v>0</v>
      </c>
      <c r="AM33" s="106">
        <v>0</v>
      </c>
      <c r="AN33" s="106">
        <v>37.113233923578754</v>
      </c>
      <c r="AO33" s="106">
        <v>17591.672879776328</v>
      </c>
      <c r="AP33" s="106">
        <v>0</v>
      </c>
      <c r="AQ33" s="106">
        <v>0</v>
      </c>
      <c r="AR33" s="106">
        <v>13.73229115779189</v>
      </c>
      <c r="AS33" s="106">
        <v>6509.1060087933556</v>
      </c>
      <c r="AT33" s="106">
        <v>0</v>
      </c>
      <c r="AU33" s="106">
        <v>0</v>
      </c>
      <c r="AV33" s="106">
        <v>6.5453561589925222</v>
      </c>
      <c r="AW33" s="106">
        <v>3102.4988193624554</v>
      </c>
      <c r="AX33" s="106">
        <v>17.084773857447313</v>
      </c>
      <c r="AY33" s="106">
        <v>8098.1828084300269</v>
      </c>
      <c r="AZ33" s="106">
        <v>39.116830479278548</v>
      </c>
      <c r="BA33" s="106">
        <v>18541.377647178033</v>
      </c>
      <c r="BB33" s="106">
        <v>37.838377274415151</v>
      </c>
      <c r="BC33" s="106">
        <v>17935.390828072781</v>
      </c>
      <c r="BD33" s="106">
        <v>0</v>
      </c>
      <c r="BE33" s="106">
        <v>0</v>
      </c>
      <c r="BF33" s="106">
        <v>75.036776358720985</v>
      </c>
      <c r="BG33" s="106">
        <v>35567.431994033745</v>
      </c>
      <c r="BH33" s="106">
        <v>11.450581395348836</v>
      </c>
      <c r="BI33" s="106">
        <v>5427.5755813953483</v>
      </c>
      <c r="BJ33" s="106">
        <v>6.5831016825164594</v>
      </c>
      <c r="BK33" s="106">
        <v>3120.3901975128019</v>
      </c>
      <c r="BL33" s="106">
        <v>7.7523259303721481</v>
      </c>
      <c r="BM33" s="106">
        <v>3674.602490996398</v>
      </c>
      <c r="BN33" s="106">
        <v>0</v>
      </c>
      <c r="BO33" s="106">
        <v>0</v>
      </c>
      <c r="BP33" s="106">
        <v>7.3890566765197283</v>
      </c>
      <c r="BQ33" s="106">
        <v>3502.4128646703512</v>
      </c>
      <c r="BR33" s="106">
        <v>15.790045702820198</v>
      </c>
      <c r="BS33" s="106">
        <v>7484.4816631367739</v>
      </c>
      <c r="BT33" s="106">
        <v>0</v>
      </c>
      <c r="BU33" s="106">
        <v>0</v>
      </c>
      <c r="BV33" s="106">
        <v>5.4414395229982961</v>
      </c>
      <c r="BW33" s="106">
        <v>2579.2423339011925</v>
      </c>
      <c r="BX33" s="106">
        <v>23.325816485225506</v>
      </c>
      <c r="BY33" s="106">
        <v>11056.437013996891</v>
      </c>
      <c r="BZ33" s="106">
        <v>10.227348806070074</v>
      </c>
      <c r="CA33" s="106">
        <v>4847.7633340772154</v>
      </c>
      <c r="CB33" s="106">
        <v>0</v>
      </c>
      <c r="CC33" s="106">
        <v>0</v>
      </c>
      <c r="CD33" s="106">
        <v>10.540537210448498</v>
      </c>
      <c r="CE33" s="106">
        <v>4996.2146377525878</v>
      </c>
      <c r="CF33" s="106">
        <v>60.94221611721612</v>
      </c>
      <c r="CG33" s="106">
        <v>28886.610439560442</v>
      </c>
      <c r="CH33" s="106">
        <v>34.737019821084019</v>
      </c>
      <c r="CI33" s="106">
        <v>16465.347395193825</v>
      </c>
      <c r="CJ33" s="106">
        <v>0</v>
      </c>
      <c r="CK33" s="106">
        <v>0</v>
      </c>
      <c r="CL33" s="106">
        <v>31.607065932750988</v>
      </c>
      <c r="CM33" s="106">
        <v>14981.749252123969</v>
      </c>
      <c r="CN33" s="106">
        <v>0</v>
      </c>
      <c r="CO33" s="106">
        <v>0</v>
      </c>
      <c r="CP33" s="106">
        <v>42.030461650308979</v>
      </c>
      <c r="CQ33" s="106">
        <v>19922.438822246455</v>
      </c>
      <c r="CR33" s="106">
        <v>33.283557826288899</v>
      </c>
      <c r="CS33" s="106">
        <v>15776.406409660938</v>
      </c>
      <c r="CT33" s="106">
        <v>71.830576233802034</v>
      </c>
      <c r="CU33" s="106">
        <v>34047.693134822162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27.968360219524364</v>
      </c>
      <c r="M34" s="106">
        <v>15337.84874438716</v>
      </c>
      <c r="N34" s="106">
        <v>10.782432432432433</v>
      </c>
      <c r="O34" s="106">
        <v>5913.0859459459462</v>
      </c>
      <c r="P34" s="106">
        <v>10.521523450311577</v>
      </c>
      <c r="Q34" s="106">
        <v>5770.0034601508687</v>
      </c>
      <c r="R34" s="106">
        <v>12.126299376299377</v>
      </c>
      <c r="S34" s="106">
        <v>6650.062577962578</v>
      </c>
      <c r="T34" s="106">
        <v>0</v>
      </c>
      <c r="U34" s="106">
        <v>0</v>
      </c>
      <c r="V34" s="106">
        <v>34.179025677945759</v>
      </c>
      <c r="W34" s="106">
        <v>18743.777681785454</v>
      </c>
      <c r="X34" s="106">
        <v>0</v>
      </c>
      <c r="Y34" s="106">
        <v>0</v>
      </c>
      <c r="Z34" s="106">
        <v>28.035798122065728</v>
      </c>
      <c r="AA34" s="106">
        <v>15374.831690140845</v>
      </c>
      <c r="AB34" s="106">
        <v>15.02614811252705</v>
      </c>
      <c r="AC34" s="106">
        <v>8240.3396249098332</v>
      </c>
      <c r="AD34" s="106">
        <v>26.135585970915312</v>
      </c>
      <c r="AE34" s="106">
        <v>14332.755346449956</v>
      </c>
      <c r="AF34" s="106">
        <v>17.800997387793874</v>
      </c>
      <c r="AG34" s="106">
        <v>9762.0669674661603</v>
      </c>
      <c r="AH34" s="106">
        <v>0</v>
      </c>
      <c r="AI34" s="106">
        <v>0</v>
      </c>
      <c r="AJ34" s="106">
        <v>39.069978245105148</v>
      </c>
      <c r="AK34" s="106">
        <v>21425.976069615663</v>
      </c>
      <c r="AL34" s="106">
        <v>0</v>
      </c>
      <c r="AM34" s="106">
        <v>0</v>
      </c>
      <c r="AN34" s="106">
        <v>36.239981360671017</v>
      </c>
      <c r="AO34" s="106">
        <v>19874.005778191986</v>
      </c>
      <c r="AP34" s="106">
        <v>0</v>
      </c>
      <c r="AQ34" s="106">
        <v>0</v>
      </c>
      <c r="AR34" s="106">
        <v>15.380166096726917</v>
      </c>
      <c r="AS34" s="106">
        <v>8434.4830874450417</v>
      </c>
      <c r="AT34" s="106">
        <v>0</v>
      </c>
      <c r="AU34" s="106">
        <v>0</v>
      </c>
      <c r="AV34" s="106">
        <v>6.6375442739079107</v>
      </c>
      <c r="AW34" s="106">
        <v>3640.0292798110981</v>
      </c>
      <c r="AX34" s="106">
        <v>19.303575657115793</v>
      </c>
      <c r="AY34" s="106">
        <v>10586.0808903623</v>
      </c>
      <c r="AZ34" s="106">
        <v>37.882561556388694</v>
      </c>
      <c r="BA34" s="106">
        <v>20774.79675752356</v>
      </c>
      <c r="BB34" s="106">
        <v>40.01299665800223</v>
      </c>
      <c r="BC34" s="106">
        <v>21943.12736724842</v>
      </c>
      <c r="BD34" s="106">
        <v>0</v>
      </c>
      <c r="BE34" s="106">
        <v>0</v>
      </c>
      <c r="BF34" s="106">
        <v>71.929663466020315</v>
      </c>
      <c r="BG34" s="106">
        <v>39446.227444765536</v>
      </c>
      <c r="BH34" s="106">
        <v>9.6889534883720927</v>
      </c>
      <c r="BI34" s="106">
        <v>5313.422093023255</v>
      </c>
      <c r="BJ34" s="106">
        <v>5.973555230431602</v>
      </c>
      <c r="BK34" s="106">
        <v>3275.8976883686905</v>
      </c>
      <c r="BL34" s="106">
        <v>8.1274384753901554</v>
      </c>
      <c r="BM34" s="106">
        <v>4457.0872599039612</v>
      </c>
      <c r="BN34" s="106">
        <v>0</v>
      </c>
      <c r="BO34" s="106">
        <v>0</v>
      </c>
      <c r="BP34" s="106">
        <v>7.6032322323608792</v>
      </c>
      <c r="BQ34" s="106">
        <v>4169.6125562267061</v>
      </c>
      <c r="BR34" s="106">
        <v>15.046984728569837</v>
      </c>
      <c r="BS34" s="106">
        <v>8251.7664251476981</v>
      </c>
      <c r="BT34" s="106">
        <v>0</v>
      </c>
      <c r="BU34" s="106">
        <v>0</v>
      </c>
      <c r="BV34" s="106">
        <v>5.9146081771720613</v>
      </c>
      <c r="BW34" s="106">
        <v>3243.5711243611581</v>
      </c>
      <c r="BX34" s="106">
        <v>24.436569651188623</v>
      </c>
      <c r="BY34" s="106">
        <v>13401.014796711841</v>
      </c>
      <c r="BZ34" s="106">
        <v>10.227348806070074</v>
      </c>
      <c r="CA34" s="106">
        <v>5608.6780852488282</v>
      </c>
      <c r="CB34" s="106">
        <v>0</v>
      </c>
      <c r="CC34" s="106">
        <v>0</v>
      </c>
      <c r="CD34" s="106">
        <v>10.40364711680631</v>
      </c>
      <c r="CE34" s="106">
        <v>5705.36007885658</v>
      </c>
      <c r="CF34" s="106">
        <v>68.674450549450555</v>
      </c>
      <c r="CG34" s="106">
        <v>37661.068681318684</v>
      </c>
      <c r="CH34" s="106">
        <v>30.595860375372741</v>
      </c>
      <c r="CI34" s="106">
        <v>16778.769829854409</v>
      </c>
      <c r="CJ34" s="106">
        <v>0</v>
      </c>
      <c r="CK34" s="106">
        <v>0</v>
      </c>
      <c r="CL34" s="106">
        <v>31.258092018666986</v>
      </c>
      <c r="CM34" s="106">
        <v>17141.937663036973</v>
      </c>
      <c r="CN34" s="106">
        <v>0</v>
      </c>
      <c r="CO34" s="106">
        <v>0</v>
      </c>
      <c r="CP34" s="106">
        <v>39.373754998182484</v>
      </c>
      <c r="CQ34" s="106">
        <v>21592.567241003275</v>
      </c>
      <c r="CR34" s="106">
        <v>37.385949837436137</v>
      </c>
      <c r="CS34" s="106">
        <v>20502.454890849975</v>
      </c>
      <c r="CT34" s="106">
        <v>74.740556934105314</v>
      </c>
      <c r="CU34" s="106">
        <v>40987.721422663351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25.318726093464161</v>
      </c>
      <c r="M35" s="106">
        <v>12730.255479793777</v>
      </c>
      <c r="N35" s="106">
        <v>11.601351351351353</v>
      </c>
      <c r="O35" s="106">
        <v>5833.159459459459</v>
      </c>
      <c r="P35" s="106">
        <v>10.38488028861922</v>
      </c>
      <c r="Q35" s="106">
        <v>5221.5178091177431</v>
      </c>
      <c r="R35" s="106">
        <v>12.74498811998812</v>
      </c>
      <c r="S35" s="106">
        <v>6408.1800267300259</v>
      </c>
      <c r="T35" s="106">
        <v>0</v>
      </c>
      <c r="U35" s="106">
        <v>0</v>
      </c>
      <c r="V35" s="106">
        <v>30.581233501319893</v>
      </c>
      <c r="W35" s="106">
        <v>15376.244204463639</v>
      </c>
      <c r="X35" s="106">
        <v>0</v>
      </c>
      <c r="Y35" s="106">
        <v>0</v>
      </c>
      <c r="Z35" s="106">
        <v>24.775821596244132</v>
      </c>
      <c r="AA35" s="106">
        <v>12457.283098591546</v>
      </c>
      <c r="AB35" s="106">
        <v>14.024404905025245</v>
      </c>
      <c r="AC35" s="106">
        <v>7051.4707862466912</v>
      </c>
      <c r="AD35" s="106">
        <v>28.036355859709154</v>
      </c>
      <c r="AE35" s="106">
        <v>14096.67972626176</v>
      </c>
      <c r="AF35" s="106">
        <v>16.243410116361911</v>
      </c>
      <c r="AG35" s="106">
        <v>8167.186606506767</v>
      </c>
      <c r="AH35" s="106">
        <v>0</v>
      </c>
      <c r="AI35" s="106">
        <v>0</v>
      </c>
      <c r="AJ35" s="106">
        <v>38.050761421319791</v>
      </c>
      <c r="AK35" s="106">
        <v>19131.922842639586</v>
      </c>
      <c r="AL35" s="106">
        <v>0</v>
      </c>
      <c r="AM35" s="106">
        <v>0</v>
      </c>
      <c r="AN35" s="106">
        <v>36.676607642124885</v>
      </c>
      <c r="AO35" s="106">
        <v>18440.998322460389</v>
      </c>
      <c r="AP35" s="106">
        <v>0</v>
      </c>
      <c r="AQ35" s="106">
        <v>0</v>
      </c>
      <c r="AR35" s="106">
        <v>14.464680019540792</v>
      </c>
      <c r="AS35" s="106">
        <v>7272.8411138251086</v>
      </c>
      <c r="AT35" s="106">
        <v>0</v>
      </c>
      <c r="AU35" s="106">
        <v>0</v>
      </c>
      <c r="AV35" s="106">
        <v>6.6375442739079107</v>
      </c>
      <c r="AW35" s="106">
        <v>3337.3572609208968</v>
      </c>
      <c r="AX35" s="106">
        <v>17.528534217381011</v>
      </c>
      <c r="AY35" s="106">
        <v>8813.34700449917</v>
      </c>
      <c r="AZ35" s="106">
        <v>41.110649508562162</v>
      </c>
      <c r="BA35" s="106">
        <v>20670.434572905051</v>
      </c>
      <c r="BB35" s="106">
        <v>36.968529520980319</v>
      </c>
      <c r="BC35" s="106">
        <v>18587.7766431489</v>
      </c>
      <c r="BD35" s="106">
        <v>0</v>
      </c>
      <c r="BE35" s="106">
        <v>0</v>
      </c>
      <c r="BF35" s="106">
        <v>73.01715297846556</v>
      </c>
      <c r="BG35" s="106">
        <v>36713.024517572478</v>
      </c>
      <c r="BH35" s="106">
        <v>10.192275747508306</v>
      </c>
      <c r="BI35" s="106">
        <v>5124.6762458471758</v>
      </c>
      <c r="BJ35" s="106">
        <v>5.851645940014631</v>
      </c>
      <c r="BK35" s="106">
        <v>2942.2075786393557</v>
      </c>
      <c r="BL35" s="106">
        <v>7.5022509003601439</v>
      </c>
      <c r="BM35" s="106">
        <v>3772.1317527010797</v>
      </c>
      <c r="BN35" s="106">
        <v>0</v>
      </c>
      <c r="BO35" s="106">
        <v>0</v>
      </c>
      <c r="BP35" s="106">
        <v>7.6032322323608792</v>
      </c>
      <c r="BQ35" s="106">
        <v>3822.9051664310491</v>
      </c>
      <c r="BR35" s="106">
        <v>14.675454241444656</v>
      </c>
      <c r="BS35" s="106">
        <v>7378.8183925983722</v>
      </c>
      <c r="BT35" s="106">
        <v>0</v>
      </c>
      <c r="BU35" s="106">
        <v>0</v>
      </c>
      <c r="BV35" s="106">
        <v>5.79631601362862</v>
      </c>
      <c r="BW35" s="106">
        <v>2914.3876916524696</v>
      </c>
      <c r="BX35" s="106">
        <v>24.436569651188623</v>
      </c>
      <c r="BY35" s="106">
        <v>12286.707220617638</v>
      </c>
      <c r="BZ35" s="106">
        <v>10.227348806070074</v>
      </c>
      <c r="CA35" s="106">
        <v>5142.3109796920326</v>
      </c>
      <c r="CB35" s="106">
        <v>0</v>
      </c>
      <c r="CC35" s="106">
        <v>0</v>
      </c>
      <c r="CD35" s="106">
        <v>10.266757023164121</v>
      </c>
      <c r="CE35" s="106">
        <v>5162.1254312469191</v>
      </c>
      <c r="CF35" s="106">
        <v>62.264835164835162</v>
      </c>
      <c r="CG35" s="106">
        <v>31306.759120879113</v>
      </c>
      <c r="CH35" s="106">
        <v>35.760129801789162</v>
      </c>
      <c r="CI35" s="106">
        <v>17980.193264339588</v>
      </c>
      <c r="CJ35" s="106">
        <v>0</v>
      </c>
      <c r="CK35" s="106">
        <v>0</v>
      </c>
      <c r="CL35" s="106">
        <v>33.850469666148136</v>
      </c>
      <c r="CM35" s="106">
        <v>17020.016148139279</v>
      </c>
      <c r="CN35" s="106">
        <v>0</v>
      </c>
      <c r="CO35" s="106">
        <v>0</v>
      </c>
      <c r="CP35" s="106">
        <v>36.376444929116687</v>
      </c>
      <c r="CQ35" s="106">
        <v>18290.076510359868</v>
      </c>
      <c r="CR35" s="106">
        <v>37.385949837436137</v>
      </c>
      <c r="CS35" s="106">
        <v>18797.655578262886</v>
      </c>
      <c r="CT35" s="106">
        <v>67.542183622828787</v>
      </c>
      <c r="CU35" s="106">
        <v>33960.209925558309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25.024322301679693</v>
      </c>
      <c r="M36" s="106">
        <v>19038.504407117907</v>
      </c>
      <c r="N36" s="106">
        <v>12.147297297297296</v>
      </c>
      <c r="O36" s="106">
        <v>9241.6637837837825</v>
      </c>
      <c r="P36" s="106">
        <v>8.8818055100032787</v>
      </c>
      <c r="Q36" s="106">
        <v>6757.277632010494</v>
      </c>
      <c r="R36" s="106">
        <v>12.126299376299377</v>
      </c>
      <c r="S36" s="106">
        <v>9225.6885654885646</v>
      </c>
      <c r="T36" s="106">
        <v>0</v>
      </c>
      <c r="U36" s="106">
        <v>0</v>
      </c>
      <c r="V36" s="106">
        <v>31.255819534437247</v>
      </c>
      <c r="W36" s="106">
        <v>23779.427501799855</v>
      </c>
      <c r="X36" s="106">
        <v>0</v>
      </c>
      <c r="Y36" s="106">
        <v>0</v>
      </c>
      <c r="Z36" s="106">
        <v>23.906494522691705</v>
      </c>
      <c r="AA36" s="106">
        <v>18188.061032863847</v>
      </c>
      <c r="AB36" s="106">
        <v>14.224753546525609</v>
      </c>
      <c r="AC36" s="106">
        <v>10822.192498196682</v>
      </c>
      <c r="AD36" s="106">
        <v>26.135585970915312</v>
      </c>
      <c r="AE36" s="106">
        <v>19883.953806672369</v>
      </c>
      <c r="AF36" s="106">
        <v>15.130847779624791</v>
      </c>
      <c r="AG36" s="106">
        <v>11511.54899073854</v>
      </c>
      <c r="AH36" s="106">
        <v>0</v>
      </c>
      <c r="AI36" s="106">
        <v>0</v>
      </c>
      <c r="AJ36" s="106">
        <v>34.653372008701957</v>
      </c>
      <c r="AK36" s="106">
        <v>26364.285424220448</v>
      </c>
      <c r="AL36" s="106">
        <v>0</v>
      </c>
      <c r="AM36" s="106">
        <v>0</v>
      </c>
      <c r="AN36" s="106">
        <v>41.042870456663557</v>
      </c>
      <c r="AO36" s="106">
        <v>31225.415843429633</v>
      </c>
      <c r="AP36" s="106">
        <v>0</v>
      </c>
      <c r="AQ36" s="106">
        <v>0</v>
      </c>
      <c r="AR36" s="106">
        <v>15.013971665852468</v>
      </c>
      <c r="AS36" s="106">
        <v>11422.629643380556</v>
      </c>
      <c r="AT36" s="106">
        <v>0</v>
      </c>
      <c r="AU36" s="106">
        <v>0</v>
      </c>
      <c r="AV36" s="106">
        <v>6.2687918142463603</v>
      </c>
      <c r="AW36" s="106">
        <v>4769.2968122786306</v>
      </c>
      <c r="AX36" s="106">
        <v>17.528534217381011</v>
      </c>
      <c r="AY36" s="106">
        <v>13335.708832583472</v>
      </c>
      <c r="AZ36" s="106">
        <v>40.351099402168408</v>
      </c>
      <c r="BA36" s="106">
        <v>30699.116425169723</v>
      </c>
      <c r="BB36" s="106">
        <v>32.619290753806162</v>
      </c>
      <c r="BC36" s="106">
        <v>24816.756405495726</v>
      </c>
      <c r="BD36" s="106">
        <v>0</v>
      </c>
      <c r="BE36" s="106">
        <v>0</v>
      </c>
      <c r="BF36" s="106">
        <v>66.181504614524101</v>
      </c>
      <c r="BG36" s="106">
        <v>50350.888710729931</v>
      </c>
      <c r="BH36" s="106">
        <v>9.4372923588039868</v>
      </c>
      <c r="BI36" s="106">
        <v>7179.8920265780725</v>
      </c>
      <c r="BJ36" s="106">
        <v>5.851645940014631</v>
      </c>
      <c r="BK36" s="106">
        <v>4451.9322311631313</v>
      </c>
      <c r="BL36" s="106">
        <v>7.5022509003601439</v>
      </c>
      <c r="BM36" s="106">
        <v>5707.7124849939974</v>
      </c>
      <c r="BN36" s="106">
        <v>0</v>
      </c>
      <c r="BO36" s="106">
        <v>0</v>
      </c>
      <c r="BP36" s="106">
        <v>6.5323544531551212</v>
      </c>
      <c r="BQ36" s="106">
        <v>4969.8152679604163</v>
      </c>
      <c r="BR36" s="106">
        <v>14.675454241444656</v>
      </c>
      <c r="BS36" s="106">
        <v>11165.085586891095</v>
      </c>
      <c r="BT36" s="106">
        <v>0</v>
      </c>
      <c r="BU36" s="106">
        <v>0</v>
      </c>
      <c r="BV36" s="106">
        <v>5.5597316865417374</v>
      </c>
      <c r="BW36" s="106">
        <v>4229.8438671209533</v>
      </c>
      <c r="BX36" s="106">
        <v>21.844812263941346</v>
      </c>
      <c r="BY36" s="106">
        <v>16619.533170406576</v>
      </c>
      <c r="BZ36" s="106">
        <v>9.111638027226066</v>
      </c>
      <c r="CA36" s="106">
        <v>6932.1342111135909</v>
      </c>
      <c r="CB36" s="106">
        <v>0</v>
      </c>
      <c r="CC36" s="106">
        <v>0</v>
      </c>
      <c r="CD36" s="106">
        <v>9.5823065549531776</v>
      </c>
      <c r="CE36" s="106">
        <v>7290.218827008377</v>
      </c>
      <c r="CF36" s="106">
        <v>65.825732600732593</v>
      </c>
      <c r="CG36" s="106">
        <v>50080.217362637355</v>
      </c>
      <c r="CH36" s="106">
        <v>31.472811787405718</v>
      </c>
      <c r="CI36" s="106">
        <v>23944.515207858269</v>
      </c>
      <c r="CJ36" s="106">
        <v>0</v>
      </c>
      <c r="CK36" s="106">
        <v>0</v>
      </c>
      <c r="CL36" s="106">
        <v>34.349003829125287</v>
      </c>
      <c r="CM36" s="106">
        <v>26132.722113198517</v>
      </c>
      <c r="CN36" s="106">
        <v>0</v>
      </c>
      <c r="CO36" s="106">
        <v>0</v>
      </c>
      <c r="CP36" s="106">
        <v>40.463685932388223</v>
      </c>
      <c r="CQ36" s="106">
        <v>30784.772257360957</v>
      </c>
      <c r="CR36" s="106">
        <v>30.651834649326521</v>
      </c>
      <c r="CS36" s="106">
        <v>23319.915801207615</v>
      </c>
      <c r="CT36" s="106">
        <v>68.154811138682106</v>
      </c>
      <c r="CU36" s="106">
        <v>51852.180314309342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36.506070181273905</v>
      </c>
      <c r="M37" s="106">
        <v>31409.822783968066</v>
      </c>
      <c r="N37" s="106">
        <v>10.509459459459459</v>
      </c>
      <c r="O37" s="106">
        <v>9042.3389189189184</v>
      </c>
      <c r="P37" s="106">
        <v>15.713963594621188</v>
      </c>
      <c r="Q37" s="106">
        <v>13520.29427681207</v>
      </c>
      <c r="R37" s="106">
        <v>12.992463617463619</v>
      </c>
      <c r="S37" s="106">
        <v>11178.715696465697</v>
      </c>
      <c r="T37" s="106">
        <v>0</v>
      </c>
      <c r="U37" s="106">
        <v>0</v>
      </c>
      <c r="V37" s="106">
        <v>14.616030717542596</v>
      </c>
      <c r="W37" s="106">
        <v>12575.63282937365</v>
      </c>
      <c r="X37" s="106">
        <v>0</v>
      </c>
      <c r="Y37" s="106">
        <v>0</v>
      </c>
      <c r="Z37" s="106">
        <v>6.7372848200312987</v>
      </c>
      <c r="AA37" s="106">
        <v>5796.7598591549295</v>
      </c>
      <c r="AB37" s="106">
        <v>11.219523924020198</v>
      </c>
      <c r="AC37" s="106">
        <v>9653.2783842269782</v>
      </c>
      <c r="AD37" s="106">
        <v>30.412318220701458</v>
      </c>
      <c r="AE37" s="106">
        <v>26166.758597091535</v>
      </c>
      <c r="AF37" s="106">
        <v>17.133459985751603</v>
      </c>
      <c r="AG37" s="106">
        <v>14741.62897174068</v>
      </c>
      <c r="AH37" s="106">
        <v>0</v>
      </c>
      <c r="AI37" s="106">
        <v>0</v>
      </c>
      <c r="AJ37" s="106">
        <v>22.422770123277736</v>
      </c>
      <c r="AK37" s="106">
        <v>19292.551414068163</v>
      </c>
      <c r="AL37" s="106">
        <v>0</v>
      </c>
      <c r="AM37" s="106">
        <v>0</v>
      </c>
      <c r="AN37" s="106">
        <v>28.380708294501396</v>
      </c>
      <c r="AO37" s="106">
        <v>24418.761416589001</v>
      </c>
      <c r="AP37" s="106">
        <v>0</v>
      </c>
      <c r="AQ37" s="106">
        <v>0</v>
      </c>
      <c r="AR37" s="106">
        <v>90.450024425989241</v>
      </c>
      <c r="AS37" s="106">
        <v>77823.201016121136</v>
      </c>
      <c r="AT37" s="106">
        <v>0</v>
      </c>
      <c r="AU37" s="106">
        <v>0</v>
      </c>
      <c r="AV37" s="106">
        <v>43.051849665486031</v>
      </c>
      <c r="AW37" s="106">
        <v>37041.811452184178</v>
      </c>
      <c r="AX37" s="106">
        <v>55.691925171678903</v>
      </c>
      <c r="AY37" s="106">
        <v>47917.332417712525</v>
      </c>
      <c r="AZ37" s="106">
        <v>6.6460634309453841</v>
      </c>
      <c r="BA37" s="106">
        <v>5718.2729759854083</v>
      </c>
      <c r="BB37" s="106">
        <v>7.3937059041960644</v>
      </c>
      <c r="BC37" s="106">
        <v>6361.5445599702934</v>
      </c>
      <c r="BD37" s="106">
        <v>0</v>
      </c>
      <c r="BE37" s="106">
        <v>0</v>
      </c>
      <c r="BF37" s="106">
        <v>12.428451570802649</v>
      </c>
      <c r="BG37" s="106">
        <v>10693.439731518598</v>
      </c>
      <c r="BH37" s="106">
        <v>8.3048172757475083</v>
      </c>
      <c r="BI37" s="106">
        <v>7145.4647840531561</v>
      </c>
      <c r="BJ37" s="106">
        <v>7.0707388441843451</v>
      </c>
      <c r="BK37" s="106">
        <v>6083.6637015362103</v>
      </c>
      <c r="BL37" s="106">
        <v>6.376913265306122</v>
      </c>
      <c r="BM37" s="106">
        <v>5486.6961734693868</v>
      </c>
      <c r="BN37" s="106">
        <v>0</v>
      </c>
      <c r="BO37" s="106">
        <v>0</v>
      </c>
      <c r="BP37" s="106">
        <v>13.064708906310242</v>
      </c>
      <c r="BQ37" s="106">
        <v>11240.875542989332</v>
      </c>
      <c r="BR37" s="106">
        <v>20.991472522572735</v>
      </c>
      <c r="BS37" s="106">
        <v>18061.062958421582</v>
      </c>
      <c r="BT37" s="106">
        <v>0</v>
      </c>
      <c r="BU37" s="106">
        <v>0</v>
      </c>
      <c r="BV37" s="106">
        <v>8.9902044293015333</v>
      </c>
      <c r="BW37" s="106">
        <v>7735.1718909710389</v>
      </c>
      <c r="BX37" s="106">
        <v>23.696067540546547</v>
      </c>
      <c r="BY37" s="106">
        <v>20388.096511886248</v>
      </c>
      <c r="BZ37" s="106">
        <v>18.781131443874134</v>
      </c>
      <c r="CA37" s="106">
        <v>16159.285494309304</v>
      </c>
      <c r="CB37" s="106">
        <v>0</v>
      </c>
      <c r="CC37" s="106">
        <v>0</v>
      </c>
      <c r="CD37" s="106">
        <v>11.772548053228192</v>
      </c>
      <c r="CE37" s="106">
        <v>10129.100344997536</v>
      </c>
      <c r="CF37" s="106">
        <v>25.53672161172161</v>
      </c>
      <c r="CG37" s="106">
        <v>21971.795274725271</v>
      </c>
      <c r="CH37" s="106">
        <v>9.549026486581301</v>
      </c>
      <c r="CI37" s="106">
        <v>8215.9823890545504</v>
      </c>
      <c r="CJ37" s="106">
        <v>0</v>
      </c>
      <c r="CK37" s="106">
        <v>0</v>
      </c>
      <c r="CL37" s="106">
        <v>8.3753739380160344</v>
      </c>
      <c r="CM37" s="106">
        <v>7206.171736268996</v>
      </c>
      <c r="CN37" s="106">
        <v>0</v>
      </c>
      <c r="CO37" s="106">
        <v>0</v>
      </c>
      <c r="CP37" s="106">
        <v>5.7221374045801525</v>
      </c>
      <c r="CQ37" s="106">
        <v>4923.327022900763</v>
      </c>
      <c r="CR37" s="106">
        <v>5.4956572224802605</v>
      </c>
      <c r="CS37" s="106">
        <v>4728.463474222016</v>
      </c>
      <c r="CT37" s="106">
        <v>9.1894127377998345</v>
      </c>
      <c r="CU37" s="106">
        <v>7906.5707196029771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33.856436055213699</v>
      </c>
      <c r="M38" s="106">
        <v>42049.693580575411</v>
      </c>
      <c r="N38" s="106">
        <v>8.4621621621621621</v>
      </c>
      <c r="O38" s="106">
        <v>10510.005405405405</v>
      </c>
      <c r="P38" s="106">
        <v>14.89410462446704</v>
      </c>
      <c r="Q38" s="106">
        <v>18498.477943588063</v>
      </c>
      <c r="R38" s="106">
        <v>11.507610632610632</v>
      </c>
      <c r="S38" s="106">
        <v>14292.452405702405</v>
      </c>
      <c r="T38" s="106">
        <v>0</v>
      </c>
      <c r="U38" s="106">
        <v>0</v>
      </c>
      <c r="V38" s="106">
        <v>14.39116870650348</v>
      </c>
      <c r="W38" s="106">
        <v>17873.831533477321</v>
      </c>
      <c r="X38" s="106">
        <v>0</v>
      </c>
      <c r="Y38" s="106">
        <v>0</v>
      </c>
      <c r="Z38" s="106">
        <v>6.9546165884194053</v>
      </c>
      <c r="AA38" s="106">
        <v>8637.6338028169012</v>
      </c>
      <c r="AB38" s="106">
        <v>10.618477999519115</v>
      </c>
      <c r="AC38" s="106">
        <v>13188.149675402741</v>
      </c>
      <c r="AD38" s="106">
        <v>27.085970915312235</v>
      </c>
      <c r="AE38" s="106">
        <v>33640.775876817796</v>
      </c>
      <c r="AF38" s="106">
        <v>16.688435051056754</v>
      </c>
      <c r="AG38" s="106">
        <v>20727.036333412489</v>
      </c>
      <c r="AH38" s="106">
        <v>0</v>
      </c>
      <c r="AI38" s="106">
        <v>0</v>
      </c>
      <c r="AJ38" s="106">
        <v>20.044597534445248</v>
      </c>
      <c r="AK38" s="106">
        <v>24895.390137781</v>
      </c>
      <c r="AL38" s="106">
        <v>0</v>
      </c>
      <c r="AM38" s="106">
        <v>0</v>
      </c>
      <c r="AN38" s="106">
        <v>24.01444547996272</v>
      </c>
      <c r="AO38" s="106">
        <v>29825.941286113699</v>
      </c>
      <c r="AP38" s="106">
        <v>0</v>
      </c>
      <c r="AQ38" s="106">
        <v>0</v>
      </c>
      <c r="AR38" s="106">
        <v>68.295261358085014</v>
      </c>
      <c r="AS38" s="106">
        <v>84822.714606741589</v>
      </c>
      <c r="AT38" s="106">
        <v>0</v>
      </c>
      <c r="AU38" s="106">
        <v>0</v>
      </c>
      <c r="AV38" s="106">
        <v>32.450216450216452</v>
      </c>
      <c r="AW38" s="106">
        <v>40303.168831168834</v>
      </c>
      <c r="AX38" s="106">
        <v>55.248164811745205</v>
      </c>
      <c r="AY38" s="106">
        <v>68618.220696187549</v>
      </c>
      <c r="AZ38" s="106">
        <v>6.0764008511500656</v>
      </c>
      <c r="BA38" s="106">
        <v>7546.8898571283817</v>
      </c>
      <c r="BB38" s="106">
        <v>7.045766802822131</v>
      </c>
      <c r="BC38" s="106">
        <v>8750.8423691050866</v>
      </c>
      <c r="BD38" s="106">
        <v>0</v>
      </c>
      <c r="BE38" s="106">
        <v>0</v>
      </c>
      <c r="BF38" s="106">
        <v>10.56418383518225</v>
      </c>
      <c r="BG38" s="106">
        <v>13120.716323296356</v>
      </c>
      <c r="BH38" s="106">
        <v>6.9206810631229239</v>
      </c>
      <c r="BI38" s="106">
        <v>8595.4858803986717</v>
      </c>
      <c r="BJ38" s="106">
        <v>8.0460131675201172</v>
      </c>
      <c r="BK38" s="106">
        <v>9993.1483540599856</v>
      </c>
      <c r="BL38" s="106">
        <v>6.376913265306122</v>
      </c>
      <c r="BM38" s="106">
        <v>7920.1262755102034</v>
      </c>
      <c r="BN38" s="106">
        <v>0</v>
      </c>
      <c r="BO38" s="106">
        <v>0</v>
      </c>
      <c r="BP38" s="106">
        <v>11.672567793342758</v>
      </c>
      <c r="BQ38" s="106">
        <v>14497.329199331705</v>
      </c>
      <c r="BR38" s="106">
        <v>16.904637164195741</v>
      </c>
      <c r="BS38" s="106">
        <v>20995.55935793111</v>
      </c>
      <c r="BT38" s="106">
        <v>0</v>
      </c>
      <c r="BU38" s="106">
        <v>0</v>
      </c>
      <c r="BV38" s="106">
        <v>8.7536201022146507</v>
      </c>
      <c r="BW38" s="106">
        <v>10871.996166950596</v>
      </c>
      <c r="BX38" s="106">
        <v>23.696067540546547</v>
      </c>
      <c r="BY38" s="106">
        <v>29430.515885358811</v>
      </c>
      <c r="BZ38" s="106">
        <v>16.549709886186118</v>
      </c>
      <c r="CA38" s="106">
        <v>20554.73967864316</v>
      </c>
      <c r="CB38" s="106">
        <v>0</v>
      </c>
      <c r="CC38" s="106">
        <v>0</v>
      </c>
      <c r="CD38" s="106">
        <v>10.951207491375062</v>
      </c>
      <c r="CE38" s="106">
        <v>13601.399704287827</v>
      </c>
      <c r="CF38" s="106">
        <v>22.179304029304028</v>
      </c>
      <c r="CG38" s="106">
        <v>27546.695604395602</v>
      </c>
      <c r="CH38" s="106">
        <v>9.2567093492369761</v>
      </c>
      <c r="CI38" s="106">
        <v>11496.833011752324</v>
      </c>
      <c r="CJ38" s="106">
        <v>0</v>
      </c>
      <c r="CK38" s="106">
        <v>0</v>
      </c>
      <c r="CL38" s="106">
        <v>8.1261068565274623</v>
      </c>
      <c r="CM38" s="106">
        <v>10092.624715807107</v>
      </c>
      <c r="CN38" s="106">
        <v>0</v>
      </c>
      <c r="CO38" s="106">
        <v>0</v>
      </c>
      <c r="CP38" s="106">
        <v>6.0627408215194469</v>
      </c>
      <c r="CQ38" s="106">
        <v>7529.9241003271527</v>
      </c>
      <c r="CR38" s="106">
        <v>4.8764282396655823</v>
      </c>
      <c r="CS38" s="106">
        <v>6056.5238736646534</v>
      </c>
      <c r="CT38" s="106">
        <v>8.1173145850565209</v>
      </c>
      <c r="CU38" s="106">
        <v>10081.704714640198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29.734782970231166</v>
      </c>
      <c r="M39" s="106">
        <v>42318.543123232994</v>
      </c>
      <c r="N39" s="106">
        <v>8.7351351351351347</v>
      </c>
      <c r="O39" s="106">
        <v>12431.844324324324</v>
      </c>
      <c r="P39" s="106">
        <v>12.434527714004592</v>
      </c>
      <c r="Q39" s="106">
        <v>17696.819842571334</v>
      </c>
      <c r="R39" s="106">
        <v>11.507610632610632</v>
      </c>
      <c r="S39" s="106">
        <v>16377.631452331452</v>
      </c>
      <c r="T39" s="106">
        <v>0</v>
      </c>
      <c r="U39" s="106">
        <v>0</v>
      </c>
      <c r="V39" s="106">
        <v>13.716582673386128</v>
      </c>
      <c r="W39" s="106">
        <v>19521.440460763137</v>
      </c>
      <c r="X39" s="106">
        <v>0</v>
      </c>
      <c r="Y39" s="106">
        <v>0</v>
      </c>
      <c r="Z39" s="106">
        <v>7.1719483568075111</v>
      </c>
      <c r="AA39" s="106">
        <v>10207.11690140845</v>
      </c>
      <c r="AB39" s="106">
        <v>11.019175282519836</v>
      </c>
      <c r="AC39" s="106">
        <v>15682.49026208223</v>
      </c>
      <c r="AD39" s="106">
        <v>23.28443113772455</v>
      </c>
      <c r="AE39" s="106">
        <v>33138.402395209581</v>
      </c>
      <c r="AF39" s="106">
        <v>17.800997387793874</v>
      </c>
      <c r="AG39" s="106">
        <v>25334.379482308243</v>
      </c>
      <c r="AH39" s="106">
        <v>0</v>
      </c>
      <c r="AI39" s="106">
        <v>0</v>
      </c>
      <c r="AJ39" s="106">
        <v>17.326686004350979</v>
      </c>
      <c r="AK39" s="106">
        <v>24659.339521392314</v>
      </c>
      <c r="AL39" s="106">
        <v>0</v>
      </c>
      <c r="AM39" s="106">
        <v>0</v>
      </c>
      <c r="AN39" s="106">
        <v>24.01444547996272</v>
      </c>
      <c r="AO39" s="106">
        <v>34177.358807082943</v>
      </c>
      <c r="AP39" s="106">
        <v>0</v>
      </c>
      <c r="AQ39" s="106">
        <v>0</v>
      </c>
      <c r="AR39" s="106">
        <v>72.87269174401564</v>
      </c>
      <c r="AS39" s="106">
        <v>103712.41489008306</v>
      </c>
      <c r="AT39" s="106">
        <v>0</v>
      </c>
      <c r="AU39" s="106">
        <v>0</v>
      </c>
      <c r="AV39" s="106">
        <v>33.27990948445494</v>
      </c>
      <c r="AW39" s="106">
        <v>47363.967178276274</v>
      </c>
      <c r="AX39" s="106">
        <v>49.257399952640306</v>
      </c>
      <c r="AY39" s="106">
        <v>70103.131612597688</v>
      </c>
      <c r="AZ39" s="106">
        <v>5.9814570878508464</v>
      </c>
      <c r="BA39" s="106">
        <v>8512.809727429325</v>
      </c>
      <c r="BB39" s="106">
        <v>7.5676754548830303</v>
      </c>
      <c r="BC39" s="106">
        <v>10770.315707389529</v>
      </c>
      <c r="BD39" s="106">
        <v>0</v>
      </c>
      <c r="BE39" s="106">
        <v>0</v>
      </c>
      <c r="BF39" s="106">
        <v>11.807028992262515</v>
      </c>
      <c r="BG39" s="106">
        <v>16803.763661788013</v>
      </c>
      <c r="BH39" s="106">
        <v>8.0531561461794023</v>
      </c>
      <c r="BI39" s="106">
        <v>11461.251827242526</v>
      </c>
      <c r="BJ39" s="106">
        <v>6.9488295537673741</v>
      </c>
      <c r="BK39" s="106">
        <v>9889.5742209217278</v>
      </c>
      <c r="BL39" s="106">
        <v>6.0018007202881156</v>
      </c>
      <c r="BM39" s="106">
        <v>8541.762785114046</v>
      </c>
      <c r="BN39" s="106">
        <v>0</v>
      </c>
      <c r="BO39" s="106">
        <v>0</v>
      </c>
      <c r="BP39" s="106">
        <v>10.280426680375273</v>
      </c>
      <c r="BQ39" s="106">
        <v>14631.103251510089</v>
      </c>
      <c r="BR39" s="106">
        <v>16.904637164195741</v>
      </c>
      <c r="BS39" s="106">
        <v>24058.679612083379</v>
      </c>
      <c r="BT39" s="106">
        <v>0</v>
      </c>
      <c r="BU39" s="106">
        <v>0</v>
      </c>
      <c r="BV39" s="106">
        <v>8.5170357751277681</v>
      </c>
      <c r="BW39" s="106">
        <v>12121.44531516184</v>
      </c>
      <c r="BX39" s="106">
        <v>23.325816485225506</v>
      </c>
      <c r="BY39" s="106">
        <v>33197.302021772943</v>
      </c>
      <c r="BZ39" s="106">
        <v>16.363758089712118</v>
      </c>
      <c r="CA39" s="106">
        <v>23288.900513278288</v>
      </c>
      <c r="CB39" s="106">
        <v>0</v>
      </c>
      <c r="CC39" s="106">
        <v>0</v>
      </c>
      <c r="CD39" s="106">
        <v>9.719196648595366</v>
      </c>
      <c r="CE39" s="106">
        <v>13832.360670280925</v>
      </c>
      <c r="CF39" s="106">
        <v>23.298443223443225</v>
      </c>
      <c r="CG39" s="106">
        <v>33158.344395604399</v>
      </c>
      <c r="CH39" s="106">
        <v>8.6720750745483244</v>
      </c>
      <c r="CI39" s="106">
        <v>12342.097246097175</v>
      </c>
      <c r="CJ39" s="106">
        <v>0</v>
      </c>
      <c r="CK39" s="106">
        <v>0</v>
      </c>
      <c r="CL39" s="106">
        <v>7.777132942443461</v>
      </c>
      <c r="CM39" s="106">
        <v>11068.415603685535</v>
      </c>
      <c r="CN39" s="106">
        <v>0</v>
      </c>
      <c r="CO39" s="106">
        <v>0</v>
      </c>
      <c r="CP39" s="106">
        <v>5.7221374045801525</v>
      </c>
      <c r="CQ39" s="106">
        <v>8143.7459541984736</v>
      </c>
      <c r="CR39" s="106">
        <v>5.3408499767765907</v>
      </c>
      <c r="CS39" s="106">
        <v>7601.0976869484439</v>
      </c>
      <c r="CT39" s="106">
        <v>8.8830989798731732</v>
      </c>
      <c r="CU39" s="106">
        <v>12642.4264681555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31.501205720937964</v>
      </c>
      <c r="M40" s="106">
        <v>22832.073906535836</v>
      </c>
      <c r="N40" s="106">
        <v>9.827027027027027</v>
      </c>
      <c r="O40" s="106">
        <v>7122.6291891891888</v>
      </c>
      <c r="P40" s="106">
        <v>14.89410462446704</v>
      </c>
      <c r="Q40" s="106">
        <v>10795.247031813709</v>
      </c>
      <c r="R40" s="106">
        <v>13.363676863676863</v>
      </c>
      <c r="S40" s="106">
        <v>9685.9929907929891</v>
      </c>
      <c r="T40" s="106">
        <v>0</v>
      </c>
      <c r="U40" s="106">
        <v>0</v>
      </c>
      <c r="V40" s="106">
        <v>15.290616750659947</v>
      </c>
      <c r="W40" s="106">
        <v>11082.639020878329</v>
      </c>
      <c r="X40" s="106">
        <v>0</v>
      </c>
      <c r="Y40" s="106">
        <v>0</v>
      </c>
      <c r="Z40" s="106">
        <v>7.6066118935837252</v>
      </c>
      <c r="AA40" s="106">
        <v>5513.2723004694835</v>
      </c>
      <c r="AB40" s="106">
        <v>12.621964414522722</v>
      </c>
      <c r="AC40" s="106">
        <v>9148.3998076460684</v>
      </c>
      <c r="AD40" s="106">
        <v>28.511548331907612</v>
      </c>
      <c r="AE40" s="106">
        <v>20665.170230966636</v>
      </c>
      <c r="AF40" s="106">
        <v>20.248634528615529</v>
      </c>
      <c r="AG40" s="106">
        <v>14676.210306340534</v>
      </c>
      <c r="AH40" s="106">
        <v>0</v>
      </c>
      <c r="AI40" s="106">
        <v>0</v>
      </c>
      <c r="AJ40" s="106">
        <v>19.704858593183467</v>
      </c>
      <c r="AK40" s="106">
        <v>14282.081508339375</v>
      </c>
      <c r="AL40" s="106">
        <v>0</v>
      </c>
      <c r="AM40" s="106">
        <v>0</v>
      </c>
      <c r="AN40" s="106">
        <v>25.760950605778191</v>
      </c>
      <c r="AO40" s="106">
        <v>18671.536999068034</v>
      </c>
      <c r="AP40" s="106">
        <v>0</v>
      </c>
      <c r="AQ40" s="106">
        <v>0</v>
      </c>
      <c r="AR40" s="106">
        <v>83.858524670249153</v>
      </c>
      <c r="AS40" s="106">
        <v>60780.658680996581</v>
      </c>
      <c r="AT40" s="106">
        <v>0</v>
      </c>
      <c r="AU40" s="106">
        <v>0</v>
      </c>
      <c r="AV40" s="106">
        <v>44.526859504132233</v>
      </c>
      <c r="AW40" s="106">
        <v>32273.06776859504</v>
      </c>
      <c r="AX40" s="106">
        <v>60.795169310916414</v>
      </c>
      <c r="AY40" s="106">
        <v>44064.338716552214</v>
      </c>
      <c r="AZ40" s="106">
        <v>6.3612321410477257</v>
      </c>
      <c r="BA40" s="106">
        <v>4610.6210558313915</v>
      </c>
      <c r="BB40" s="106">
        <v>8.5245079836613442</v>
      </c>
      <c r="BC40" s="106">
        <v>6178.563386557742</v>
      </c>
      <c r="BD40" s="106">
        <v>0</v>
      </c>
      <c r="BE40" s="106">
        <v>0</v>
      </c>
      <c r="BF40" s="106">
        <v>11.496317702992448</v>
      </c>
      <c r="BG40" s="106">
        <v>8332.5310711289258</v>
      </c>
      <c r="BH40" s="106">
        <v>7.4240033222591357</v>
      </c>
      <c r="BI40" s="106">
        <v>5380.9176079734216</v>
      </c>
      <c r="BJ40" s="106">
        <v>7.6802852962692016</v>
      </c>
      <c r="BK40" s="106">
        <v>5566.6707827359169</v>
      </c>
      <c r="BL40" s="106">
        <v>6.376913265306122</v>
      </c>
      <c r="BM40" s="106">
        <v>4621.9867346938772</v>
      </c>
      <c r="BN40" s="106">
        <v>0</v>
      </c>
      <c r="BO40" s="106">
        <v>0</v>
      </c>
      <c r="BP40" s="106">
        <v>11.779655571263334</v>
      </c>
      <c r="BQ40" s="106">
        <v>8537.8943580516643</v>
      </c>
      <c r="BR40" s="106">
        <v>20.805707279010146</v>
      </c>
      <c r="BS40" s="106">
        <v>15079.976635826553</v>
      </c>
      <c r="BT40" s="106">
        <v>0</v>
      </c>
      <c r="BU40" s="106">
        <v>0</v>
      </c>
      <c r="BV40" s="106">
        <v>8.8719122657580911</v>
      </c>
      <c r="BW40" s="106">
        <v>6430.3620102214636</v>
      </c>
      <c r="BX40" s="106">
        <v>27.398578093756939</v>
      </c>
      <c r="BY40" s="106">
        <v>19858.48940235503</v>
      </c>
      <c r="BZ40" s="106">
        <v>19.33898683329614</v>
      </c>
      <c r="CA40" s="106">
        <v>14016.897656773041</v>
      </c>
      <c r="CB40" s="106">
        <v>0</v>
      </c>
      <c r="CC40" s="106">
        <v>0</v>
      </c>
      <c r="CD40" s="106">
        <v>10.129866929521933</v>
      </c>
      <c r="CE40" s="106">
        <v>7342.1275505174963</v>
      </c>
      <c r="CF40" s="106">
        <v>23.501923076923077</v>
      </c>
      <c r="CG40" s="106">
        <v>17034.193846153845</v>
      </c>
      <c r="CH40" s="106">
        <v>9.207989826346255</v>
      </c>
      <c r="CI40" s="106">
        <v>6673.9510261357655</v>
      </c>
      <c r="CJ40" s="106">
        <v>0</v>
      </c>
      <c r="CK40" s="106">
        <v>0</v>
      </c>
      <c r="CL40" s="106">
        <v>10.170096924733755</v>
      </c>
      <c r="CM40" s="106">
        <v>7371.2862510470259</v>
      </c>
      <c r="CN40" s="106">
        <v>0</v>
      </c>
      <c r="CO40" s="106">
        <v>0</v>
      </c>
      <c r="CP40" s="106">
        <v>5.7221374045801525</v>
      </c>
      <c r="CQ40" s="106">
        <v>4147.4051908396941</v>
      </c>
      <c r="CR40" s="106">
        <v>6.0374825824431024</v>
      </c>
      <c r="CS40" s="106">
        <v>4375.9673757547607</v>
      </c>
      <c r="CT40" s="106">
        <v>9.1894127377998345</v>
      </c>
      <c r="CU40" s="106">
        <v>6660.4863523573194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35.034051222351572</v>
      </c>
      <c r="M41" s="106">
        <v>23122.473806752037</v>
      </c>
      <c r="N41" s="106">
        <v>9.5540540540540544</v>
      </c>
      <c r="O41" s="106">
        <v>6305.6756756756758</v>
      </c>
      <c r="P41" s="106">
        <v>16.39717940308298</v>
      </c>
      <c r="Q41" s="106">
        <v>10822.138406034766</v>
      </c>
      <c r="R41" s="106">
        <v>13.982365607365608</v>
      </c>
      <c r="S41" s="106">
        <v>9228.3613008613011</v>
      </c>
      <c r="T41" s="106">
        <v>0</v>
      </c>
      <c r="U41" s="106">
        <v>0</v>
      </c>
      <c r="V41" s="106">
        <v>15.965202783777299</v>
      </c>
      <c r="W41" s="106">
        <v>10537.033837293016</v>
      </c>
      <c r="X41" s="106">
        <v>0</v>
      </c>
      <c r="Y41" s="106">
        <v>0</v>
      </c>
      <c r="Z41" s="106">
        <v>7.6066118935837252</v>
      </c>
      <c r="AA41" s="106">
        <v>5020.3638497652582</v>
      </c>
      <c r="AB41" s="106">
        <v>13.423358980524164</v>
      </c>
      <c r="AC41" s="106">
        <v>8859.4169271459486</v>
      </c>
      <c r="AD41" s="106">
        <v>31.362703165098374</v>
      </c>
      <c r="AE41" s="106">
        <v>20699.384088964925</v>
      </c>
      <c r="AF41" s="106">
        <v>20.471146995962954</v>
      </c>
      <c r="AG41" s="106">
        <v>13510.95701733555</v>
      </c>
      <c r="AH41" s="106">
        <v>0</v>
      </c>
      <c r="AI41" s="106">
        <v>0</v>
      </c>
      <c r="AJ41" s="106">
        <v>21.063814358230601</v>
      </c>
      <c r="AK41" s="106">
        <v>13902.117476432197</v>
      </c>
      <c r="AL41" s="106">
        <v>0</v>
      </c>
      <c r="AM41" s="106">
        <v>0</v>
      </c>
      <c r="AN41" s="106">
        <v>28.817334575955265</v>
      </c>
      <c r="AO41" s="106">
        <v>19019.440820130476</v>
      </c>
      <c r="AP41" s="106">
        <v>0</v>
      </c>
      <c r="AQ41" s="106">
        <v>0</v>
      </c>
      <c r="AR41" s="106">
        <v>91.365510503175372</v>
      </c>
      <c r="AS41" s="106">
        <v>60301.236932095744</v>
      </c>
      <c r="AT41" s="106">
        <v>0</v>
      </c>
      <c r="AU41" s="106">
        <v>0</v>
      </c>
      <c r="AV41" s="106">
        <v>45.448740653286109</v>
      </c>
      <c r="AW41" s="106">
        <v>29996.16883116883</v>
      </c>
      <c r="AX41" s="106">
        <v>55.691925171678903</v>
      </c>
      <c r="AY41" s="106">
        <v>36756.670613308073</v>
      </c>
      <c r="AZ41" s="106">
        <v>6.3612321410477257</v>
      </c>
      <c r="BA41" s="106">
        <v>4198.4132130914986</v>
      </c>
      <c r="BB41" s="106">
        <v>8.6984775343483101</v>
      </c>
      <c r="BC41" s="106">
        <v>5740.9951726698846</v>
      </c>
      <c r="BD41" s="106">
        <v>0</v>
      </c>
      <c r="BE41" s="106">
        <v>0</v>
      </c>
      <c r="BF41" s="106">
        <v>12.894518504707747</v>
      </c>
      <c r="BG41" s="106">
        <v>8510.3822131071138</v>
      </c>
      <c r="BH41" s="106">
        <v>8.5564784053156142</v>
      </c>
      <c r="BI41" s="106">
        <v>5647.2757475083054</v>
      </c>
      <c r="BJ41" s="106">
        <v>7.5583760058522307</v>
      </c>
      <c r="BK41" s="106">
        <v>4988.528163862472</v>
      </c>
      <c r="BL41" s="106">
        <v>6.7520258103241293</v>
      </c>
      <c r="BM41" s="106">
        <v>4456.3370348139251</v>
      </c>
      <c r="BN41" s="106">
        <v>0</v>
      </c>
      <c r="BO41" s="106">
        <v>0</v>
      </c>
      <c r="BP41" s="106">
        <v>11.35130445958103</v>
      </c>
      <c r="BQ41" s="106">
        <v>7491.8609433234797</v>
      </c>
      <c r="BR41" s="106">
        <v>20.619942035447554</v>
      </c>
      <c r="BS41" s="106">
        <v>13609.161743395385</v>
      </c>
      <c r="BT41" s="106">
        <v>0</v>
      </c>
      <c r="BU41" s="106">
        <v>0</v>
      </c>
      <c r="BV41" s="106">
        <v>8.2804514480408873</v>
      </c>
      <c r="BW41" s="106">
        <v>5465.0979557069859</v>
      </c>
      <c r="BX41" s="106">
        <v>24.806820706509665</v>
      </c>
      <c r="BY41" s="106">
        <v>16372.501666296379</v>
      </c>
      <c r="BZ41" s="106">
        <v>16.921613479134123</v>
      </c>
      <c r="CA41" s="106">
        <v>11168.264896228522</v>
      </c>
      <c r="CB41" s="106">
        <v>0</v>
      </c>
      <c r="CC41" s="106">
        <v>0</v>
      </c>
      <c r="CD41" s="106">
        <v>11.498767865943815</v>
      </c>
      <c r="CE41" s="106">
        <v>7589.1867915229177</v>
      </c>
      <c r="CF41" s="106">
        <v>27.978479853479854</v>
      </c>
      <c r="CG41" s="106">
        <v>18465.796703296703</v>
      </c>
      <c r="CH41" s="106">
        <v>9.6951850552534644</v>
      </c>
      <c r="CI41" s="106">
        <v>6398.8221364672863</v>
      </c>
      <c r="CJ41" s="106">
        <v>0</v>
      </c>
      <c r="CK41" s="106">
        <v>0</v>
      </c>
      <c r="CL41" s="106">
        <v>9.4721490965657527</v>
      </c>
      <c r="CM41" s="106">
        <v>6251.6184037333969</v>
      </c>
      <c r="CN41" s="106">
        <v>0</v>
      </c>
      <c r="CO41" s="106">
        <v>0</v>
      </c>
      <c r="CP41" s="106">
        <v>6.2671028716830248</v>
      </c>
      <c r="CQ41" s="106">
        <v>4136.2878953107966</v>
      </c>
      <c r="CR41" s="106">
        <v>5.960078959591268</v>
      </c>
      <c r="CS41" s="106">
        <v>3933.6521133302367</v>
      </c>
      <c r="CT41" s="106">
        <v>9.1894127377998345</v>
      </c>
      <c r="CU41" s="106">
        <v>6065.0124069478907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34.445243638782642</v>
      </c>
      <c r="M42" s="106">
        <v>29140.676118410116</v>
      </c>
      <c r="N42" s="106">
        <v>9.827027027027027</v>
      </c>
      <c r="O42" s="106">
        <v>8313.6648648648643</v>
      </c>
      <c r="P42" s="106">
        <v>15.030747786159397</v>
      </c>
      <c r="Q42" s="106">
        <v>12716.012627090849</v>
      </c>
      <c r="R42" s="106">
        <v>13.116201366201368</v>
      </c>
      <c r="S42" s="106">
        <v>11096.306355806357</v>
      </c>
      <c r="T42" s="106">
        <v>0</v>
      </c>
      <c r="U42" s="106">
        <v>0</v>
      </c>
      <c r="V42" s="106">
        <v>14.840892728581714</v>
      </c>
      <c r="W42" s="106">
        <v>12555.395248380129</v>
      </c>
      <c r="X42" s="106">
        <v>0</v>
      </c>
      <c r="Y42" s="106">
        <v>0</v>
      </c>
      <c r="Z42" s="106">
        <v>6.7372848200312987</v>
      </c>
      <c r="AA42" s="106">
        <v>5699.7429577464791</v>
      </c>
      <c r="AB42" s="106">
        <v>12.221267131522</v>
      </c>
      <c r="AC42" s="106">
        <v>10339.191993267612</v>
      </c>
      <c r="AD42" s="106">
        <v>29.461933276304535</v>
      </c>
      <c r="AE42" s="106">
        <v>24924.795551753636</v>
      </c>
      <c r="AF42" s="106">
        <v>17.133459985751603</v>
      </c>
      <c r="AG42" s="106">
        <v>14494.907147945856</v>
      </c>
      <c r="AH42" s="106">
        <v>0</v>
      </c>
      <c r="AI42" s="106">
        <v>0</v>
      </c>
      <c r="AJ42" s="106">
        <v>21.743292240754169</v>
      </c>
      <c r="AK42" s="106">
        <v>18394.825235678029</v>
      </c>
      <c r="AL42" s="106">
        <v>0</v>
      </c>
      <c r="AM42" s="106">
        <v>0</v>
      </c>
      <c r="AN42" s="106">
        <v>27.507455731593662</v>
      </c>
      <c r="AO42" s="106">
        <v>23271.307548928238</v>
      </c>
      <c r="AP42" s="106">
        <v>0</v>
      </c>
      <c r="AQ42" s="106">
        <v>0</v>
      </c>
      <c r="AR42" s="106">
        <v>86.055691255495844</v>
      </c>
      <c r="AS42" s="106">
        <v>72803.114802149488</v>
      </c>
      <c r="AT42" s="106">
        <v>0</v>
      </c>
      <c r="AU42" s="106">
        <v>0</v>
      </c>
      <c r="AV42" s="106">
        <v>39.733077528532071</v>
      </c>
      <c r="AW42" s="106">
        <v>33614.183589138134</v>
      </c>
      <c r="AX42" s="106">
        <v>53.695003551977265</v>
      </c>
      <c r="AY42" s="106">
        <v>45425.973004972766</v>
      </c>
      <c r="AZ42" s="106">
        <v>6.1713446144492856</v>
      </c>
      <c r="BA42" s="106">
        <v>5220.9575438240954</v>
      </c>
      <c r="BB42" s="106">
        <v>7.7416450055699961</v>
      </c>
      <c r="BC42" s="106">
        <v>6549.4316747122166</v>
      </c>
      <c r="BD42" s="106">
        <v>0</v>
      </c>
      <c r="BE42" s="106">
        <v>0</v>
      </c>
      <c r="BF42" s="106">
        <v>13.826652372517945</v>
      </c>
      <c r="BG42" s="106">
        <v>11697.347907150181</v>
      </c>
      <c r="BH42" s="106">
        <v>7.5498338870431887</v>
      </c>
      <c r="BI42" s="106">
        <v>6387.1594684385373</v>
      </c>
      <c r="BJ42" s="106">
        <v>8.2898317483540609</v>
      </c>
      <c r="BK42" s="106">
        <v>7013.1976591075354</v>
      </c>
      <c r="BL42" s="106">
        <v>5.8767632052821126</v>
      </c>
      <c r="BM42" s="106">
        <v>4971.7416716686675</v>
      </c>
      <c r="BN42" s="106">
        <v>0</v>
      </c>
      <c r="BO42" s="106">
        <v>0</v>
      </c>
      <c r="BP42" s="106">
        <v>11.030041125819304</v>
      </c>
      <c r="BQ42" s="106">
        <v>9331.4147924431309</v>
      </c>
      <c r="BR42" s="106">
        <v>19.319585330509419</v>
      </c>
      <c r="BS42" s="106">
        <v>16344.369189610969</v>
      </c>
      <c r="BT42" s="106">
        <v>0</v>
      </c>
      <c r="BU42" s="106">
        <v>0</v>
      </c>
      <c r="BV42" s="106">
        <v>8.5170357751277681</v>
      </c>
      <c r="BW42" s="106">
        <v>7205.412265758092</v>
      </c>
      <c r="BX42" s="106">
        <v>28.139080204399022</v>
      </c>
      <c r="BY42" s="106">
        <v>23805.661852921574</v>
      </c>
      <c r="BZ42" s="106">
        <v>17.851372461504127</v>
      </c>
      <c r="CA42" s="106">
        <v>15102.261102432491</v>
      </c>
      <c r="CB42" s="106">
        <v>0</v>
      </c>
      <c r="CC42" s="106">
        <v>0</v>
      </c>
      <c r="CD42" s="106">
        <v>10.951207491375062</v>
      </c>
      <c r="CE42" s="106">
        <v>9264.7215377033026</v>
      </c>
      <c r="CF42" s="106">
        <v>22.077564102564104</v>
      </c>
      <c r="CG42" s="106">
        <v>18677.619230769233</v>
      </c>
      <c r="CH42" s="106">
        <v>9.7926241010349067</v>
      </c>
      <c r="CI42" s="106">
        <v>8284.5599894755305</v>
      </c>
      <c r="CJ42" s="106">
        <v>0</v>
      </c>
      <c r="CK42" s="106">
        <v>0</v>
      </c>
      <c r="CL42" s="106">
        <v>8.574787603206893</v>
      </c>
      <c r="CM42" s="106">
        <v>7254.2703123130314</v>
      </c>
      <c r="CN42" s="106">
        <v>0</v>
      </c>
      <c r="CO42" s="106">
        <v>0</v>
      </c>
      <c r="CP42" s="106">
        <v>6.4033442384587422</v>
      </c>
      <c r="CQ42" s="106">
        <v>5417.2292257360959</v>
      </c>
      <c r="CR42" s="106">
        <v>5.8826753367394335</v>
      </c>
      <c r="CS42" s="106">
        <v>4976.7433348815612</v>
      </c>
      <c r="CT42" s="106">
        <v>8.8830989798731732</v>
      </c>
      <c r="CU42" s="106">
        <v>7515.1017369727042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35.32845501413604</v>
      </c>
      <c r="M43" s="106">
        <v>36119.812406452686</v>
      </c>
      <c r="N43" s="106">
        <v>8.7351351351351347</v>
      </c>
      <c r="O43" s="106">
        <v>8930.802162162161</v>
      </c>
      <c r="P43" s="106">
        <v>13.937602492620531</v>
      </c>
      <c r="Q43" s="106">
        <v>14249.804788455231</v>
      </c>
      <c r="R43" s="106">
        <v>11.631348381348381</v>
      </c>
      <c r="S43" s="106">
        <v>11891.890585090585</v>
      </c>
      <c r="T43" s="106">
        <v>0</v>
      </c>
      <c r="U43" s="106">
        <v>0</v>
      </c>
      <c r="V43" s="106">
        <v>15.290616750659947</v>
      </c>
      <c r="W43" s="106">
        <v>15633.126565874729</v>
      </c>
      <c r="X43" s="106">
        <v>0</v>
      </c>
      <c r="Y43" s="106">
        <v>0</v>
      </c>
      <c r="Z43" s="106">
        <v>7.823943661971831</v>
      </c>
      <c r="AA43" s="106">
        <v>7999.2</v>
      </c>
      <c r="AB43" s="106">
        <v>11.219523924020198</v>
      </c>
      <c r="AC43" s="106">
        <v>11470.84125991825</v>
      </c>
      <c r="AD43" s="106">
        <v>25.66039349871685</v>
      </c>
      <c r="AE43" s="106">
        <v>26235.186313088107</v>
      </c>
      <c r="AF43" s="106">
        <v>19.136072191878412</v>
      </c>
      <c r="AG43" s="106">
        <v>19564.720208976487</v>
      </c>
      <c r="AH43" s="106">
        <v>0</v>
      </c>
      <c r="AI43" s="106">
        <v>0</v>
      </c>
      <c r="AJ43" s="106">
        <v>18.006163886874546</v>
      </c>
      <c r="AK43" s="106">
        <v>18409.501957940534</v>
      </c>
      <c r="AL43" s="106">
        <v>0</v>
      </c>
      <c r="AM43" s="106">
        <v>0</v>
      </c>
      <c r="AN43" s="106">
        <v>28.817334575955265</v>
      </c>
      <c r="AO43" s="106">
        <v>29462.842870456661</v>
      </c>
      <c r="AP43" s="106">
        <v>0</v>
      </c>
      <c r="AQ43" s="106">
        <v>0</v>
      </c>
      <c r="AR43" s="106">
        <v>77.999413776257938</v>
      </c>
      <c r="AS43" s="106">
        <v>79746.600644846112</v>
      </c>
      <c r="AT43" s="106">
        <v>0</v>
      </c>
      <c r="AU43" s="106">
        <v>0</v>
      </c>
      <c r="AV43" s="106">
        <v>41.115899252262892</v>
      </c>
      <c r="AW43" s="106">
        <v>42036.89539551358</v>
      </c>
      <c r="AX43" s="106">
        <v>50.588681032441393</v>
      </c>
      <c r="AY43" s="106">
        <v>51721.867487568081</v>
      </c>
      <c r="AZ43" s="106">
        <v>6.0764008511500656</v>
      </c>
      <c r="BA43" s="106">
        <v>6212.512230215827</v>
      </c>
      <c r="BB43" s="106">
        <v>8.5245079836613442</v>
      </c>
      <c r="BC43" s="106">
        <v>8715.4569624953583</v>
      </c>
      <c r="BD43" s="106">
        <v>0</v>
      </c>
      <c r="BE43" s="106">
        <v>0</v>
      </c>
      <c r="BF43" s="106">
        <v>12.58380721543768</v>
      </c>
      <c r="BG43" s="106">
        <v>12865.684497063485</v>
      </c>
      <c r="BH43" s="106">
        <v>7.5498338870431887</v>
      </c>
      <c r="BI43" s="106">
        <v>7718.9501661129561</v>
      </c>
      <c r="BJ43" s="106">
        <v>7.192648134601316</v>
      </c>
      <c r="BK43" s="106">
        <v>7353.7634528163853</v>
      </c>
      <c r="BL43" s="106">
        <v>6.376913265306122</v>
      </c>
      <c r="BM43" s="106">
        <v>6519.7561224489791</v>
      </c>
      <c r="BN43" s="106">
        <v>0</v>
      </c>
      <c r="BO43" s="106">
        <v>0</v>
      </c>
      <c r="BP43" s="106">
        <v>12.315094460866213</v>
      </c>
      <c r="BQ43" s="106">
        <v>12590.952576789616</v>
      </c>
      <c r="BR43" s="106">
        <v>20.434176791884962</v>
      </c>
      <c r="BS43" s="106">
        <v>20891.902352023186</v>
      </c>
      <c r="BT43" s="106">
        <v>0</v>
      </c>
      <c r="BU43" s="106">
        <v>0</v>
      </c>
      <c r="BV43" s="106">
        <v>9.2267887563884159</v>
      </c>
      <c r="BW43" s="106">
        <v>9433.4688245315156</v>
      </c>
      <c r="BX43" s="106">
        <v>25.547322817151745</v>
      </c>
      <c r="BY43" s="106">
        <v>26119.582848255945</v>
      </c>
      <c r="BZ43" s="106">
        <v>16.177806293238117</v>
      </c>
      <c r="CA43" s="106">
        <v>16540.189154206651</v>
      </c>
      <c r="CB43" s="106">
        <v>0</v>
      </c>
      <c r="CC43" s="106">
        <v>0</v>
      </c>
      <c r="CD43" s="106">
        <v>9.5823065549531776</v>
      </c>
      <c r="CE43" s="106">
        <v>9796.9502217841291</v>
      </c>
      <c r="CF43" s="106">
        <v>22.179304029304028</v>
      </c>
      <c r="CG43" s="106">
        <v>22676.120439560436</v>
      </c>
      <c r="CH43" s="106">
        <v>9.7926241010349067</v>
      </c>
      <c r="CI43" s="106">
        <v>10011.978880898088</v>
      </c>
      <c r="CJ43" s="106">
        <v>0</v>
      </c>
      <c r="CK43" s="106">
        <v>0</v>
      </c>
      <c r="CL43" s="106">
        <v>9.1231751824817522</v>
      </c>
      <c r="CM43" s="106">
        <v>9327.5343065693432</v>
      </c>
      <c r="CN43" s="106">
        <v>0</v>
      </c>
      <c r="CO43" s="106">
        <v>0</v>
      </c>
      <c r="CP43" s="106">
        <v>5.5177753544165755</v>
      </c>
      <c r="CQ43" s="106">
        <v>5641.3735223555068</v>
      </c>
      <c r="CR43" s="106">
        <v>5.1860427310729218</v>
      </c>
      <c r="CS43" s="106">
        <v>5302.2100882489549</v>
      </c>
      <c r="CT43" s="106">
        <v>9.0362558588365047</v>
      </c>
      <c r="CU43" s="106">
        <v>9238.6679900744421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31.501205720937964</v>
      </c>
      <c r="M44" s="106">
        <v>32206.832729086975</v>
      </c>
      <c r="N44" s="106">
        <v>9.9635135135135133</v>
      </c>
      <c r="O44" s="106">
        <v>10186.696216216216</v>
      </c>
      <c r="P44" s="106">
        <v>14.484175139389963</v>
      </c>
      <c r="Q44" s="106">
        <v>14808.620662512298</v>
      </c>
      <c r="R44" s="106">
        <v>12.373774873774874</v>
      </c>
      <c r="S44" s="106">
        <v>12650.94743094743</v>
      </c>
      <c r="T44" s="106">
        <v>0</v>
      </c>
      <c r="U44" s="106">
        <v>0</v>
      </c>
      <c r="V44" s="106">
        <v>13.941444684425246</v>
      </c>
      <c r="W44" s="106">
        <v>14253.733045356372</v>
      </c>
      <c r="X44" s="106">
        <v>0</v>
      </c>
      <c r="Y44" s="106">
        <v>0</v>
      </c>
      <c r="Z44" s="106">
        <v>7.6066118935837252</v>
      </c>
      <c r="AA44" s="106">
        <v>7777.0000000000009</v>
      </c>
      <c r="AB44" s="106">
        <v>12.621964414522722</v>
      </c>
      <c r="AC44" s="106">
        <v>12904.696417408031</v>
      </c>
      <c r="AD44" s="106">
        <v>28.036355859709154</v>
      </c>
      <c r="AE44" s="106">
        <v>28664.370230966637</v>
      </c>
      <c r="AF44" s="106">
        <v>19.136072191878412</v>
      </c>
      <c r="AG44" s="106">
        <v>19564.720208976487</v>
      </c>
      <c r="AH44" s="106">
        <v>0</v>
      </c>
      <c r="AI44" s="106">
        <v>0</v>
      </c>
      <c r="AJ44" s="106">
        <v>22.083031182015951</v>
      </c>
      <c r="AK44" s="106">
        <v>22577.691080493107</v>
      </c>
      <c r="AL44" s="106">
        <v>0</v>
      </c>
      <c r="AM44" s="106">
        <v>0</v>
      </c>
      <c r="AN44" s="106">
        <v>26.19757688723206</v>
      </c>
      <c r="AO44" s="106">
        <v>26784.402609506058</v>
      </c>
      <c r="AP44" s="106">
        <v>0</v>
      </c>
      <c r="AQ44" s="106">
        <v>0</v>
      </c>
      <c r="AR44" s="106">
        <v>80.745872007816317</v>
      </c>
      <c r="AS44" s="106">
        <v>82554.579540791397</v>
      </c>
      <c r="AT44" s="106">
        <v>0</v>
      </c>
      <c r="AU44" s="106">
        <v>0</v>
      </c>
      <c r="AV44" s="106">
        <v>41.57683982683983</v>
      </c>
      <c r="AW44" s="106">
        <v>42508.161038961043</v>
      </c>
      <c r="AX44" s="106">
        <v>53.251243192043574</v>
      </c>
      <c r="AY44" s="106">
        <v>54444.07103954535</v>
      </c>
      <c r="AZ44" s="106">
        <v>5.7915695612524072</v>
      </c>
      <c r="BA44" s="106">
        <v>5921.300719424461</v>
      </c>
      <c r="BB44" s="106">
        <v>8.1765688822874125</v>
      </c>
      <c r="BC44" s="106">
        <v>8359.7240252506508</v>
      </c>
      <c r="BD44" s="106">
        <v>0</v>
      </c>
      <c r="BE44" s="106">
        <v>0</v>
      </c>
      <c r="BF44" s="106">
        <v>12.117740281532582</v>
      </c>
      <c r="BG44" s="106">
        <v>12389.177663838911</v>
      </c>
      <c r="BH44" s="106">
        <v>7.6756644518272434</v>
      </c>
      <c r="BI44" s="106">
        <v>7847.5993355481733</v>
      </c>
      <c r="BJ44" s="106">
        <v>7.4364667154352588</v>
      </c>
      <c r="BK44" s="106">
        <v>7603.0435698610081</v>
      </c>
      <c r="BL44" s="106">
        <v>6.1268382352941178</v>
      </c>
      <c r="BM44" s="106">
        <v>6264.0794117647056</v>
      </c>
      <c r="BN44" s="106">
        <v>0</v>
      </c>
      <c r="BO44" s="106">
        <v>0</v>
      </c>
      <c r="BP44" s="106">
        <v>11.672567793342758</v>
      </c>
      <c r="BQ44" s="106">
        <v>11934.033311913636</v>
      </c>
      <c r="BR44" s="106">
        <v>19.319585330509419</v>
      </c>
      <c r="BS44" s="106">
        <v>19752.344041912831</v>
      </c>
      <c r="BT44" s="106">
        <v>0</v>
      </c>
      <c r="BU44" s="106">
        <v>0</v>
      </c>
      <c r="BV44" s="106">
        <v>8.1621592844974451</v>
      </c>
      <c r="BW44" s="106">
        <v>8344.9916524701875</v>
      </c>
      <c r="BX44" s="106">
        <v>23.325816485225506</v>
      </c>
      <c r="BY44" s="106">
        <v>23848.314774494556</v>
      </c>
      <c r="BZ44" s="106">
        <v>17.293517072082125</v>
      </c>
      <c r="CA44" s="106">
        <v>17680.891854496764</v>
      </c>
      <c r="CB44" s="106">
        <v>0</v>
      </c>
      <c r="CC44" s="106">
        <v>0</v>
      </c>
      <c r="CD44" s="106">
        <v>11.224987678659438</v>
      </c>
      <c r="CE44" s="106">
        <v>11476.427402661409</v>
      </c>
      <c r="CF44" s="106">
        <v>22.586263736263739</v>
      </c>
      <c r="CG44" s="106">
        <v>23092.196043956046</v>
      </c>
      <c r="CH44" s="106">
        <v>9.3054288721276972</v>
      </c>
      <c r="CI44" s="106">
        <v>9513.8704788633568</v>
      </c>
      <c r="CJ44" s="106">
        <v>0</v>
      </c>
      <c r="CK44" s="106">
        <v>0</v>
      </c>
      <c r="CL44" s="106">
        <v>9.4721490965657527</v>
      </c>
      <c r="CM44" s="106">
        <v>9684.3252363288248</v>
      </c>
      <c r="CN44" s="106">
        <v>0</v>
      </c>
      <c r="CO44" s="106">
        <v>0</v>
      </c>
      <c r="CP44" s="106">
        <v>6.0627408215194469</v>
      </c>
      <c r="CQ44" s="106">
        <v>6198.5462159214821</v>
      </c>
      <c r="CR44" s="106">
        <v>5.418253599628426</v>
      </c>
      <c r="CS44" s="106">
        <v>5539.6224802601027</v>
      </c>
      <c r="CT44" s="106">
        <v>9.802040253653157</v>
      </c>
      <c r="CU44" s="106">
        <v>10021.605955334988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31.206801929153499</v>
      </c>
      <c r="M45" s="106">
        <v>38983.536969898552</v>
      </c>
      <c r="N45" s="106">
        <v>9.827027027027027</v>
      </c>
      <c r="O45" s="106">
        <v>12275.922162162162</v>
      </c>
      <c r="P45" s="106">
        <v>13.254386684158741</v>
      </c>
      <c r="Q45" s="106">
        <v>16557.379845851101</v>
      </c>
      <c r="R45" s="106">
        <v>11.507610632610632</v>
      </c>
      <c r="S45" s="106">
        <v>14375.307202257201</v>
      </c>
      <c r="T45" s="106">
        <v>0</v>
      </c>
      <c r="U45" s="106">
        <v>0</v>
      </c>
      <c r="V45" s="106">
        <v>13.491720662347012</v>
      </c>
      <c r="W45" s="106">
        <v>16853.857451403888</v>
      </c>
      <c r="X45" s="106">
        <v>0</v>
      </c>
      <c r="Y45" s="106">
        <v>0</v>
      </c>
      <c r="Z45" s="106">
        <v>6.5199530516431929</v>
      </c>
      <c r="AA45" s="106">
        <v>8144.7253521126768</v>
      </c>
      <c r="AB45" s="106">
        <v>11.820569848521279</v>
      </c>
      <c r="AC45" s="106">
        <v>14766.255854772782</v>
      </c>
      <c r="AD45" s="106">
        <v>25.185201026518392</v>
      </c>
      <c r="AE45" s="106">
        <v>31461.353122326778</v>
      </c>
      <c r="AF45" s="106">
        <v>16.243410116361911</v>
      </c>
      <c r="AG45" s="106">
        <v>20291.267917359299</v>
      </c>
      <c r="AH45" s="106">
        <v>0</v>
      </c>
      <c r="AI45" s="106">
        <v>0</v>
      </c>
      <c r="AJ45" s="106">
        <v>20.384336475707034</v>
      </c>
      <c r="AK45" s="106">
        <v>25464.113125453227</v>
      </c>
      <c r="AL45" s="106">
        <v>0</v>
      </c>
      <c r="AM45" s="106">
        <v>0</v>
      </c>
      <c r="AN45" s="106">
        <v>27.507455731593662</v>
      </c>
      <c r="AO45" s="106">
        <v>34362.313699906801</v>
      </c>
      <c r="AP45" s="106">
        <v>0</v>
      </c>
      <c r="AQ45" s="106">
        <v>0</v>
      </c>
      <c r="AR45" s="106">
        <v>76.35153883732292</v>
      </c>
      <c r="AS45" s="106">
        <v>95378.342315583795</v>
      </c>
      <c r="AT45" s="106">
        <v>0</v>
      </c>
      <c r="AU45" s="106">
        <v>0</v>
      </c>
      <c r="AV45" s="106">
        <v>32.818968909878002</v>
      </c>
      <c r="AW45" s="106">
        <v>40997.455962219603</v>
      </c>
      <c r="AX45" s="106">
        <v>50.36680085247454</v>
      </c>
      <c r="AY45" s="106">
        <v>62918.2076249112</v>
      </c>
      <c r="AZ45" s="106">
        <v>6.2662883777485057</v>
      </c>
      <c r="BA45" s="106">
        <v>7827.8474414834336</v>
      </c>
      <c r="BB45" s="106">
        <v>7.4806906795395474</v>
      </c>
      <c r="BC45" s="106">
        <v>9344.8787968808028</v>
      </c>
      <c r="BD45" s="106">
        <v>0</v>
      </c>
      <c r="BE45" s="106">
        <v>0</v>
      </c>
      <c r="BF45" s="106">
        <v>10.719539479817282</v>
      </c>
      <c r="BG45" s="106">
        <v>13390.84871818775</v>
      </c>
      <c r="BH45" s="106">
        <v>7.1723421926910298</v>
      </c>
      <c r="BI45" s="106">
        <v>8959.6898671096351</v>
      </c>
      <c r="BJ45" s="106">
        <v>6.9488295537673741</v>
      </c>
      <c r="BK45" s="106">
        <v>8680.4778785662038</v>
      </c>
      <c r="BL45" s="106">
        <v>6.0018007202881156</v>
      </c>
      <c r="BM45" s="106">
        <v>7497.4494597839139</v>
      </c>
      <c r="BN45" s="106">
        <v>0</v>
      </c>
      <c r="BO45" s="106">
        <v>0</v>
      </c>
      <c r="BP45" s="106">
        <v>10.173338902454697</v>
      </c>
      <c r="BQ45" s="106">
        <v>12708.534956946409</v>
      </c>
      <c r="BR45" s="106">
        <v>17.461932894883514</v>
      </c>
      <c r="BS45" s="106">
        <v>21813.446572288485</v>
      </c>
      <c r="BT45" s="106">
        <v>0</v>
      </c>
      <c r="BU45" s="106">
        <v>0</v>
      </c>
      <c r="BV45" s="106">
        <v>8.1621592844974451</v>
      </c>
      <c r="BW45" s="106">
        <v>10196.169378194209</v>
      </c>
      <c r="BX45" s="106">
        <v>22.215063319262384</v>
      </c>
      <c r="BY45" s="106">
        <v>27751.057098422571</v>
      </c>
      <c r="BZ45" s="106">
        <v>15.805902700290112</v>
      </c>
      <c r="CA45" s="106">
        <v>19744.733653202409</v>
      </c>
      <c r="CB45" s="106">
        <v>0</v>
      </c>
      <c r="CC45" s="106">
        <v>0</v>
      </c>
      <c r="CD45" s="106">
        <v>9.719196648595366</v>
      </c>
      <c r="CE45" s="106">
        <v>12141.220453425332</v>
      </c>
      <c r="CF45" s="106">
        <v>24.315842490842492</v>
      </c>
      <c r="CG45" s="106">
        <v>30375.350439560443</v>
      </c>
      <c r="CH45" s="106">
        <v>9.3541483950184183</v>
      </c>
      <c r="CI45" s="106">
        <v>11685.202175057009</v>
      </c>
      <c r="CJ45" s="106">
        <v>0</v>
      </c>
      <c r="CK45" s="106">
        <v>0</v>
      </c>
      <c r="CL45" s="106">
        <v>8.2258136891228908</v>
      </c>
      <c r="CM45" s="106">
        <v>10275.686460452316</v>
      </c>
      <c r="CN45" s="106">
        <v>0</v>
      </c>
      <c r="CO45" s="106">
        <v>0</v>
      </c>
      <c r="CP45" s="106">
        <v>5.5858960378044351</v>
      </c>
      <c r="CQ45" s="106">
        <v>6977.9013304253003</v>
      </c>
      <c r="CR45" s="106">
        <v>5.6504644681839293</v>
      </c>
      <c r="CS45" s="106">
        <v>7058.5602136553644</v>
      </c>
      <c r="CT45" s="106">
        <v>8.4236283429831804</v>
      </c>
      <c r="CU45" s="106">
        <v>10522.79652605459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32.384417096291372</v>
      </c>
      <c r="M46" s="106">
        <v>39249.913520705144</v>
      </c>
      <c r="N46" s="106">
        <v>9.0081081081081091</v>
      </c>
      <c r="O46" s="106">
        <v>10917.827027027028</v>
      </c>
      <c r="P46" s="106">
        <v>13.254386684158741</v>
      </c>
      <c r="Q46" s="106">
        <v>16064.316661200393</v>
      </c>
      <c r="R46" s="106">
        <v>12.002561627561628</v>
      </c>
      <c r="S46" s="106">
        <v>14547.104692604693</v>
      </c>
      <c r="T46" s="106">
        <v>0</v>
      </c>
      <c r="U46" s="106">
        <v>0</v>
      </c>
      <c r="V46" s="106">
        <v>12.817134629229662</v>
      </c>
      <c r="W46" s="106">
        <v>15534.36717062635</v>
      </c>
      <c r="X46" s="106">
        <v>0</v>
      </c>
      <c r="Y46" s="106">
        <v>0</v>
      </c>
      <c r="Z46" s="106">
        <v>6.9546165884194053</v>
      </c>
      <c r="AA46" s="106">
        <v>8428.9953051643188</v>
      </c>
      <c r="AB46" s="106">
        <v>11.019175282519836</v>
      </c>
      <c r="AC46" s="106">
        <v>13355.24044241404</v>
      </c>
      <c r="AD46" s="106">
        <v>26.610778443113769</v>
      </c>
      <c r="AE46" s="106">
        <v>32252.263473053888</v>
      </c>
      <c r="AF46" s="106">
        <v>15.798385181667062</v>
      </c>
      <c r="AG46" s="106">
        <v>19147.642840180477</v>
      </c>
      <c r="AH46" s="106">
        <v>0</v>
      </c>
      <c r="AI46" s="106">
        <v>0</v>
      </c>
      <c r="AJ46" s="106">
        <v>17.666424945612761</v>
      </c>
      <c r="AK46" s="106">
        <v>21411.707034082665</v>
      </c>
      <c r="AL46" s="106">
        <v>0</v>
      </c>
      <c r="AM46" s="106">
        <v>0</v>
      </c>
      <c r="AN46" s="106">
        <v>25.760950605778191</v>
      </c>
      <c r="AO46" s="106">
        <v>31222.272134203169</v>
      </c>
      <c r="AP46" s="106">
        <v>0</v>
      </c>
      <c r="AQ46" s="106">
        <v>0</v>
      </c>
      <c r="AR46" s="106">
        <v>68.295261358085014</v>
      </c>
      <c r="AS46" s="106">
        <v>82773.856765999037</v>
      </c>
      <c r="AT46" s="106">
        <v>0</v>
      </c>
      <c r="AU46" s="106">
        <v>0</v>
      </c>
      <c r="AV46" s="106">
        <v>35.861176702085793</v>
      </c>
      <c r="AW46" s="106">
        <v>43463.746162927979</v>
      </c>
      <c r="AX46" s="106">
        <v>51.698081932275635</v>
      </c>
      <c r="AY46" s="106">
        <v>62658.07530191807</v>
      </c>
      <c r="AZ46" s="106">
        <v>6.3612321410477257</v>
      </c>
      <c r="BA46" s="106">
        <v>7709.8133549498434</v>
      </c>
      <c r="BB46" s="106">
        <v>8.3505384329743766</v>
      </c>
      <c r="BC46" s="106">
        <v>10120.852580764944</v>
      </c>
      <c r="BD46" s="106">
        <v>0</v>
      </c>
      <c r="BE46" s="106">
        <v>0</v>
      </c>
      <c r="BF46" s="106">
        <v>12.428451570802649</v>
      </c>
      <c r="BG46" s="106">
        <v>15063.28330381281</v>
      </c>
      <c r="BH46" s="106">
        <v>7.6756644518272434</v>
      </c>
      <c r="BI46" s="106">
        <v>9302.9053156146183</v>
      </c>
      <c r="BJ46" s="106">
        <v>6.7050109729334313</v>
      </c>
      <c r="BK46" s="106">
        <v>8126.4732991953188</v>
      </c>
      <c r="BL46" s="106">
        <v>5.7517256902761105</v>
      </c>
      <c r="BM46" s="106">
        <v>6971.0915366146455</v>
      </c>
      <c r="BN46" s="106">
        <v>0</v>
      </c>
      <c r="BO46" s="106">
        <v>0</v>
      </c>
      <c r="BP46" s="106">
        <v>11.993831127104485</v>
      </c>
      <c r="BQ46" s="106">
        <v>14536.523326050636</v>
      </c>
      <c r="BR46" s="106">
        <v>17.276167651320925</v>
      </c>
      <c r="BS46" s="106">
        <v>20938.71519340096</v>
      </c>
      <c r="BT46" s="106">
        <v>0</v>
      </c>
      <c r="BU46" s="106">
        <v>0</v>
      </c>
      <c r="BV46" s="106">
        <v>8.7536201022146507</v>
      </c>
      <c r="BW46" s="106">
        <v>10609.387563884156</v>
      </c>
      <c r="BX46" s="106">
        <v>26.287824927793825</v>
      </c>
      <c r="BY46" s="106">
        <v>31860.843812486117</v>
      </c>
      <c r="BZ46" s="106">
        <v>15.619950903816113</v>
      </c>
      <c r="CA46" s="106">
        <v>18931.380495425128</v>
      </c>
      <c r="CB46" s="106">
        <v>0</v>
      </c>
      <c r="CC46" s="106">
        <v>0</v>
      </c>
      <c r="CD46" s="106">
        <v>10.266757023164121</v>
      </c>
      <c r="CE46" s="106">
        <v>12443.309512074915</v>
      </c>
      <c r="CF46" s="106">
        <v>23.09496336996337</v>
      </c>
      <c r="CG46" s="106">
        <v>27991.095604395603</v>
      </c>
      <c r="CH46" s="106">
        <v>9.0618312576740916</v>
      </c>
      <c r="CI46" s="106">
        <v>10982.939484301</v>
      </c>
      <c r="CJ46" s="106">
        <v>0</v>
      </c>
      <c r="CK46" s="106">
        <v>0</v>
      </c>
      <c r="CL46" s="106">
        <v>7.777132942443461</v>
      </c>
      <c r="CM46" s="106">
        <v>9425.8851262414755</v>
      </c>
      <c r="CN46" s="106">
        <v>0</v>
      </c>
      <c r="CO46" s="106">
        <v>0</v>
      </c>
      <c r="CP46" s="106">
        <v>5.6540167211922938</v>
      </c>
      <c r="CQ46" s="106">
        <v>6852.6682660850602</v>
      </c>
      <c r="CR46" s="106">
        <v>5.1086391082210865</v>
      </c>
      <c r="CS46" s="106">
        <v>6191.6705991639565</v>
      </c>
      <c r="CT46" s="106">
        <v>9.4957264957264957</v>
      </c>
      <c r="CU46" s="106">
        <v>11508.820512820514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29.145975386662229</v>
      </c>
      <c r="M47" s="106">
        <v>44523.392000665219</v>
      </c>
      <c r="N47" s="106">
        <v>9.0081081081081091</v>
      </c>
      <c r="O47" s="106">
        <v>13760.785945945947</v>
      </c>
      <c r="P47" s="106">
        <v>14.210888816005246</v>
      </c>
      <c r="Q47" s="106">
        <v>21708.553755329613</v>
      </c>
      <c r="R47" s="106">
        <v>12.126299376299377</v>
      </c>
      <c r="S47" s="106">
        <v>18524.134927234929</v>
      </c>
      <c r="T47" s="106">
        <v>0</v>
      </c>
      <c r="U47" s="106">
        <v>0</v>
      </c>
      <c r="V47" s="106">
        <v>13.266858651307896</v>
      </c>
      <c r="W47" s="106">
        <v>20266.453275737938</v>
      </c>
      <c r="X47" s="106">
        <v>0</v>
      </c>
      <c r="Y47" s="106">
        <v>0</v>
      </c>
      <c r="Z47" s="106">
        <v>7.1719483568075111</v>
      </c>
      <c r="AA47" s="106">
        <v>10955.868309859154</v>
      </c>
      <c r="AB47" s="106">
        <v>11.219523924020198</v>
      </c>
      <c r="AC47" s="106">
        <v>17138.944746333254</v>
      </c>
      <c r="AD47" s="106">
        <v>25.66039349871685</v>
      </c>
      <c r="AE47" s="106">
        <v>39198.817108639858</v>
      </c>
      <c r="AF47" s="106">
        <v>17.578484920446449</v>
      </c>
      <c r="AG47" s="106">
        <v>26852.893564473994</v>
      </c>
      <c r="AH47" s="106">
        <v>0</v>
      </c>
      <c r="AI47" s="106">
        <v>0</v>
      </c>
      <c r="AJ47" s="106">
        <v>16.986947063089193</v>
      </c>
      <c r="AK47" s="106">
        <v>25949.26033357505</v>
      </c>
      <c r="AL47" s="106">
        <v>0</v>
      </c>
      <c r="AM47" s="106">
        <v>0</v>
      </c>
      <c r="AN47" s="106">
        <v>26.634203168685929</v>
      </c>
      <c r="AO47" s="106">
        <v>40686.408760484621</v>
      </c>
      <c r="AP47" s="106">
        <v>0</v>
      </c>
      <c r="AQ47" s="106">
        <v>0</v>
      </c>
      <c r="AR47" s="106">
        <v>69.760039081582804</v>
      </c>
      <c r="AS47" s="106">
        <v>106565.43570102588</v>
      </c>
      <c r="AT47" s="106">
        <v>0</v>
      </c>
      <c r="AU47" s="106">
        <v>0</v>
      </c>
      <c r="AV47" s="106">
        <v>29.776761117670205</v>
      </c>
      <c r="AW47" s="106">
        <v>45486.980283353005</v>
      </c>
      <c r="AX47" s="106">
        <v>46.81671797300497</v>
      </c>
      <c r="AY47" s="106">
        <v>71517.218375562385</v>
      </c>
      <c r="AZ47" s="106">
        <v>5.6966257979531871</v>
      </c>
      <c r="BA47" s="106">
        <v>8702.165568953289</v>
      </c>
      <c r="BB47" s="106">
        <v>7.1327515781656148</v>
      </c>
      <c r="BC47" s="106">
        <v>10895.991310805792</v>
      </c>
      <c r="BD47" s="106">
        <v>0</v>
      </c>
      <c r="BE47" s="106">
        <v>0</v>
      </c>
      <c r="BF47" s="106">
        <v>11.962384636897548</v>
      </c>
      <c r="BG47" s="106">
        <v>18273.738771324694</v>
      </c>
      <c r="BH47" s="106">
        <v>8.0531561461794023</v>
      </c>
      <c r="BI47" s="106">
        <v>12302.001328903654</v>
      </c>
      <c r="BJ47" s="106">
        <v>7.8021945866861744</v>
      </c>
      <c r="BK47" s="106">
        <v>11918.632450621799</v>
      </c>
      <c r="BL47" s="106">
        <v>5.3766131452581032</v>
      </c>
      <c r="BM47" s="106">
        <v>8213.3142406962779</v>
      </c>
      <c r="BN47" s="106">
        <v>0</v>
      </c>
      <c r="BO47" s="106">
        <v>0</v>
      </c>
      <c r="BP47" s="106">
        <v>10.280426680375273</v>
      </c>
      <c r="BQ47" s="106">
        <v>15704.379796941266</v>
      </c>
      <c r="BR47" s="106">
        <v>18.204993869133876</v>
      </c>
      <c r="BS47" s="106">
        <v>27809.948634488908</v>
      </c>
      <c r="BT47" s="106">
        <v>0</v>
      </c>
      <c r="BU47" s="106">
        <v>0</v>
      </c>
      <c r="BV47" s="106">
        <v>8.3987436115843259</v>
      </c>
      <c r="BW47" s="106">
        <v>12829.920741056216</v>
      </c>
      <c r="BX47" s="106">
        <v>22.955565429904468</v>
      </c>
      <c r="BY47" s="106">
        <v>35066.92175072206</v>
      </c>
      <c r="BZ47" s="106">
        <v>16.921613479134123</v>
      </c>
      <c r="CA47" s="106">
        <v>25849.456750725287</v>
      </c>
      <c r="CB47" s="106">
        <v>0</v>
      </c>
      <c r="CC47" s="106">
        <v>0</v>
      </c>
      <c r="CD47" s="106">
        <v>10.814317397732873</v>
      </c>
      <c r="CE47" s="106">
        <v>16519.951256776738</v>
      </c>
      <c r="CF47" s="106">
        <v>19.534065934065936</v>
      </c>
      <c r="CG47" s="106">
        <v>29840.239120879123</v>
      </c>
      <c r="CH47" s="106">
        <v>8.3310384143132783</v>
      </c>
      <c r="CI47" s="106">
        <v>12726.494281704963</v>
      </c>
      <c r="CJ47" s="106">
        <v>0</v>
      </c>
      <c r="CK47" s="106">
        <v>0</v>
      </c>
      <c r="CL47" s="106">
        <v>6.9296248653823147</v>
      </c>
      <c r="CM47" s="106">
        <v>10585.694944358023</v>
      </c>
      <c r="CN47" s="106">
        <v>0</v>
      </c>
      <c r="CO47" s="106">
        <v>0</v>
      </c>
      <c r="CP47" s="106">
        <v>5.1771719374772811</v>
      </c>
      <c r="CQ47" s="106">
        <v>7908.6478516902944</v>
      </c>
      <c r="CR47" s="106">
        <v>4.7990246168137478</v>
      </c>
      <c r="CS47" s="106">
        <v>7330.990004644681</v>
      </c>
      <c r="CT47" s="106">
        <v>7.9641577060931894</v>
      </c>
      <c r="CU47" s="106">
        <v>12166.047311827955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33.562032263429238</v>
      </c>
      <c r="M48" s="106">
        <v>29118.419191751207</v>
      </c>
      <c r="N48" s="106">
        <v>10.509459459459459</v>
      </c>
      <c r="O48" s="106">
        <v>9118.0070270270262</v>
      </c>
      <c r="P48" s="106">
        <v>15.987249918005904</v>
      </c>
      <c r="Q48" s="106">
        <v>13870.538028861924</v>
      </c>
      <c r="R48" s="106">
        <v>12.497512622512623</v>
      </c>
      <c r="S48" s="106">
        <v>10842.841951291952</v>
      </c>
      <c r="T48" s="106">
        <v>0</v>
      </c>
      <c r="U48" s="106">
        <v>0</v>
      </c>
      <c r="V48" s="106">
        <v>14.166306695464364</v>
      </c>
      <c r="W48" s="106">
        <v>12290.687688984883</v>
      </c>
      <c r="X48" s="106">
        <v>0</v>
      </c>
      <c r="Y48" s="106">
        <v>0</v>
      </c>
      <c r="Z48" s="106">
        <v>7.1719483568075111</v>
      </c>
      <c r="AA48" s="106">
        <v>6222.3823943661964</v>
      </c>
      <c r="AB48" s="106">
        <v>12.020918490021639</v>
      </c>
      <c r="AC48" s="106">
        <v>10429.348881942775</v>
      </c>
      <c r="AD48" s="106">
        <v>30.887510692899916</v>
      </c>
      <c r="AE48" s="106">
        <v>26798.004277159969</v>
      </c>
      <c r="AF48" s="106">
        <v>19.803609593920683</v>
      </c>
      <c r="AG48" s="106">
        <v>17181.611683685584</v>
      </c>
      <c r="AH48" s="106">
        <v>0</v>
      </c>
      <c r="AI48" s="106">
        <v>0</v>
      </c>
      <c r="AJ48" s="106">
        <v>19.704858593183467</v>
      </c>
      <c r="AK48" s="106">
        <v>17095.935315445975</v>
      </c>
      <c r="AL48" s="106">
        <v>0</v>
      </c>
      <c r="AM48" s="106">
        <v>0</v>
      </c>
      <c r="AN48" s="106">
        <v>26.634203168685929</v>
      </c>
      <c r="AO48" s="106">
        <v>23107.834669151911</v>
      </c>
      <c r="AP48" s="106">
        <v>0</v>
      </c>
      <c r="AQ48" s="106">
        <v>0</v>
      </c>
      <c r="AR48" s="106">
        <v>85.140205178309714</v>
      </c>
      <c r="AS48" s="106">
        <v>73867.642012701515</v>
      </c>
      <c r="AT48" s="106">
        <v>0</v>
      </c>
      <c r="AU48" s="106">
        <v>0</v>
      </c>
      <c r="AV48" s="106">
        <v>42.037780401416761</v>
      </c>
      <c r="AW48" s="106">
        <v>36471.978276269183</v>
      </c>
      <c r="AX48" s="106">
        <v>53.916883731944118</v>
      </c>
      <c r="AY48" s="106">
        <v>46778.288325834721</v>
      </c>
      <c r="AZ48" s="106">
        <v>6.6460634309453841</v>
      </c>
      <c r="BA48" s="106">
        <v>5766.1246326882156</v>
      </c>
      <c r="BB48" s="106">
        <v>8.1765688822874125</v>
      </c>
      <c r="BC48" s="106">
        <v>7093.9911622725594</v>
      </c>
      <c r="BD48" s="106">
        <v>0</v>
      </c>
      <c r="BE48" s="106">
        <v>0</v>
      </c>
      <c r="BF48" s="106">
        <v>12.739162860072714</v>
      </c>
      <c r="BG48" s="106">
        <v>11052.497697399087</v>
      </c>
      <c r="BH48" s="106">
        <v>7.4240033222591357</v>
      </c>
      <c r="BI48" s="106">
        <v>6441.0652823920263</v>
      </c>
      <c r="BJ48" s="106">
        <v>7.9241038771031462</v>
      </c>
      <c r="BK48" s="106">
        <v>6874.9525237746902</v>
      </c>
      <c r="BL48" s="106">
        <v>6.501950780312125</v>
      </c>
      <c r="BM48" s="106">
        <v>5641.0924969988</v>
      </c>
      <c r="BN48" s="106">
        <v>0</v>
      </c>
      <c r="BO48" s="106">
        <v>0</v>
      </c>
      <c r="BP48" s="106">
        <v>11.779655571263334</v>
      </c>
      <c r="BQ48" s="106">
        <v>10220.029173628069</v>
      </c>
      <c r="BR48" s="106">
        <v>20.434176791884962</v>
      </c>
      <c r="BS48" s="106">
        <v>17728.691784639392</v>
      </c>
      <c r="BT48" s="106">
        <v>0</v>
      </c>
      <c r="BU48" s="106">
        <v>0</v>
      </c>
      <c r="BV48" s="106">
        <v>8.1621592844974451</v>
      </c>
      <c r="BW48" s="106">
        <v>7081.4893952299835</v>
      </c>
      <c r="BX48" s="106">
        <v>26.287824927793825</v>
      </c>
      <c r="BY48" s="106">
        <v>22807.316907353921</v>
      </c>
      <c r="BZ48" s="106">
        <v>18.595179647400133</v>
      </c>
      <c r="CA48" s="106">
        <v>16133.177862084356</v>
      </c>
      <c r="CB48" s="106">
        <v>0</v>
      </c>
      <c r="CC48" s="106">
        <v>0</v>
      </c>
      <c r="CD48" s="106">
        <v>11.909438146870379</v>
      </c>
      <c r="CE48" s="106">
        <v>10332.62853622474</v>
      </c>
      <c r="CF48" s="106">
        <v>25.231501831501831</v>
      </c>
      <c r="CG48" s="106">
        <v>21890.850989010989</v>
      </c>
      <c r="CH48" s="106">
        <v>9.4515874407998606</v>
      </c>
      <c r="CI48" s="106">
        <v>8200.1972636379596</v>
      </c>
      <c r="CJ48" s="106">
        <v>0</v>
      </c>
      <c r="CK48" s="106">
        <v>0</v>
      </c>
      <c r="CL48" s="106">
        <v>8.4252273543137495</v>
      </c>
      <c r="CM48" s="106">
        <v>7309.727252602609</v>
      </c>
      <c r="CN48" s="106">
        <v>0</v>
      </c>
      <c r="CO48" s="106">
        <v>0</v>
      </c>
      <c r="CP48" s="106">
        <v>5.5858960378044351</v>
      </c>
      <c r="CQ48" s="106">
        <v>4846.3234023991281</v>
      </c>
      <c r="CR48" s="106">
        <v>5.418253599628426</v>
      </c>
      <c r="CS48" s="106">
        <v>4700.8768230376227</v>
      </c>
      <c r="CT48" s="106">
        <v>8.7299421009098435</v>
      </c>
      <c r="CU48" s="106">
        <v>7574.0977667493808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6.2240896358543418</v>
      </c>
      <c r="M49" s="106">
        <v>6131.9731092436969</v>
      </c>
      <c r="N49" s="106">
        <v>17.603493737640079</v>
      </c>
      <c r="O49" s="106">
        <v>17342.962030323004</v>
      </c>
      <c r="P49" s="106">
        <v>10.436222808174028</v>
      </c>
      <c r="Q49" s="106">
        <v>10281.766710613052</v>
      </c>
      <c r="R49" s="106">
        <v>20.144505494505495</v>
      </c>
      <c r="S49" s="106">
        <v>19846.366813186811</v>
      </c>
      <c r="T49" s="106">
        <v>0</v>
      </c>
      <c r="U49" s="106">
        <v>0</v>
      </c>
      <c r="V49" s="106">
        <v>9.7961317302665964</v>
      </c>
      <c r="W49" s="106">
        <v>9651.1489806586505</v>
      </c>
      <c r="X49" s="106">
        <v>4.9248692884746532</v>
      </c>
      <c r="Y49" s="106">
        <v>4851.9812230052285</v>
      </c>
      <c r="Z49" s="106">
        <v>7.0209304410182858</v>
      </c>
      <c r="AA49" s="106">
        <v>6917.0206704912143</v>
      </c>
      <c r="AB49" s="106">
        <v>12.887600000000001</v>
      </c>
      <c r="AC49" s="106">
        <v>12696.863520000001</v>
      </c>
      <c r="AD49" s="106">
        <v>0</v>
      </c>
      <c r="AE49" s="106">
        <v>0</v>
      </c>
      <c r="AF49" s="106">
        <v>29</v>
      </c>
      <c r="AG49" s="106">
        <v>28570.799999999999</v>
      </c>
      <c r="AH49" s="106">
        <v>12.162678890876565</v>
      </c>
      <c r="AI49" s="106">
        <v>11982.671243291592</v>
      </c>
      <c r="AJ49" s="106">
        <v>0</v>
      </c>
      <c r="AK49" s="106">
        <v>0</v>
      </c>
      <c r="AL49" s="106">
        <v>29.764559327312366</v>
      </c>
      <c r="AM49" s="106">
        <v>29324.043849268142</v>
      </c>
      <c r="AN49" s="106">
        <v>20.572306791569087</v>
      </c>
      <c r="AO49" s="106">
        <v>20267.836651053862</v>
      </c>
      <c r="AP49" s="106">
        <v>16.511013215859034</v>
      </c>
      <c r="AQ49" s="106">
        <v>16266.650220264319</v>
      </c>
      <c r="AR49" s="106">
        <v>0</v>
      </c>
      <c r="AS49" s="106">
        <v>0</v>
      </c>
      <c r="AT49" s="106">
        <v>22.603070175438596</v>
      </c>
      <c r="AU49" s="106">
        <v>22268.544736842105</v>
      </c>
      <c r="AV49" s="106">
        <v>7.2488693168293263</v>
      </c>
      <c r="AW49" s="106">
        <v>7141.5860509402519</v>
      </c>
      <c r="AX49" s="106">
        <v>10.228766794625718</v>
      </c>
      <c r="AY49" s="106">
        <v>10077.381046065257</v>
      </c>
      <c r="AZ49" s="106">
        <v>38</v>
      </c>
      <c r="BA49" s="106">
        <v>37437.599999999999</v>
      </c>
      <c r="BB49" s="106">
        <v>38.182268449727587</v>
      </c>
      <c r="BC49" s="106">
        <v>37617.170876671618</v>
      </c>
      <c r="BD49" s="106">
        <v>16.83695184866724</v>
      </c>
      <c r="BE49" s="106">
        <v>16587.764961306963</v>
      </c>
      <c r="BF49" s="106">
        <v>16.896211312700107</v>
      </c>
      <c r="BG49" s="106">
        <v>16646.147385272143</v>
      </c>
      <c r="BH49" s="106">
        <v>8.5242966751918168</v>
      </c>
      <c r="BI49" s="106">
        <v>8398.1370843989771</v>
      </c>
      <c r="BJ49" s="106">
        <v>0</v>
      </c>
      <c r="BK49" s="106">
        <v>0</v>
      </c>
      <c r="BL49" s="106">
        <v>17.109856262833674</v>
      </c>
      <c r="BM49" s="106">
        <v>16856.630390143735</v>
      </c>
      <c r="BN49" s="106">
        <v>15.650992063492064</v>
      </c>
      <c r="BO49" s="106">
        <v>15419.35738095238</v>
      </c>
      <c r="BP49" s="106">
        <v>31.547325721153843</v>
      </c>
      <c r="BQ49" s="106">
        <v>31080.425300480765</v>
      </c>
      <c r="BR49" s="106">
        <v>24.516366311143802</v>
      </c>
      <c r="BS49" s="106">
        <v>24153.524089738872</v>
      </c>
      <c r="BT49" s="106">
        <v>0</v>
      </c>
      <c r="BU49" s="106">
        <v>0</v>
      </c>
      <c r="BV49" s="106">
        <v>20.164355936475928</v>
      </c>
      <c r="BW49" s="106">
        <v>19865.923468616082</v>
      </c>
      <c r="BX49" s="106">
        <v>17.097589616810879</v>
      </c>
      <c r="BY49" s="106">
        <v>16844.545290482078</v>
      </c>
      <c r="BZ49" s="106">
        <v>0</v>
      </c>
      <c r="CA49" s="106">
        <v>0</v>
      </c>
      <c r="CB49" s="106">
        <v>35.955760095011875</v>
      </c>
      <c r="CC49" s="106">
        <v>35423.614845605698</v>
      </c>
      <c r="CD49" s="106">
        <v>22.804396350931675</v>
      </c>
      <c r="CE49" s="106">
        <v>22466.891284937887</v>
      </c>
      <c r="CF49" s="106">
        <v>24.277407407407406</v>
      </c>
      <c r="CG49" s="106">
        <v>23918.101777777774</v>
      </c>
      <c r="CH49" s="106">
        <v>42.540632318501174</v>
      </c>
      <c r="CI49" s="106">
        <v>41911.030960187352</v>
      </c>
      <c r="CJ49" s="106">
        <v>30.333425261996691</v>
      </c>
      <c r="CK49" s="106">
        <v>29884.490568119138</v>
      </c>
      <c r="CL49" s="106">
        <v>0</v>
      </c>
      <c r="CM49" s="106">
        <v>0</v>
      </c>
      <c r="CN49" s="106">
        <v>27.261379633974659</v>
      </c>
      <c r="CO49" s="106">
        <v>26857.911215391832</v>
      </c>
      <c r="CP49" s="106">
        <v>17.419860627177702</v>
      </c>
      <c r="CQ49" s="106">
        <v>17162.046689895469</v>
      </c>
      <c r="CR49" s="106">
        <v>9.7038001838798653</v>
      </c>
      <c r="CS49" s="106">
        <v>9560.1839411584424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10.304132712456346</v>
      </c>
      <c r="M50" s="106">
        <v>2905.7654249126895</v>
      </c>
      <c r="N50" s="106">
        <v>7.0972972972972972</v>
      </c>
      <c r="O50" s="106">
        <v>2001.4378378378378</v>
      </c>
      <c r="P50" s="106">
        <v>8.4718760249262051</v>
      </c>
      <c r="Q50" s="106">
        <v>2389.0690390291898</v>
      </c>
      <c r="R50" s="106">
        <v>6.0631496881496885</v>
      </c>
      <c r="S50" s="106">
        <v>1709.8082120582121</v>
      </c>
      <c r="T50" s="106">
        <v>0</v>
      </c>
      <c r="U50" s="106">
        <v>0</v>
      </c>
      <c r="V50" s="106">
        <v>8.7696184305255578</v>
      </c>
      <c r="W50" s="106">
        <v>2473.0323974082071</v>
      </c>
      <c r="X50" s="106">
        <v>0</v>
      </c>
      <c r="Y50" s="106">
        <v>0</v>
      </c>
      <c r="Z50" s="106">
        <v>10.649256651017215</v>
      </c>
      <c r="AA50" s="106">
        <v>3003.0903755868544</v>
      </c>
      <c r="AB50" s="106">
        <v>7.6132483770137052</v>
      </c>
      <c r="AC50" s="106">
        <v>2146.936042317865</v>
      </c>
      <c r="AD50" s="106">
        <v>15.206159110350729</v>
      </c>
      <c r="AE50" s="106">
        <v>4288.1368691189055</v>
      </c>
      <c r="AF50" s="106">
        <v>6.6753740204227023</v>
      </c>
      <c r="AG50" s="106">
        <v>1882.4554737592021</v>
      </c>
      <c r="AH50" s="106">
        <v>0</v>
      </c>
      <c r="AI50" s="106">
        <v>0</v>
      </c>
      <c r="AJ50" s="106">
        <v>41.108411892675853</v>
      </c>
      <c r="AK50" s="106">
        <v>11592.572153734591</v>
      </c>
      <c r="AL50" s="106">
        <v>0</v>
      </c>
      <c r="AM50" s="106">
        <v>0</v>
      </c>
      <c r="AN50" s="106">
        <v>37.549860205032623</v>
      </c>
      <c r="AO50" s="106">
        <v>10589.0605778192</v>
      </c>
      <c r="AP50" s="106">
        <v>0</v>
      </c>
      <c r="AQ50" s="106">
        <v>0</v>
      </c>
      <c r="AR50" s="106">
        <v>22.154763067904248</v>
      </c>
      <c r="AS50" s="106">
        <v>6247.6431851489979</v>
      </c>
      <c r="AT50" s="106">
        <v>0</v>
      </c>
      <c r="AU50" s="106">
        <v>0</v>
      </c>
      <c r="AV50" s="106">
        <v>6.7297323888232974</v>
      </c>
      <c r="AW50" s="106">
        <v>1897.7845336481698</v>
      </c>
      <c r="AX50" s="106">
        <v>25.072460336253847</v>
      </c>
      <c r="AY50" s="106">
        <v>7070.4338148235847</v>
      </c>
      <c r="AZ50" s="106">
        <v>4.0825818218664507</v>
      </c>
      <c r="BA50" s="106">
        <v>1151.288073766339</v>
      </c>
      <c r="BB50" s="106">
        <v>5.7409951726698853</v>
      </c>
      <c r="BC50" s="106">
        <v>1618.9606386929077</v>
      </c>
      <c r="BD50" s="106">
        <v>0</v>
      </c>
      <c r="BE50" s="106">
        <v>0</v>
      </c>
      <c r="BF50" s="106">
        <v>7.4570709424815895</v>
      </c>
      <c r="BG50" s="106">
        <v>2102.8940057798081</v>
      </c>
      <c r="BH50" s="106">
        <v>6.9206810631229239</v>
      </c>
      <c r="BI50" s="106">
        <v>1951.6320598006646</v>
      </c>
      <c r="BJ50" s="106">
        <v>7.8021945866861744</v>
      </c>
      <c r="BK50" s="106">
        <v>2200.2188734455012</v>
      </c>
      <c r="BL50" s="106">
        <v>10.628188775510205</v>
      </c>
      <c r="BM50" s="106">
        <v>2997.149234693878</v>
      </c>
      <c r="BN50" s="106">
        <v>0</v>
      </c>
      <c r="BO50" s="106">
        <v>0</v>
      </c>
      <c r="BP50" s="106">
        <v>7.3890566765197283</v>
      </c>
      <c r="BQ50" s="106">
        <v>2083.7139827785636</v>
      </c>
      <c r="BR50" s="106">
        <v>16.347341433507971</v>
      </c>
      <c r="BS50" s="106">
        <v>4609.9502842492475</v>
      </c>
      <c r="BT50" s="106">
        <v>0</v>
      </c>
      <c r="BU50" s="106">
        <v>0</v>
      </c>
      <c r="BV50" s="106">
        <v>6.2694846678023852</v>
      </c>
      <c r="BW50" s="106">
        <v>1767.9946763202727</v>
      </c>
      <c r="BX50" s="106">
        <v>36.654854476782937</v>
      </c>
      <c r="BY50" s="106">
        <v>10336.668962452788</v>
      </c>
      <c r="BZ50" s="106">
        <v>14.504240124972103</v>
      </c>
      <c r="CA50" s="106">
        <v>4090.1957152421332</v>
      </c>
      <c r="CB50" s="106">
        <v>0</v>
      </c>
      <c r="CC50" s="106">
        <v>0</v>
      </c>
      <c r="CD50" s="106">
        <v>19.438393297190732</v>
      </c>
      <c r="CE50" s="106">
        <v>5481.6269098077864</v>
      </c>
      <c r="CF50" s="106">
        <v>8.2409340659340664</v>
      </c>
      <c r="CG50" s="106">
        <v>2323.9434065934065</v>
      </c>
      <c r="CH50" s="106">
        <v>5.3591475179793013</v>
      </c>
      <c r="CI50" s="106">
        <v>1511.279600070163</v>
      </c>
      <c r="CJ50" s="106">
        <v>0</v>
      </c>
      <c r="CK50" s="106">
        <v>0</v>
      </c>
      <c r="CL50" s="106">
        <v>3.6891528060308723</v>
      </c>
      <c r="CM50" s="106">
        <v>1040.341091300706</v>
      </c>
      <c r="CN50" s="106">
        <v>0</v>
      </c>
      <c r="CO50" s="106">
        <v>0</v>
      </c>
      <c r="CP50" s="106">
        <v>4.7003271537622684</v>
      </c>
      <c r="CQ50" s="106">
        <v>1325.4922573609597</v>
      </c>
      <c r="CR50" s="106">
        <v>3.4057594054807243</v>
      </c>
      <c r="CS50" s="106">
        <v>960.42415234556427</v>
      </c>
      <c r="CT50" s="106">
        <v>8.5767852219465119</v>
      </c>
      <c r="CU50" s="106">
        <v>2418.6534325889165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9.4209213371029428</v>
      </c>
      <c r="M51" s="106">
        <v>8049.2351904207544</v>
      </c>
      <c r="N51" s="106">
        <v>6.6878378378378383</v>
      </c>
      <c r="O51" s="106">
        <v>5714.0886486486488</v>
      </c>
      <c r="P51" s="106">
        <v>6.8321580846179071</v>
      </c>
      <c r="Q51" s="106">
        <v>5837.3958674975393</v>
      </c>
      <c r="R51" s="106">
        <v>5.6919364419364413</v>
      </c>
      <c r="S51" s="106">
        <v>4863.190495990495</v>
      </c>
      <c r="T51" s="106">
        <v>0</v>
      </c>
      <c r="U51" s="106">
        <v>0</v>
      </c>
      <c r="V51" s="106">
        <v>9.2193424526037919</v>
      </c>
      <c r="W51" s="106">
        <v>7877.0061915046799</v>
      </c>
      <c r="X51" s="106">
        <v>0</v>
      </c>
      <c r="Y51" s="106">
        <v>0</v>
      </c>
      <c r="Z51" s="106">
        <v>9.5625978090766814</v>
      </c>
      <c r="AA51" s="106">
        <v>8170.2835680751168</v>
      </c>
      <c r="AB51" s="106">
        <v>6.2108078865111809</v>
      </c>
      <c r="AC51" s="106">
        <v>5306.5142582351527</v>
      </c>
      <c r="AD51" s="106">
        <v>14.255774165953806</v>
      </c>
      <c r="AE51" s="106">
        <v>12180.133447390932</v>
      </c>
      <c r="AF51" s="106">
        <v>6.6753740204227023</v>
      </c>
      <c r="AG51" s="106">
        <v>5703.4395630491563</v>
      </c>
      <c r="AH51" s="106">
        <v>0</v>
      </c>
      <c r="AI51" s="106">
        <v>0</v>
      </c>
      <c r="AJ51" s="106">
        <v>34.653372008701957</v>
      </c>
      <c r="AK51" s="106">
        <v>29607.841044234952</v>
      </c>
      <c r="AL51" s="106">
        <v>0</v>
      </c>
      <c r="AM51" s="106">
        <v>0</v>
      </c>
      <c r="AN51" s="106">
        <v>31.000465983224601</v>
      </c>
      <c r="AO51" s="106">
        <v>26486.798136067096</v>
      </c>
      <c r="AP51" s="106">
        <v>0</v>
      </c>
      <c r="AQ51" s="106">
        <v>0</v>
      </c>
      <c r="AR51" s="106">
        <v>20.140693698094772</v>
      </c>
      <c r="AS51" s="106">
        <v>17208.208695652174</v>
      </c>
      <c r="AT51" s="106">
        <v>0</v>
      </c>
      <c r="AU51" s="106">
        <v>0</v>
      </c>
      <c r="AV51" s="106">
        <v>6.6375442739079107</v>
      </c>
      <c r="AW51" s="106">
        <v>5671.1178276269184</v>
      </c>
      <c r="AX51" s="106">
        <v>21.966137816717975</v>
      </c>
      <c r="AY51" s="106">
        <v>18767.868150603837</v>
      </c>
      <c r="AZ51" s="106">
        <v>3.8926942952680115</v>
      </c>
      <c r="BA51" s="106">
        <v>3325.9180058769889</v>
      </c>
      <c r="BB51" s="106">
        <v>5.6540103973264024</v>
      </c>
      <c r="BC51" s="106">
        <v>4830.7864834756783</v>
      </c>
      <c r="BD51" s="106">
        <v>0</v>
      </c>
      <c r="BE51" s="106">
        <v>0</v>
      </c>
      <c r="BF51" s="106">
        <v>7.1463596532115226</v>
      </c>
      <c r="BG51" s="106">
        <v>6105.8496877039252</v>
      </c>
      <c r="BH51" s="106">
        <v>7.4240033222591357</v>
      </c>
      <c r="BI51" s="106">
        <v>6343.0684385382056</v>
      </c>
      <c r="BJ51" s="106">
        <v>7.0707388441843451</v>
      </c>
      <c r="BK51" s="106">
        <v>6041.239268471104</v>
      </c>
      <c r="BL51" s="106">
        <v>10.003001200480192</v>
      </c>
      <c r="BM51" s="106">
        <v>8546.5642256902756</v>
      </c>
      <c r="BN51" s="106">
        <v>0</v>
      </c>
      <c r="BO51" s="106">
        <v>0</v>
      </c>
      <c r="BP51" s="106">
        <v>5.675652229790515</v>
      </c>
      <c r="BQ51" s="106">
        <v>4849.277265133016</v>
      </c>
      <c r="BR51" s="106">
        <v>16.53310667707056</v>
      </c>
      <c r="BS51" s="106">
        <v>14125.886344889086</v>
      </c>
      <c r="BT51" s="106">
        <v>0</v>
      </c>
      <c r="BU51" s="106">
        <v>0</v>
      </c>
      <c r="BV51" s="106">
        <v>5.5597316865417374</v>
      </c>
      <c r="BW51" s="106">
        <v>4750.2347529812605</v>
      </c>
      <c r="BX51" s="106">
        <v>33.692846034214618</v>
      </c>
      <c r="BY51" s="106">
        <v>28787.167651632968</v>
      </c>
      <c r="BZ51" s="106">
        <v>13.760432939076098</v>
      </c>
      <c r="CA51" s="106">
        <v>11756.913903146618</v>
      </c>
      <c r="CB51" s="106">
        <v>0</v>
      </c>
      <c r="CC51" s="106">
        <v>0</v>
      </c>
      <c r="CD51" s="106">
        <v>20.396623952686053</v>
      </c>
      <c r="CE51" s="106">
        <v>17426.875505174961</v>
      </c>
      <c r="CF51" s="106">
        <v>6.6130952380952381</v>
      </c>
      <c r="CG51" s="106">
        <v>5650.2285714285717</v>
      </c>
      <c r="CH51" s="106">
        <v>5.1155499035256975</v>
      </c>
      <c r="CI51" s="106">
        <v>4370.7258375723559</v>
      </c>
      <c r="CJ51" s="106">
        <v>0</v>
      </c>
      <c r="CK51" s="106">
        <v>0</v>
      </c>
      <c r="CL51" s="106">
        <v>3.9384198875194447</v>
      </c>
      <c r="CM51" s="106">
        <v>3364.9859518966136</v>
      </c>
      <c r="CN51" s="106">
        <v>0</v>
      </c>
      <c r="CO51" s="106">
        <v>0</v>
      </c>
      <c r="CP51" s="106">
        <v>4.4959651035986914</v>
      </c>
      <c r="CQ51" s="106">
        <v>3841.3525845147219</v>
      </c>
      <c r="CR51" s="106">
        <v>2.9413376683697168</v>
      </c>
      <c r="CS51" s="106">
        <v>2513.0789038550861</v>
      </c>
      <c r="CT51" s="106">
        <v>7.8110008271298597</v>
      </c>
      <c r="CU51" s="106">
        <v>6673.719106699752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9.715325128887411</v>
      </c>
      <c r="M52" s="106">
        <v>5246.2755695992018</v>
      </c>
      <c r="N52" s="106">
        <v>7.7797297297297296</v>
      </c>
      <c r="O52" s="106">
        <v>4201.0540540540542</v>
      </c>
      <c r="P52" s="106">
        <v>7.925303378156773</v>
      </c>
      <c r="Q52" s="106">
        <v>4279.6638242046574</v>
      </c>
      <c r="R52" s="106">
        <v>5.5681986931986929</v>
      </c>
      <c r="S52" s="106">
        <v>3006.8272943272941</v>
      </c>
      <c r="T52" s="106">
        <v>0</v>
      </c>
      <c r="U52" s="106">
        <v>0</v>
      </c>
      <c r="V52" s="106">
        <v>8.7696184305255578</v>
      </c>
      <c r="W52" s="106">
        <v>4735.5939524838013</v>
      </c>
      <c r="X52" s="106">
        <v>0</v>
      </c>
      <c r="Y52" s="106">
        <v>0</v>
      </c>
      <c r="Z52" s="106">
        <v>8.9106025039123633</v>
      </c>
      <c r="AA52" s="106">
        <v>4811.7253521126759</v>
      </c>
      <c r="AB52" s="106">
        <v>6.4111565280115412</v>
      </c>
      <c r="AC52" s="106">
        <v>3462.0245251262322</v>
      </c>
      <c r="AD52" s="106">
        <v>15.206159110350729</v>
      </c>
      <c r="AE52" s="106">
        <v>8211.3259195893934</v>
      </c>
      <c r="AF52" s="106">
        <v>6.2303490857278554</v>
      </c>
      <c r="AG52" s="106">
        <v>3364.3885062930417</v>
      </c>
      <c r="AH52" s="106">
        <v>0</v>
      </c>
      <c r="AI52" s="106">
        <v>0</v>
      </c>
      <c r="AJ52" s="106">
        <v>43.486584481508338</v>
      </c>
      <c r="AK52" s="106">
        <v>23482.755620014501</v>
      </c>
      <c r="AL52" s="106">
        <v>0</v>
      </c>
      <c r="AM52" s="106">
        <v>0</v>
      </c>
      <c r="AN52" s="106">
        <v>36.239981360671017</v>
      </c>
      <c r="AO52" s="106">
        <v>19569.589934762349</v>
      </c>
      <c r="AP52" s="106">
        <v>0</v>
      </c>
      <c r="AQ52" s="106">
        <v>0</v>
      </c>
      <c r="AR52" s="106">
        <v>19.957596482657546</v>
      </c>
      <c r="AS52" s="106">
        <v>10777.102100635075</v>
      </c>
      <c r="AT52" s="106">
        <v>0</v>
      </c>
      <c r="AU52" s="106">
        <v>0</v>
      </c>
      <c r="AV52" s="106">
        <v>6.6375442739079107</v>
      </c>
      <c r="AW52" s="106">
        <v>3584.2739079102716</v>
      </c>
      <c r="AX52" s="106">
        <v>21.522377456784277</v>
      </c>
      <c r="AY52" s="106">
        <v>11622.083826663509</v>
      </c>
      <c r="AZ52" s="106">
        <v>4.2724693484648908</v>
      </c>
      <c r="BA52" s="106">
        <v>2307.133448171041</v>
      </c>
      <c r="BB52" s="106">
        <v>5.8279799480133683</v>
      </c>
      <c r="BC52" s="106">
        <v>3147.109171927219</v>
      </c>
      <c r="BD52" s="106">
        <v>0</v>
      </c>
      <c r="BE52" s="106">
        <v>0</v>
      </c>
      <c r="BF52" s="106">
        <v>6.9910040085764891</v>
      </c>
      <c r="BG52" s="106">
        <v>3775.1421646313042</v>
      </c>
      <c r="BH52" s="106">
        <v>7.8014950166112964</v>
      </c>
      <c r="BI52" s="106">
        <v>4212.8073089701002</v>
      </c>
      <c r="BJ52" s="106">
        <v>7.0707388441843451</v>
      </c>
      <c r="BK52" s="106">
        <v>3818.1989758595464</v>
      </c>
      <c r="BL52" s="106">
        <v>11.128338835534214</v>
      </c>
      <c r="BM52" s="106">
        <v>6009.3029711884756</v>
      </c>
      <c r="BN52" s="106">
        <v>0</v>
      </c>
      <c r="BO52" s="106">
        <v>0</v>
      </c>
      <c r="BP52" s="106">
        <v>6.3181788973139703</v>
      </c>
      <c r="BQ52" s="106">
        <v>3411.8166045495441</v>
      </c>
      <c r="BR52" s="106">
        <v>16.161576189945382</v>
      </c>
      <c r="BS52" s="106">
        <v>8727.251142570507</v>
      </c>
      <c r="BT52" s="106">
        <v>0</v>
      </c>
      <c r="BU52" s="106">
        <v>0</v>
      </c>
      <c r="BV52" s="106">
        <v>5.79631601362862</v>
      </c>
      <c r="BW52" s="106">
        <v>3130.0106473594547</v>
      </c>
      <c r="BX52" s="106">
        <v>35.173850255498778</v>
      </c>
      <c r="BY52" s="106">
        <v>18993.879137969339</v>
      </c>
      <c r="BZ52" s="106">
        <v>13.946384735550101</v>
      </c>
      <c r="CA52" s="106">
        <v>7531.0477571970541</v>
      </c>
      <c r="CB52" s="106">
        <v>0</v>
      </c>
      <c r="CC52" s="106">
        <v>0</v>
      </c>
      <c r="CD52" s="106">
        <v>20.944184327254806</v>
      </c>
      <c r="CE52" s="106">
        <v>11309.859536717595</v>
      </c>
      <c r="CF52" s="106">
        <v>7.0200549450549445</v>
      </c>
      <c r="CG52" s="106">
        <v>3790.8296703296701</v>
      </c>
      <c r="CH52" s="106">
        <v>5.0668303806349764</v>
      </c>
      <c r="CI52" s="106">
        <v>2736.0884055428874</v>
      </c>
      <c r="CJ52" s="106">
        <v>0</v>
      </c>
      <c r="CK52" s="106">
        <v>0</v>
      </c>
      <c r="CL52" s="106">
        <v>4.2375403853057314</v>
      </c>
      <c r="CM52" s="106">
        <v>2288.2718080650948</v>
      </c>
      <c r="CN52" s="106">
        <v>0</v>
      </c>
      <c r="CO52" s="106">
        <v>0</v>
      </c>
      <c r="CP52" s="106">
        <v>5.1090512540894224</v>
      </c>
      <c r="CQ52" s="106">
        <v>2758.8876772082881</v>
      </c>
      <c r="CR52" s="106">
        <v>3.1735485369252205</v>
      </c>
      <c r="CS52" s="106">
        <v>1713.7162099396191</v>
      </c>
      <c r="CT52" s="106">
        <v>7.657843948166529</v>
      </c>
      <c r="CU52" s="106">
        <v>4135.2357320099254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11.481747879594213</v>
      </c>
      <c r="M53" s="106">
        <v>4670.7750374189263</v>
      </c>
      <c r="N53" s="106">
        <v>7.7797297297297296</v>
      </c>
      <c r="O53" s="106">
        <v>3164.794054054054</v>
      </c>
      <c r="P53" s="106">
        <v>8.0619465398491315</v>
      </c>
      <c r="Q53" s="106">
        <v>3279.5998524106267</v>
      </c>
      <c r="R53" s="106">
        <v>5.0732476982476982</v>
      </c>
      <c r="S53" s="106">
        <v>2063.7971636471639</v>
      </c>
      <c r="T53" s="106">
        <v>0</v>
      </c>
      <c r="U53" s="106">
        <v>0</v>
      </c>
      <c r="V53" s="106">
        <v>9.6690664746820261</v>
      </c>
      <c r="W53" s="106">
        <v>3933.3762419006484</v>
      </c>
      <c r="X53" s="106">
        <v>0</v>
      </c>
      <c r="Y53" s="106">
        <v>0</v>
      </c>
      <c r="Z53" s="106">
        <v>9.9972613458528965</v>
      </c>
      <c r="AA53" s="106">
        <v>4066.8859154929582</v>
      </c>
      <c r="AB53" s="106">
        <v>6.6115051695119016</v>
      </c>
      <c r="AC53" s="106">
        <v>2689.5603029574418</v>
      </c>
      <c r="AD53" s="106">
        <v>15.206159110350729</v>
      </c>
      <c r="AE53" s="106">
        <v>6185.8655260906771</v>
      </c>
      <c r="AF53" s="106">
        <v>6.4528615530752793</v>
      </c>
      <c r="AG53" s="106">
        <v>2625.0240797910237</v>
      </c>
      <c r="AH53" s="106">
        <v>0</v>
      </c>
      <c r="AI53" s="106">
        <v>0</v>
      </c>
      <c r="AJ53" s="106">
        <v>43.826323422770123</v>
      </c>
      <c r="AK53" s="106">
        <v>17828.548368382886</v>
      </c>
      <c r="AL53" s="106">
        <v>0</v>
      </c>
      <c r="AM53" s="106">
        <v>0</v>
      </c>
      <c r="AN53" s="106">
        <v>36.676607642124885</v>
      </c>
      <c r="AO53" s="106">
        <v>14920.043988816404</v>
      </c>
      <c r="AP53" s="106">
        <v>0</v>
      </c>
      <c r="AQ53" s="106">
        <v>0</v>
      </c>
      <c r="AR53" s="106">
        <v>23.619540791402052</v>
      </c>
      <c r="AS53" s="106">
        <v>9608.4291939423547</v>
      </c>
      <c r="AT53" s="106">
        <v>0</v>
      </c>
      <c r="AU53" s="106">
        <v>0</v>
      </c>
      <c r="AV53" s="106">
        <v>7.0984848484848486</v>
      </c>
      <c r="AW53" s="106">
        <v>2887.6636363636367</v>
      </c>
      <c r="AX53" s="106">
        <v>21.744257636751122</v>
      </c>
      <c r="AY53" s="106">
        <v>8845.5640066303567</v>
      </c>
      <c r="AZ53" s="106">
        <v>4.1775255851656699</v>
      </c>
      <c r="BA53" s="106">
        <v>1699.4174080453945</v>
      </c>
      <c r="BB53" s="106">
        <v>6.2629038247307838</v>
      </c>
      <c r="BC53" s="106">
        <v>2547.7492759004831</v>
      </c>
      <c r="BD53" s="106">
        <v>0</v>
      </c>
      <c r="BE53" s="106">
        <v>0</v>
      </c>
      <c r="BF53" s="106">
        <v>7.1463596532115226</v>
      </c>
      <c r="BG53" s="106">
        <v>2907.1391069264473</v>
      </c>
      <c r="BH53" s="106">
        <v>7.9273255813953494</v>
      </c>
      <c r="BI53" s="106">
        <v>3224.8360465116284</v>
      </c>
      <c r="BJ53" s="106">
        <v>6.7050109729334313</v>
      </c>
      <c r="BK53" s="106">
        <v>2727.5984637893198</v>
      </c>
      <c r="BL53" s="106">
        <v>10.003001200480192</v>
      </c>
      <c r="BM53" s="106">
        <v>4069.2208883553421</v>
      </c>
      <c r="BN53" s="106">
        <v>0</v>
      </c>
      <c r="BO53" s="106">
        <v>0</v>
      </c>
      <c r="BP53" s="106">
        <v>6.9607055648374239</v>
      </c>
      <c r="BQ53" s="106">
        <v>2831.6150237758643</v>
      </c>
      <c r="BR53" s="106">
        <v>15.418515215695017</v>
      </c>
      <c r="BS53" s="106">
        <v>6272.2519897447328</v>
      </c>
      <c r="BT53" s="106">
        <v>0</v>
      </c>
      <c r="BU53" s="106">
        <v>0</v>
      </c>
      <c r="BV53" s="106">
        <v>6.0329003407155026</v>
      </c>
      <c r="BW53" s="106">
        <v>2454.1838586030667</v>
      </c>
      <c r="BX53" s="106">
        <v>36.654854476782937</v>
      </c>
      <c r="BY53" s="106">
        <v>14911.1948011553</v>
      </c>
      <c r="BZ53" s="106">
        <v>16.735661682660119</v>
      </c>
      <c r="CA53" s="106">
        <v>6808.0671725061366</v>
      </c>
      <c r="CB53" s="106">
        <v>0</v>
      </c>
      <c r="CC53" s="106">
        <v>0</v>
      </c>
      <c r="CD53" s="106">
        <v>22.86064563824544</v>
      </c>
      <c r="CE53" s="106">
        <v>9299.7106456382462</v>
      </c>
      <c r="CF53" s="106">
        <v>6.7148351648351658</v>
      </c>
      <c r="CG53" s="106">
        <v>2731.5949450549456</v>
      </c>
      <c r="CH53" s="106">
        <v>5.6027451324329069</v>
      </c>
      <c r="CI53" s="106">
        <v>2279.1967198737066</v>
      </c>
      <c r="CJ53" s="106">
        <v>0</v>
      </c>
      <c r="CK53" s="106">
        <v>0</v>
      </c>
      <c r="CL53" s="106">
        <v>4.1876869690080172</v>
      </c>
      <c r="CM53" s="106">
        <v>1703.5510589924615</v>
      </c>
      <c r="CN53" s="106">
        <v>0</v>
      </c>
      <c r="CO53" s="106">
        <v>0</v>
      </c>
      <c r="CP53" s="106">
        <v>5.2452926208651398</v>
      </c>
      <c r="CQ53" s="106">
        <v>2133.7850381679391</v>
      </c>
      <c r="CR53" s="106">
        <v>3.4831630283325592</v>
      </c>
      <c r="CS53" s="106">
        <v>1416.950719925685</v>
      </c>
      <c r="CT53" s="106">
        <v>8.5767852219465119</v>
      </c>
      <c r="CU53" s="106">
        <v>3489.0362282878414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10.598536504240812</v>
      </c>
      <c r="M54" s="106">
        <v>3548.390021619824</v>
      </c>
      <c r="N54" s="106">
        <v>8.1891891891891895</v>
      </c>
      <c r="O54" s="106">
        <v>2741.7405405405407</v>
      </c>
      <c r="P54" s="106">
        <v>7.652017054772057</v>
      </c>
      <c r="Q54" s="106">
        <v>2561.8953099376849</v>
      </c>
      <c r="R54" s="106">
        <v>5.1969854469854475</v>
      </c>
      <c r="S54" s="106">
        <v>1739.9507276507279</v>
      </c>
      <c r="T54" s="106">
        <v>0</v>
      </c>
      <c r="U54" s="106">
        <v>0</v>
      </c>
      <c r="V54" s="106">
        <v>9.4442044636429081</v>
      </c>
      <c r="W54" s="106">
        <v>3161.9196544276456</v>
      </c>
      <c r="X54" s="106">
        <v>0</v>
      </c>
      <c r="Y54" s="106">
        <v>0</v>
      </c>
      <c r="Z54" s="106">
        <v>10.431924882629108</v>
      </c>
      <c r="AA54" s="106">
        <v>3492.6084507042256</v>
      </c>
      <c r="AB54" s="106">
        <v>6.6115051695119016</v>
      </c>
      <c r="AC54" s="106">
        <v>2213.5319307525847</v>
      </c>
      <c r="AD54" s="106">
        <v>16.156544054747648</v>
      </c>
      <c r="AE54" s="106">
        <v>5409.2109495295126</v>
      </c>
      <c r="AF54" s="106">
        <v>7.5654238898123953</v>
      </c>
      <c r="AG54" s="106">
        <v>2532.90391830919</v>
      </c>
      <c r="AH54" s="106">
        <v>0</v>
      </c>
      <c r="AI54" s="106">
        <v>0</v>
      </c>
      <c r="AJ54" s="106">
        <v>44.505801305293694</v>
      </c>
      <c r="AK54" s="106">
        <v>14900.54227701233</v>
      </c>
      <c r="AL54" s="106">
        <v>0</v>
      </c>
      <c r="AM54" s="106">
        <v>0</v>
      </c>
      <c r="AN54" s="106">
        <v>38.42311276794036</v>
      </c>
      <c r="AO54" s="106">
        <v>12864.058154706432</v>
      </c>
      <c r="AP54" s="106">
        <v>0</v>
      </c>
      <c r="AQ54" s="106">
        <v>0</v>
      </c>
      <c r="AR54" s="106">
        <v>22.520957498778703</v>
      </c>
      <c r="AS54" s="106">
        <v>7540.0165705911104</v>
      </c>
      <c r="AT54" s="106">
        <v>0</v>
      </c>
      <c r="AU54" s="106">
        <v>0</v>
      </c>
      <c r="AV54" s="106">
        <v>6.7297323888232974</v>
      </c>
      <c r="AW54" s="106">
        <v>2253.11440377804</v>
      </c>
      <c r="AX54" s="106">
        <v>21.966137816717975</v>
      </c>
      <c r="AY54" s="106">
        <v>7354.2629410371783</v>
      </c>
      <c r="AZ54" s="106">
        <v>4.2724693484648908</v>
      </c>
      <c r="BA54" s="106">
        <v>1430.4227378660455</v>
      </c>
      <c r="BB54" s="106">
        <v>6.2629038247307838</v>
      </c>
      <c r="BC54" s="106">
        <v>2096.8202005198664</v>
      </c>
      <c r="BD54" s="106">
        <v>0</v>
      </c>
      <c r="BE54" s="106">
        <v>0</v>
      </c>
      <c r="BF54" s="106">
        <v>7.9231378763866882</v>
      </c>
      <c r="BG54" s="106">
        <v>2652.6665610142632</v>
      </c>
      <c r="BH54" s="106">
        <v>7.2981727574750828</v>
      </c>
      <c r="BI54" s="106">
        <v>2443.428239202658</v>
      </c>
      <c r="BJ54" s="106">
        <v>8.0460131675201172</v>
      </c>
      <c r="BK54" s="106">
        <v>2693.8052084857354</v>
      </c>
      <c r="BL54" s="106">
        <v>10.753226290516206</v>
      </c>
      <c r="BM54" s="106">
        <v>3600.1801620648262</v>
      </c>
      <c r="BN54" s="106">
        <v>0</v>
      </c>
      <c r="BO54" s="106">
        <v>0</v>
      </c>
      <c r="BP54" s="106">
        <v>7.1748811206785756</v>
      </c>
      <c r="BQ54" s="106">
        <v>2402.1501992031872</v>
      </c>
      <c r="BR54" s="106">
        <v>15.418515215695017</v>
      </c>
      <c r="BS54" s="106">
        <v>5162.1188942146919</v>
      </c>
      <c r="BT54" s="106">
        <v>0</v>
      </c>
      <c r="BU54" s="106">
        <v>0</v>
      </c>
      <c r="BV54" s="106">
        <v>6.0329003407155026</v>
      </c>
      <c r="BW54" s="106">
        <v>2019.8150340715504</v>
      </c>
      <c r="BX54" s="106">
        <v>34.06309708953566</v>
      </c>
      <c r="BY54" s="106">
        <v>11404.324905576539</v>
      </c>
      <c r="BZ54" s="106">
        <v>15.062095514394109</v>
      </c>
      <c r="CA54" s="106">
        <v>5042.7895782191481</v>
      </c>
      <c r="CB54" s="106">
        <v>0</v>
      </c>
      <c r="CC54" s="106">
        <v>0</v>
      </c>
      <c r="CD54" s="106">
        <v>22.997535731887631</v>
      </c>
      <c r="CE54" s="106">
        <v>7699.5749630359787</v>
      </c>
      <c r="CF54" s="106">
        <v>8.1391941391941387</v>
      </c>
      <c r="CG54" s="106">
        <v>2725.0021978021978</v>
      </c>
      <c r="CH54" s="106">
        <v>5.6027451324329069</v>
      </c>
      <c r="CI54" s="106">
        <v>1875.7990703385374</v>
      </c>
      <c r="CJ54" s="106">
        <v>0</v>
      </c>
      <c r="CK54" s="106">
        <v>0</v>
      </c>
      <c r="CL54" s="106">
        <v>4.2873938016034465</v>
      </c>
      <c r="CM54" s="106">
        <v>1435.4194447768339</v>
      </c>
      <c r="CN54" s="106">
        <v>0</v>
      </c>
      <c r="CO54" s="106">
        <v>0</v>
      </c>
      <c r="CP54" s="106">
        <v>4.564085786986551</v>
      </c>
      <c r="CQ54" s="106">
        <v>1528.0559214830973</v>
      </c>
      <c r="CR54" s="106">
        <v>3.4057594054807243</v>
      </c>
      <c r="CS54" s="106">
        <v>1140.2482489549466</v>
      </c>
      <c r="CT54" s="106">
        <v>8.4236283429831804</v>
      </c>
      <c r="CU54" s="106">
        <v>2820.2307692307691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11.481747879594213</v>
      </c>
      <c r="M55" s="106">
        <v>7619.2878928987202</v>
      </c>
      <c r="N55" s="106">
        <v>7.916216216216216</v>
      </c>
      <c r="O55" s="106">
        <v>5253.2010810810807</v>
      </c>
      <c r="P55" s="106">
        <v>6.8321580846179071</v>
      </c>
      <c r="Q55" s="106">
        <v>4533.8201049524432</v>
      </c>
      <c r="R55" s="106">
        <v>5.0732476982476982</v>
      </c>
      <c r="S55" s="106">
        <v>3366.6071725571728</v>
      </c>
      <c r="T55" s="106">
        <v>0</v>
      </c>
      <c r="U55" s="106">
        <v>0</v>
      </c>
      <c r="V55" s="106">
        <v>8.0950323974082075</v>
      </c>
      <c r="W55" s="106">
        <v>5371.8634989200864</v>
      </c>
      <c r="X55" s="106">
        <v>0</v>
      </c>
      <c r="Y55" s="106">
        <v>0</v>
      </c>
      <c r="Z55" s="106">
        <v>10.431924882629108</v>
      </c>
      <c r="AA55" s="106">
        <v>6922.6253521126764</v>
      </c>
      <c r="AB55" s="106">
        <v>7.0122024525126223</v>
      </c>
      <c r="AC55" s="106">
        <v>4653.2975474873765</v>
      </c>
      <c r="AD55" s="106">
        <v>15.681351582549187</v>
      </c>
      <c r="AE55" s="106">
        <v>10406.144910179641</v>
      </c>
      <c r="AF55" s="106">
        <v>7.1203989551175493</v>
      </c>
      <c r="AG55" s="106">
        <v>4725.0967466160055</v>
      </c>
      <c r="AH55" s="106">
        <v>0</v>
      </c>
      <c r="AI55" s="106">
        <v>0</v>
      </c>
      <c r="AJ55" s="106">
        <v>39.069978245105148</v>
      </c>
      <c r="AK55" s="106">
        <v>25926.837563451776</v>
      </c>
      <c r="AL55" s="106">
        <v>0</v>
      </c>
      <c r="AM55" s="106">
        <v>0</v>
      </c>
      <c r="AN55" s="106">
        <v>29.690587138863002</v>
      </c>
      <c r="AO55" s="106">
        <v>19702.673625349489</v>
      </c>
      <c r="AP55" s="106">
        <v>0</v>
      </c>
      <c r="AQ55" s="106">
        <v>0</v>
      </c>
      <c r="AR55" s="106">
        <v>19.225207620908645</v>
      </c>
      <c r="AS55" s="106">
        <v>12757.847777234978</v>
      </c>
      <c r="AT55" s="106">
        <v>0</v>
      </c>
      <c r="AU55" s="106">
        <v>0</v>
      </c>
      <c r="AV55" s="106">
        <v>6.9141086186540734</v>
      </c>
      <c r="AW55" s="106">
        <v>4588.2024793388437</v>
      </c>
      <c r="AX55" s="106">
        <v>21.966137816717975</v>
      </c>
      <c r="AY55" s="106">
        <v>14576.729055174048</v>
      </c>
      <c r="AZ55" s="106">
        <v>4.1775255851656699</v>
      </c>
      <c r="BA55" s="106">
        <v>2772.2059783159384</v>
      </c>
      <c r="BB55" s="106">
        <v>5.9149647233568512</v>
      </c>
      <c r="BC55" s="106">
        <v>3925.1705904196065</v>
      </c>
      <c r="BD55" s="106">
        <v>0</v>
      </c>
      <c r="BE55" s="106">
        <v>0</v>
      </c>
      <c r="BF55" s="106">
        <v>7.1463596532115226</v>
      </c>
      <c r="BG55" s="106">
        <v>4742.324265871167</v>
      </c>
      <c r="BH55" s="106">
        <v>7.4240033222591357</v>
      </c>
      <c r="BI55" s="106">
        <v>4926.5686046511628</v>
      </c>
      <c r="BJ55" s="106">
        <v>7.6802852962692016</v>
      </c>
      <c r="BK55" s="106">
        <v>5096.6373226042424</v>
      </c>
      <c r="BL55" s="106">
        <v>11.003301320528211</v>
      </c>
      <c r="BM55" s="106">
        <v>7301.790756302521</v>
      </c>
      <c r="BN55" s="106">
        <v>0</v>
      </c>
      <c r="BO55" s="106">
        <v>0</v>
      </c>
      <c r="BP55" s="106">
        <v>6.5323544531551212</v>
      </c>
      <c r="BQ55" s="106">
        <v>4334.870415113739</v>
      </c>
      <c r="BR55" s="106">
        <v>17.647698138446106</v>
      </c>
      <c r="BS55" s="106">
        <v>11711.012484672836</v>
      </c>
      <c r="BT55" s="106">
        <v>0</v>
      </c>
      <c r="BU55" s="106">
        <v>0</v>
      </c>
      <c r="BV55" s="106">
        <v>6.2694846678023852</v>
      </c>
      <c r="BW55" s="106">
        <v>4160.4300255536627</v>
      </c>
      <c r="BX55" s="106">
        <v>32.5820928682515</v>
      </c>
      <c r="BY55" s="106">
        <v>21621.476827371695</v>
      </c>
      <c r="BZ55" s="106">
        <v>15.43399910734211</v>
      </c>
      <c r="CA55" s="106">
        <v>10242.001807632225</v>
      </c>
      <c r="CB55" s="106">
        <v>0</v>
      </c>
      <c r="CC55" s="106">
        <v>0</v>
      </c>
      <c r="CD55" s="106">
        <v>20.396623952686053</v>
      </c>
      <c r="CE55" s="106">
        <v>13535.199655002465</v>
      </c>
      <c r="CF55" s="106">
        <v>6.8165750915750918</v>
      </c>
      <c r="CG55" s="106">
        <v>4523.4792307692314</v>
      </c>
      <c r="CH55" s="106">
        <v>5.1155499035256975</v>
      </c>
      <c r="CI55" s="106">
        <v>3394.6789159796531</v>
      </c>
      <c r="CJ55" s="106">
        <v>0</v>
      </c>
      <c r="CK55" s="106">
        <v>0</v>
      </c>
      <c r="CL55" s="106">
        <v>3.639299389733158</v>
      </c>
      <c r="CM55" s="106">
        <v>2415.0390750269239</v>
      </c>
      <c r="CN55" s="106">
        <v>0</v>
      </c>
      <c r="CO55" s="106">
        <v>0</v>
      </c>
      <c r="CP55" s="106">
        <v>4.4278444202108327</v>
      </c>
      <c r="CQ55" s="106">
        <v>2938.3175572519085</v>
      </c>
      <c r="CR55" s="106">
        <v>3.0961449140733861</v>
      </c>
      <c r="CS55" s="106">
        <v>2054.6017649790992</v>
      </c>
      <c r="CT55" s="106">
        <v>7.9641577060931894</v>
      </c>
      <c r="CU55" s="106">
        <v>5285.0150537634408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6.41859243697479</v>
      </c>
      <c r="M56" s="106">
        <v>7386.5161764705881</v>
      </c>
      <c r="N56" s="106">
        <v>16.368160843770603</v>
      </c>
      <c r="O56" s="106">
        <v>18836.47949901121</v>
      </c>
      <c r="P56" s="106">
        <v>9.154581410678972</v>
      </c>
      <c r="Q56" s="106">
        <v>10535.092287409361</v>
      </c>
      <c r="R56" s="106">
        <v>19.686675824175822</v>
      </c>
      <c r="S56" s="106">
        <v>22655.426538461536</v>
      </c>
      <c r="T56" s="106">
        <v>0</v>
      </c>
      <c r="U56" s="106">
        <v>0</v>
      </c>
      <c r="V56" s="106">
        <v>8.816518557239938</v>
      </c>
      <c r="W56" s="106">
        <v>10146.04955567172</v>
      </c>
      <c r="X56" s="106">
        <v>4.5460331893612187</v>
      </c>
      <c r="Y56" s="106">
        <v>5231.5749943168903</v>
      </c>
      <c r="Z56" s="106">
        <v>6.8715489422732166</v>
      </c>
      <c r="AA56" s="106">
        <v>7907.778522768017</v>
      </c>
      <c r="AB56" s="106">
        <v>13.776400000000001</v>
      </c>
      <c r="AC56" s="106">
        <v>15853.88112</v>
      </c>
      <c r="AD56" s="106">
        <v>0</v>
      </c>
      <c r="AE56" s="106">
        <v>0</v>
      </c>
      <c r="AF56" s="106">
        <v>30</v>
      </c>
      <c r="AG56" s="106">
        <v>34524</v>
      </c>
      <c r="AH56" s="106">
        <v>9.9103309481216453</v>
      </c>
      <c r="AI56" s="106">
        <v>11404.808855098388</v>
      </c>
      <c r="AJ56" s="106">
        <v>0</v>
      </c>
      <c r="AK56" s="106">
        <v>0</v>
      </c>
      <c r="AL56" s="106">
        <v>30.348178137651821</v>
      </c>
      <c r="AM56" s="106">
        <v>34924.683400809714</v>
      </c>
      <c r="AN56" s="106">
        <v>20.023711943793909</v>
      </c>
      <c r="AO56" s="106">
        <v>23043.287704918032</v>
      </c>
      <c r="AP56" s="106">
        <v>17.23944026949987</v>
      </c>
      <c r="AQ56" s="106">
        <v>19839.147862140449</v>
      </c>
      <c r="AR56" s="106">
        <v>0</v>
      </c>
      <c r="AS56" s="106">
        <v>0</v>
      </c>
      <c r="AT56" s="106">
        <v>22.603070175438596</v>
      </c>
      <c r="AU56" s="106">
        <v>26011.613157894735</v>
      </c>
      <c r="AV56" s="106">
        <v>7.583432516067603</v>
      </c>
      <c r="AW56" s="106">
        <v>8727.0141394905968</v>
      </c>
      <c r="AX56" s="106">
        <v>9.8915547024952009</v>
      </c>
      <c r="AY56" s="106">
        <v>11383.201151631476</v>
      </c>
      <c r="AZ56" s="106">
        <v>40</v>
      </c>
      <c r="BA56" s="106">
        <v>46032</v>
      </c>
      <c r="BB56" s="106">
        <v>34.070331847449232</v>
      </c>
      <c r="BC56" s="106">
        <v>39208.137890044578</v>
      </c>
      <c r="BD56" s="106">
        <v>17.91165090283749</v>
      </c>
      <c r="BE56" s="106">
        <v>20612.727858985381</v>
      </c>
      <c r="BF56" s="106">
        <v>17.340848452508006</v>
      </c>
      <c r="BG56" s="106">
        <v>19955.848399146213</v>
      </c>
      <c r="BH56" s="106">
        <v>8.3603678929765888</v>
      </c>
      <c r="BI56" s="106">
        <v>9621.1113712374572</v>
      </c>
      <c r="BJ56" s="106">
        <v>0</v>
      </c>
      <c r="BK56" s="106">
        <v>0</v>
      </c>
      <c r="BL56" s="106">
        <v>15.61274383983573</v>
      </c>
      <c r="BM56" s="106">
        <v>17967.145610882959</v>
      </c>
      <c r="BN56" s="106">
        <v>13.005753968253968</v>
      </c>
      <c r="BO56" s="106">
        <v>14967.021666666666</v>
      </c>
      <c r="BP56" s="106">
        <v>29.544320913461537</v>
      </c>
      <c r="BQ56" s="106">
        <v>33999.604507211538</v>
      </c>
      <c r="BR56" s="106">
        <v>26.048639205590291</v>
      </c>
      <c r="BS56" s="106">
        <v>29976.773997793305</v>
      </c>
      <c r="BT56" s="106">
        <v>0</v>
      </c>
      <c r="BU56" s="106">
        <v>0</v>
      </c>
      <c r="BV56" s="106">
        <v>17.223720695739853</v>
      </c>
      <c r="BW56" s="106">
        <v>19821.057776657424</v>
      </c>
      <c r="BX56" s="106">
        <v>17.715574783683561</v>
      </c>
      <c r="BY56" s="106">
        <v>20387.083461063041</v>
      </c>
      <c r="BZ56" s="106">
        <v>0</v>
      </c>
      <c r="CA56" s="106">
        <v>0</v>
      </c>
      <c r="CB56" s="106">
        <v>31.007719714964367</v>
      </c>
      <c r="CC56" s="106">
        <v>35683.683847980989</v>
      </c>
      <c r="CD56" s="106">
        <v>22.642663043478262</v>
      </c>
      <c r="CE56" s="106">
        <v>26057.176630434784</v>
      </c>
      <c r="CF56" s="106">
        <v>26.746296296296297</v>
      </c>
      <c r="CG56" s="106">
        <v>30779.637777777778</v>
      </c>
      <c r="CH56" s="106">
        <v>34.34473067915691</v>
      </c>
      <c r="CI56" s="106">
        <v>39523.916065573772</v>
      </c>
      <c r="CJ56" s="106">
        <v>27.116243794815226</v>
      </c>
      <c r="CK56" s="106">
        <v>31205.373359073361</v>
      </c>
      <c r="CL56" s="106">
        <v>0</v>
      </c>
      <c r="CM56" s="106">
        <v>0</v>
      </c>
      <c r="CN56" s="106">
        <v>25.062881276396059</v>
      </c>
      <c r="CO56" s="106">
        <v>28842.363772876583</v>
      </c>
      <c r="CP56" s="106">
        <v>18.581184668989547</v>
      </c>
      <c r="CQ56" s="106">
        <v>21383.227317073168</v>
      </c>
      <c r="CR56" s="106">
        <v>9.1930738584125038</v>
      </c>
      <c r="CS56" s="106">
        <v>10579.389396261109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10.009728920671877</v>
      </c>
      <c r="M57" s="106">
        <v>14125.729452852154</v>
      </c>
      <c r="N57" s="106">
        <v>6.4148648648648647</v>
      </c>
      <c r="O57" s="106">
        <v>9052.6572972972972</v>
      </c>
      <c r="P57" s="106">
        <v>6.6955149229255486</v>
      </c>
      <c r="Q57" s="106">
        <v>9448.7106592325345</v>
      </c>
      <c r="R57" s="106">
        <v>4.9495099495099497</v>
      </c>
      <c r="S57" s="106">
        <v>6984.7484407484417</v>
      </c>
      <c r="T57" s="106">
        <v>0</v>
      </c>
      <c r="U57" s="106">
        <v>0</v>
      </c>
      <c r="V57" s="106">
        <v>8.0950323974082075</v>
      </c>
      <c r="W57" s="106">
        <v>11423.709719222463</v>
      </c>
      <c r="X57" s="106">
        <v>0</v>
      </c>
      <c r="Y57" s="106">
        <v>0</v>
      </c>
      <c r="Z57" s="106">
        <v>8.6932707355242567</v>
      </c>
      <c r="AA57" s="106">
        <v>12267.943661971831</v>
      </c>
      <c r="AB57" s="106">
        <v>6.0104592450108196</v>
      </c>
      <c r="AC57" s="106">
        <v>8481.9600865592693</v>
      </c>
      <c r="AD57" s="106">
        <v>13.780581693755346</v>
      </c>
      <c r="AE57" s="106">
        <v>19447.156886227545</v>
      </c>
      <c r="AF57" s="106">
        <v>6.2303490857278554</v>
      </c>
      <c r="AG57" s="106">
        <v>8792.2686297791497</v>
      </c>
      <c r="AH57" s="106">
        <v>0</v>
      </c>
      <c r="AI57" s="106">
        <v>0</v>
      </c>
      <c r="AJ57" s="106">
        <v>33.973894126178386</v>
      </c>
      <c r="AK57" s="106">
        <v>47943.959390862939</v>
      </c>
      <c r="AL57" s="106">
        <v>0</v>
      </c>
      <c r="AM57" s="106">
        <v>0</v>
      </c>
      <c r="AN57" s="106">
        <v>27.070829450139797</v>
      </c>
      <c r="AO57" s="106">
        <v>38202.354520037283</v>
      </c>
      <c r="AP57" s="106">
        <v>0</v>
      </c>
      <c r="AQ57" s="106">
        <v>0</v>
      </c>
      <c r="AR57" s="106">
        <v>17.211138251099168</v>
      </c>
      <c r="AS57" s="106">
        <v>24288.358299951145</v>
      </c>
      <c r="AT57" s="106">
        <v>0</v>
      </c>
      <c r="AU57" s="106">
        <v>0</v>
      </c>
      <c r="AV57" s="106">
        <v>6.0844155844155852</v>
      </c>
      <c r="AW57" s="106">
        <v>8586.3272727272742</v>
      </c>
      <c r="AX57" s="106">
        <v>20.191096376983186</v>
      </c>
      <c r="AY57" s="106">
        <v>28493.675207198674</v>
      </c>
      <c r="AZ57" s="106">
        <v>3.797750531968791</v>
      </c>
      <c r="BA57" s="106">
        <v>5359.385550714358</v>
      </c>
      <c r="BB57" s="106">
        <v>4.7841626438915714</v>
      </c>
      <c r="BC57" s="106">
        <v>6751.4103230597857</v>
      </c>
      <c r="BD57" s="106">
        <v>0</v>
      </c>
      <c r="BE57" s="106">
        <v>0</v>
      </c>
      <c r="BF57" s="106">
        <v>6.0588701407662908</v>
      </c>
      <c r="BG57" s="106">
        <v>8550.2775426493899</v>
      </c>
      <c r="BH57" s="106">
        <v>5.7882059800664445</v>
      </c>
      <c r="BI57" s="106">
        <v>8168.316279069767</v>
      </c>
      <c r="BJ57" s="106">
        <v>6.0954645208485738</v>
      </c>
      <c r="BK57" s="106">
        <v>8601.9195318215079</v>
      </c>
      <c r="BL57" s="106">
        <v>9.002701080432173</v>
      </c>
      <c r="BM57" s="106">
        <v>12704.611764705884</v>
      </c>
      <c r="BN57" s="106">
        <v>0</v>
      </c>
      <c r="BO57" s="106">
        <v>0</v>
      </c>
      <c r="BP57" s="106">
        <v>5.8898277856316668</v>
      </c>
      <c r="BQ57" s="106">
        <v>8311.7249710834076</v>
      </c>
      <c r="BR57" s="106">
        <v>13.375097536506521</v>
      </c>
      <c r="BS57" s="106">
        <v>18874.937643518002</v>
      </c>
      <c r="BT57" s="106">
        <v>0</v>
      </c>
      <c r="BU57" s="106">
        <v>0</v>
      </c>
      <c r="BV57" s="106">
        <v>4.9682708688245318</v>
      </c>
      <c r="BW57" s="106">
        <v>7011.2238500851799</v>
      </c>
      <c r="BX57" s="106">
        <v>28.50933125972006</v>
      </c>
      <c r="BY57" s="106">
        <v>40232.368273716951</v>
      </c>
      <c r="BZ57" s="106">
        <v>12.086866770810087</v>
      </c>
      <c r="CA57" s="106">
        <v>17056.986386967194</v>
      </c>
      <c r="CB57" s="106">
        <v>0</v>
      </c>
      <c r="CC57" s="106">
        <v>0</v>
      </c>
      <c r="CD57" s="106">
        <v>17.111261705273535</v>
      </c>
      <c r="CE57" s="106">
        <v>24147.412518482011</v>
      </c>
      <c r="CF57" s="106">
        <v>6.2061355311355317</v>
      </c>
      <c r="CG57" s="106">
        <v>8758.0984615384623</v>
      </c>
      <c r="CH57" s="106">
        <v>4.2385984914927199</v>
      </c>
      <c r="CI57" s="106">
        <v>5981.5101911945267</v>
      </c>
      <c r="CJ57" s="106">
        <v>0</v>
      </c>
      <c r="CK57" s="106">
        <v>0</v>
      </c>
      <c r="CL57" s="106">
        <v>3.5395925571377287</v>
      </c>
      <c r="CM57" s="106">
        <v>4995.073016632763</v>
      </c>
      <c r="CN57" s="106">
        <v>0</v>
      </c>
      <c r="CO57" s="106">
        <v>0</v>
      </c>
      <c r="CP57" s="106">
        <v>3.8828789531079608</v>
      </c>
      <c r="CQ57" s="106">
        <v>5479.5187786259548</v>
      </c>
      <c r="CR57" s="106">
        <v>2.709126799814213</v>
      </c>
      <c r="CS57" s="106">
        <v>3823.1197398978175</v>
      </c>
      <c r="CT57" s="106">
        <v>7.0452164323132056</v>
      </c>
      <c r="CU57" s="106">
        <v>9942.2094292803959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6.2240896358543418</v>
      </c>
      <c r="M58" s="106">
        <v>7326.9983193277312</v>
      </c>
      <c r="N58" s="106">
        <v>16.985827290705341</v>
      </c>
      <c r="O58" s="106">
        <v>19995.715886618327</v>
      </c>
      <c r="P58" s="106">
        <v>9.8869479235332882</v>
      </c>
      <c r="Q58" s="106">
        <v>11638.915095583387</v>
      </c>
      <c r="R58" s="106">
        <v>18.771016483516483</v>
      </c>
      <c r="S58" s="106">
        <v>22097.240604395603</v>
      </c>
      <c r="T58" s="106">
        <v>0</v>
      </c>
      <c r="U58" s="106">
        <v>0</v>
      </c>
      <c r="V58" s="106">
        <v>9.3063251437532664</v>
      </c>
      <c r="W58" s="106">
        <v>10955.405959226346</v>
      </c>
      <c r="X58" s="106">
        <v>3.9777790406910656</v>
      </c>
      <c r="Y58" s="106">
        <v>4682.6414867015228</v>
      </c>
      <c r="Z58" s="106">
        <v>6.5727859447830763</v>
      </c>
      <c r="AA58" s="106">
        <v>7737.483614198638</v>
      </c>
      <c r="AB58" s="106">
        <v>14.6652</v>
      </c>
      <c r="AC58" s="106">
        <v>17263.873439999999</v>
      </c>
      <c r="AD58" s="106">
        <v>0</v>
      </c>
      <c r="AE58" s="106">
        <v>0</v>
      </c>
      <c r="AF58" s="106">
        <v>30</v>
      </c>
      <c r="AG58" s="106">
        <v>35316</v>
      </c>
      <c r="AH58" s="106">
        <v>11.261739713774597</v>
      </c>
      <c r="AI58" s="106">
        <v>13257.319991055456</v>
      </c>
      <c r="AJ58" s="106">
        <v>0</v>
      </c>
      <c r="AK58" s="106">
        <v>0</v>
      </c>
      <c r="AL58" s="106">
        <v>25.387418249766426</v>
      </c>
      <c r="AM58" s="106">
        <v>29886.068763625037</v>
      </c>
      <c r="AN58" s="106">
        <v>20.298009367681498</v>
      </c>
      <c r="AO58" s="106">
        <v>23894.81662763466</v>
      </c>
      <c r="AP58" s="106">
        <v>16.025395180098471</v>
      </c>
      <c r="AQ58" s="106">
        <v>18865.09520601192</v>
      </c>
      <c r="AR58" s="106">
        <v>0</v>
      </c>
      <c r="AS58" s="106">
        <v>0</v>
      </c>
      <c r="AT58" s="106">
        <v>20.2546992481203</v>
      </c>
      <c r="AU58" s="106">
        <v>23843.831954887217</v>
      </c>
      <c r="AV58" s="106">
        <v>7.3603903832420858</v>
      </c>
      <c r="AW58" s="106">
        <v>8664.651559152584</v>
      </c>
      <c r="AX58" s="106">
        <v>9.8915547024952009</v>
      </c>
      <c r="AY58" s="106">
        <v>11644.338195777351</v>
      </c>
      <c r="AZ58" s="106">
        <v>42</v>
      </c>
      <c r="BA58" s="106">
        <v>49442.400000000001</v>
      </c>
      <c r="BB58" s="106">
        <v>34.657751362060424</v>
      </c>
      <c r="BC58" s="106">
        <v>40799.10490341753</v>
      </c>
      <c r="BD58" s="106">
        <v>17.91165090283749</v>
      </c>
      <c r="BE58" s="106">
        <v>21085.595442820293</v>
      </c>
      <c r="BF58" s="106">
        <v>18.2301227321238</v>
      </c>
      <c r="BG58" s="106">
        <v>21460.500480256138</v>
      </c>
      <c r="BH58" s="106">
        <v>7.7046527641156795</v>
      </c>
      <c r="BI58" s="106">
        <v>9069.9172339169781</v>
      </c>
      <c r="BJ58" s="106">
        <v>0</v>
      </c>
      <c r="BK58" s="106">
        <v>0</v>
      </c>
      <c r="BL58" s="106">
        <v>14.757251026694044</v>
      </c>
      <c r="BM58" s="106">
        <v>17372.235908624229</v>
      </c>
      <c r="BN58" s="106">
        <v>14.107936507936509</v>
      </c>
      <c r="BO58" s="106">
        <v>16607.86285714286</v>
      </c>
      <c r="BP58" s="106">
        <v>26.539813701923077</v>
      </c>
      <c r="BQ58" s="106">
        <v>31242.668689903847</v>
      </c>
      <c r="BR58" s="106">
        <v>25.129275468922398</v>
      </c>
      <c r="BS58" s="106">
        <v>29582.183082015446</v>
      </c>
      <c r="BT58" s="106">
        <v>0</v>
      </c>
      <c r="BU58" s="106">
        <v>0</v>
      </c>
      <c r="BV58" s="106">
        <v>18.904083690446178</v>
      </c>
      <c r="BW58" s="106">
        <v>22253.887320393242</v>
      </c>
      <c r="BX58" s="106">
        <v>15.037639060568601</v>
      </c>
      <c r="BY58" s="106">
        <v>17702.30870210136</v>
      </c>
      <c r="BZ58" s="106">
        <v>0</v>
      </c>
      <c r="CA58" s="106">
        <v>0</v>
      </c>
      <c r="CB58" s="106">
        <v>34.306413301662708</v>
      </c>
      <c r="CC58" s="106">
        <v>40385.509738717345</v>
      </c>
      <c r="CD58" s="106">
        <v>21.510529891304348</v>
      </c>
      <c r="CE58" s="106">
        <v>25322.195788043478</v>
      </c>
      <c r="CF58" s="106">
        <v>24.68888888888889</v>
      </c>
      <c r="CG58" s="106">
        <v>29063.760000000002</v>
      </c>
      <c r="CH58" s="106">
        <v>38.637822014051523</v>
      </c>
      <c r="CI58" s="106">
        <v>45484.444074941457</v>
      </c>
      <c r="CJ58" s="106">
        <v>28.035438499724215</v>
      </c>
      <c r="CK58" s="106">
        <v>33003.31820187535</v>
      </c>
      <c r="CL58" s="106">
        <v>0</v>
      </c>
      <c r="CM58" s="106">
        <v>0</v>
      </c>
      <c r="CN58" s="106">
        <v>26.381980290943222</v>
      </c>
      <c r="CO58" s="106">
        <v>31056.867198498363</v>
      </c>
      <c r="CP58" s="106">
        <v>19.452177700348432</v>
      </c>
      <c r="CQ58" s="106">
        <v>22899.103588850176</v>
      </c>
      <c r="CR58" s="106">
        <v>9.7038001838798653</v>
      </c>
      <c r="CS58" s="106">
        <v>11423.313576463377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10.598536504240812</v>
      </c>
      <c r="M59" s="106">
        <v>3217.7156826875103</v>
      </c>
      <c r="N59" s="106">
        <v>8.3256756756756758</v>
      </c>
      <c r="O59" s="106">
        <v>2527.675135135135</v>
      </c>
      <c r="P59" s="106">
        <v>8.1985897015414899</v>
      </c>
      <c r="Q59" s="106">
        <v>2489.0918333879958</v>
      </c>
      <c r="R59" s="106">
        <v>6.1868874368874369</v>
      </c>
      <c r="S59" s="106">
        <v>1878.3390258390257</v>
      </c>
      <c r="T59" s="106">
        <v>0</v>
      </c>
      <c r="U59" s="106">
        <v>0</v>
      </c>
      <c r="V59" s="106">
        <v>8.0950323974082075</v>
      </c>
      <c r="W59" s="106">
        <v>2457.6518358531316</v>
      </c>
      <c r="X59" s="106">
        <v>0</v>
      </c>
      <c r="Y59" s="106">
        <v>0</v>
      </c>
      <c r="Z59" s="106">
        <v>9.5625978090766814</v>
      </c>
      <c r="AA59" s="106">
        <v>2903.2046948356801</v>
      </c>
      <c r="AB59" s="106">
        <v>6.4111565280115412</v>
      </c>
      <c r="AC59" s="106">
        <v>1946.4271219043037</v>
      </c>
      <c r="AD59" s="106">
        <v>15.206159110350729</v>
      </c>
      <c r="AE59" s="106">
        <v>4616.5899059024805</v>
      </c>
      <c r="AF59" s="106">
        <v>7.3429114224649723</v>
      </c>
      <c r="AG59" s="106">
        <v>2229.3079078603655</v>
      </c>
      <c r="AH59" s="106">
        <v>0</v>
      </c>
      <c r="AI59" s="106">
        <v>0</v>
      </c>
      <c r="AJ59" s="106">
        <v>43.486584481508338</v>
      </c>
      <c r="AK59" s="106">
        <v>13202.527048585929</v>
      </c>
      <c r="AL59" s="106">
        <v>0</v>
      </c>
      <c r="AM59" s="106">
        <v>0</v>
      </c>
      <c r="AN59" s="106">
        <v>35.36672879776328</v>
      </c>
      <c r="AO59" s="106">
        <v>10737.33886300093</v>
      </c>
      <c r="AP59" s="106">
        <v>0</v>
      </c>
      <c r="AQ59" s="106">
        <v>0</v>
      </c>
      <c r="AR59" s="106">
        <v>23.436443575964827</v>
      </c>
      <c r="AS59" s="106">
        <v>7115.3042696629209</v>
      </c>
      <c r="AT59" s="106">
        <v>0</v>
      </c>
      <c r="AU59" s="106">
        <v>0</v>
      </c>
      <c r="AV59" s="106">
        <v>6.9141086186540734</v>
      </c>
      <c r="AW59" s="106">
        <v>2099.1233766233763</v>
      </c>
      <c r="AX59" s="106">
        <v>22.409898176651669</v>
      </c>
      <c r="AY59" s="106">
        <v>6803.6450864314456</v>
      </c>
      <c r="AZ59" s="106">
        <v>4.1775255851656699</v>
      </c>
      <c r="BA59" s="106">
        <v>1268.2967676562973</v>
      </c>
      <c r="BB59" s="106">
        <v>6.088934274043817</v>
      </c>
      <c r="BC59" s="106">
        <v>1848.6004455997027</v>
      </c>
      <c r="BD59" s="106">
        <v>0</v>
      </c>
      <c r="BE59" s="106">
        <v>0</v>
      </c>
      <c r="BF59" s="106">
        <v>7.301715297846556</v>
      </c>
      <c r="BG59" s="106">
        <v>2216.8007644262143</v>
      </c>
      <c r="BH59" s="106">
        <v>7.5498338870431887</v>
      </c>
      <c r="BI59" s="106">
        <v>2292.129568106312</v>
      </c>
      <c r="BJ59" s="106">
        <v>7.6802852962692016</v>
      </c>
      <c r="BK59" s="106">
        <v>2331.7346159473295</v>
      </c>
      <c r="BL59" s="106">
        <v>11.253376350540217</v>
      </c>
      <c r="BM59" s="106">
        <v>3416.5250600240092</v>
      </c>
      <c r="BN59" s="106">
        <v>0</v>
      </c>
      <c r="BO59" s="106">
        <v>0</v>
      </c>
      <c r="BP59" s="106">
        <v>7.2819688985991515</v>
      </c>
      <c r="BQ59" s="106">
        <v>2210.8057576147021</v>
      </c>
      <c r="BR59" s="106">
        <v>15.790045702820198</v>
      </c>
      <c r="BS59" s="106">
        <v>4793.8578753762113</v>
      </c>
      <c r="BT59" s="106">
        <v>0</v>
      </c>
      <c r="BU59" s="106">
        <v>0</v>
      </c>
      <c r="BV59" s="106">
        <v>5.79631601362862</v>
      </c>
      <c r="BW59" s="106">
        <v>1759.7615417376489</v>
      </c>
      <c r="BX59" s="106">
        <v>37.39535658742502</v>
      </c>
      <c r="BY59" s="106">
        <v>11353.230259942235</v>
      </c>
      <c r="BZ59" s="106">
        <v>15.062095514394109</v>
      </c>
      <c r="CA59" s="106">
        <v>4572.8521981700505</v>
      </c>
      <c r="CB59" s="106">
        <v>0</v>
      </c>
      <c r="CC59" s="106">
        <v>0</v>
      </c>
      <c r="CD59" s="106">
        <v>21.21796451453918</v>
      </c>
      <c r="CE59" s="106">
        <v>6441.7740266140945</v>
      </c>
      <c r="CF59" s="106">
        <v>7.8339743589743582</v>
      </c>
      <c r="CG59" s="106">
        <v>2378.394615384615</v>
      </c>
      <c r="CH59" s="106">
        <v>5.0181108577442561</v>
      </c>
      <c r="CI59" s="106">
        <v>1523.498456411156</v>
      </c>
      <c r="CJ59" s="106">
        <v>0</v>
      </c>
      <c r="CK59" s="106">
        <v>0</v>
      </c>
      <c r="CL59" s="106">
        <v>4.1876869690080172</v>
      </c>
      <c r="CM59" s="106">
        <v>1271.3817637908339</v>
      </c>
      <c r="CN59" s="106">
        <v>0</v>
      </c>
      <c r="CO59" s="106">
        <v>0</v>
      </c>
      <c r="CP59" s="106">
        <v>5.4496546710287168</v>
      </c>
      <c r="CQ59" s="106">
        <v>1654.5151581243183</v>
      </c>
      <c r="CR59" s="106">
        <v>3.4057594054807243</v>
      </c>
      <c r="CS59" s="106">
        <v>1033.9885555039477</v>
      </c>
      <c r="CT59" s="106">
        <v>8.8830989798731732</v>
      </c>
      <c r="CU59" s="106">
        <v>2696.9088502894951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9.715325128887411</v>
      </c>
      <c r="M60" s="106">
        <v>6330.505853983037</v>
      </c>
      <c r="N60" s="106">
        <v>7.506756756756757</v>
      </c>
      <c r="O60" s="106">
        <v>4891.4027027027032</v>
      </c>
      <c r="P60" s="106">
        <v>7.1054444080026231</v>
      </c>
      <c r="Q60" s="106">
        <v>4629.907576254509</v>
      </c>
      <c r="R60" s="106">
        <v>5.320723195723196</v>
      </c>
      <c r="S60" s="106">
        <v>3466.9832343332346</v>
      </c>
      <c r="T60" s="106">
        <v>0</v>
      </c>
      <c r="U60" s="106">
        <v>0</v>
      </c>
      <c r="V60" s="106">
        <v>9.4442044636429081</v>
      </c>
      <c r="W60" s="106">
        <v>6153.8436285097196</v>
      </c>
      <c r="X60" s="106">
        <v>0</v>
      </c>
      <c r="Y60" s="106">
        <v>0</v>
      </c>
      <c r="Z60" s="106">
        <v>10.649256651017215</v>
      </c>
      <c r="AA60" s="106">
        <v>6939.0556338028173</v>
      </c>
      <c r="AB60" s="106">
        <v>7.0122024525126223</v>
      </c>
      <c r="AC60" s="106">
        <v>4569.1511180572252</v>
      </c>
      <c r="AD60" s="106">
        <v>13.780581693755346</v>
      </c>
      <c r="AE60" s="106">
        <v>8979.4270316509846</v>
      </c>
      <c r="AF60" s="106">
        <v>7.1203989551175493</v>
      </c>
      <c r="AG60" s="106">
        <v>4639.6519591545957</v>
      </c>
      <c r="AH60" s="106">
        <v>0</v>
      </c>
      <c r="AI60" s="106">
        <v>0</v>
      </c>
      <c r="AJ60" s="106">
        <v>42.127628716461203</v>
      </c>
      <c r="AK60" s="106">
        <v>27450.362871646121</v>
      </c>
      <c r="AL60" s="106">
        <v>0</v>
      </c>
      <c r="AM60" s="106">
        <v>0</v>
      </c>
      <c r="AN60" s="106">
        <v>33.183597390493944</v>
      </c>
      <c r="AO60" s="106">
        <v>21622.432059645853</v>
      </c>
      <c r="AP60" s="106">
        <v>0</v>
      </c>
      <c r="AQ60" s="106">
        <v>0</v>
      </c>
      <c r="AR60" s="106">
        <v>22.704054714215925</v>
      </c>
      <c r="AS60" s="106">
        <v>14793.962051783097</v>
      </c>
      <c r="AT60" s="106">
        <v>0</v>
      </c>
      <c r="AU60" s="106">
        <v>0</v>
      </c>
      <c r="AV60" s="106">
        <v>6.5453561589925222</v>
      </c>
      <c r="AW60" s="106">
        <v>4264.9540731995276</v>
      </c>
      <c r="AX60" s="106">
        <v>23.075538716552213</v>
      </c>
      <c r="AY60" s="106">
        <v>15036.021027705423</v>
      </c>
      <c r="AZ60" s="106">
        <v>4.46235687506333</v>
      </c>
      <c r="BA60" s="106">
        <v>2907.6717397912657</v>
      </c>
      <c r="BB60" s="106">
        <v>5.8279799480133683</v>
      </c>
      <c r="BC60" s="106">
        <v>3797.5117341255109</v>
      </c>
      <c r="BD60" s="106">
        <v>0</v>
      </c>
      <c r="BE60" s="106">
        <v>0</v>
      </c>
      <c r="BF60" s="106">
        <v>6.8356483639414556</v>
      </c>
      <c r="BG60" s="106">
        <v>4454.1084739442522</v>
      </c>
      <c r="BH60" s="106">
        <v>6.79485049833887</v>
      </c>
      <c r="BI60" s="106">
        <v>4427.5245847176075</v>
      </c>
      <c r="BJ60" s="106">
        <v>6.5831016825164594</v>
      </c>
      <c r="BK60" s="106">
        <v>4289.5490563277253</v>
      </c>
      <c r="BL60" s="106">
        <v>9.5028511404561833</v>
      </c>
      <c r="BM60" s="106">
        <v>6192.057803121249</v>
      </c>
      <c r="BN60" s="106">
        <v>0</v>
      </c>
      <c r="BO60" s="106">
        <v>0</v>
      </c>
      <c r="BP60" s="106">
        <v>5.8898277856316668</v>
      </c>
      <c r="BQ60" s="106">
        <v>3837.8117851175944</v>
      </c>
      <c r="BR60" s="106">
        <v>15.046984728569837</v>
      </c>
      <c r="BS60" s="106">
        <v>9804.6152491361063</v>
      </c>
      <c r="BT60" s="106">
        <v>0</v>
      </c>
      <c r="BU60" s="106">
        <v>0</v>
      </c>
      <c r="BV60" s="106">
        <v>5.4414395229982961</v>
      </c>
      <c r="BW60" s="106">
        <v>3545.6419931856899</v>
      </c>
      <c r="BX60" s="106">
        <v>31.101088646967344</v>
      </c>
      <c r="BY60" s="106">
        <v>20265.469362363921</v>
      </c>
      <c r="BZ60" s="106">
        <v>13.574481142602096</v>
      </c>
      <c r="CA60" s="106">
        <v>8845.1319125195259</v>
      </c>
      <c r="CB60" s="106">
        <v>0</v>
      </c>
      <c r="CC60" s="106">
        <v>0</v>
      </c>
      <c r="CD60" s="106">
        <v>18.206382454411042</v>
      </c>
      <c r="CE60" s="106">
        <v>11863.278807294235</v>
      </c>
      <c r="CF60" s="106">
        <v>6.3078754578754577</v>
      </c>
      <c r="CG60" s="106">
        <v>4110.2116483516484</v>
      </c>
      <c r="CH60" s="106">
        <v>4.8232327661813716</v>
      </c>
      <c r="CI60" s="106">
        <v>3142.8184704437817</v>
      </c>
      <c r="CJ60" s="106">
        <v>0</v>
      </c>
      <c r="CK60" s="106">
        <v>0</v>
      </c>
      <c r="CL60" s="106">
        <v>4.0381267201148736</v>
      </c>
      <c r="CM60" s="106">
        <v>2631.2433708268518</v>
      </c>
      <c r="CN60" s="106">
        <v>0</v>
      </c>
      <c r="CO60" s="106">
        <v>0</v>
      </c>
      <c r="CP60" s="106">
        <v>4.7003271537622684</v>
      </c>
      <c r="CQ60" s="106">
        <v>3062.7331733914943</v>
      </c>
      <c r="CR60" s="106">
        <v>3.0961449140733861</v>
      </c>
      <c r="CS60" s="106">
        <v>2017.4480260102184</v>
      </c>
      <c r="CT60" s="106">
        <v>7.9641577060931894</v>
      </c>
      <c r="CU60" s="106">
        <v>5189.4451612903222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9.1265175453184764</v>
      </c>
      <c r="M61" s="106">
        <v>8684.7940961250606</v>
      </c>
      <c r="N61" s="106">
        <v>7.0972972972972972</v>
      </c>
      <c r="O61" s="106">
        <v>6753.7881081081077</v>
      </c>
      <c r="P61" s="106">
        <v>6.6955149229255486</v>
      </c>
      <c r="Q61" s="106">
        <v>6371.4520006559515</v>
      </c>
      <c r="R61" s="106">
        <v>5.5681986931986929</v>
      </c>
      <c r="S61" s="106">
        <v>5298.6978764478754</v>
      </c>
      <c r="T61" s="106">
        <v>0</v>
      </c>
      <c r="U61" s="106">
        <v>0</v>
      </c>
      <c r="V61" s="106">
        <v>8.7696184305255578</v>
      </c>
      <c r="W61" s="106">
        <v>8345.1688984881202</v>
      </c>
      <c r="X61" s="106">
        <v>0</v>
      </c>
      <c r="Y61" s="106">
        <v>0</v>
      </c>
      <c r="Z61" s="106">
        <v>10.214593114241001</v>
      </c>
      <c r="AA61" s="106">
        <v>9720.2068075117368</v>
      </c>
      <c r="AB61" s="106">
        <v>6.0104592450108196</v>
      </c>
      <c r="AC61" s="106">
        <v>5719.5530175522954</v>
      </c>
      <c r="AD61" s="106">
        <v>15.681351582549187</v>
      </c>
      <c r="AE61" s="106">
        <v>14922.374165953805</v>
      </c>
      <c r="AF61" s="106">
        <v>5.7853241510330093</v>
      </c>
      <c r="AG61" s="106">
        <v>5505.3144621230113</v>
      </c>
      <c r="AH61" s="106">
        <v>0</v>
      </c>
      <c r="AI61" s="106">
        <v>0</v>
      </c>
      <c r="AJ61" s="106">
        <v>37.031544597534449</v>
      </c>
      <c r="AK61" s="106">
        <v>35239.217839013778</v>
      </c>
      <c r="AL61" s="106">
        <v>0</v>
      </c>
      <c r="AM61" s="106">
        <v>0</v>
      </c>
      <c r="AN61" s="106">
        <v>33.620223671947812</v>
      </c>
      <c r="AO61" s="106">
        <v>31993.004846225536</v>
      </c>
      <c r="AP61" s="106">
        <v>0</v>
      </c>
      <c r="AQ61" s="106">
        <v>0</v>
      </c>
      <c r="AR61" s="106">
        <v>18.126624328285295</v>
      </c>
      <c r="AS61" s="106">
        <v>17249.295710796287</v>
      </c>
      <c r="AT61" s="106">
        <v>0</v>
      </c>
      <c r="AU61" s="106">
        <v>0</v>
      </c>
      <c r="AV61" s="106">
        <v>6.5453561589925222</v>
      </c>
      <c r="AW61" s="106">
        <v>6228.5609208972837</v>
      </c>
      <c r="AX61" s="106">
        <v>18.859815297182095</v>
      </c>
      <c r="AY61" s="106">
        <v>17947.000236798482</v>
      </c>
      <c r="AZ61" s="106">
        <v>3.8926942952680115</v>
      </c>
      <c r="BA61" s="106">
        <v>3704.2878913770392</v>
      </c>
      <c r="BB61" s="106">
        <v>5.3930560712959528</v>
      </c>
      <c r="BC61" s="106">
        <v>5132.0321574452282</v>
      </c>
      <c r="BD61" s="106">
        <v>0</v>
      </c>
      <c r="BE61" s="106">
        <v>0</v>
      </c>
      <c r="BF61" s="106">
        <v>7.301715297846556</v>
      </c>
      <c r="BG61" s="106">
        <v>6948.3122774307822</v>
      </c>
      <c r="BH61" s="106">
        <v>7.1723421926910298</v>
      </c>
      <c r="BI61" s="106">
        <v>6825.2008305647832</v>
      </c>
      <c r="BJ61" s="106">
        <v>7.0707388441843451</v>
      </c>
      <c r="BK61" s="106">
        <v>6728.5150841258219</v>
      </c>
      <c r="BL61" s="106">
        <v>9.3778136254501803</v>
      </c>
      <c r="BM61" s="106">
        <v>8923.9274459783901</v>
      </c>
      <c r="BN61" s="106">
        <v>0</v>
      </c>
      <c r="BO61" s="106">
        <v>0</v>
      </c>
      <c r="BP61" s="106">
        <v>6.1040033414728185</v>
      </c>
      <c r="BQ61" s="106">
        <v>5808.5695797455337</v>
      </c>
      <c r="BR61" s="106">
        <v>16.718871920633152</v>
      </c>
      <c r="BS61" s="106">
        <v>15909.678519674506</v>
      </c>
      <c r="BT61" s="106">
        <v>0</v>
      </c>
      <c r="BU61" s="106">
        <v>0</v>
      </c>
      <c r="BV61" s="106">
        <v>5.6780238500851787</v>
      </c>
      <c r="BW61" s="106">
        <v>5403.2074957410559</v>
      </c>
      <c r="BX61" s="106">
        <v>32.952343923572542</v>
      </c>
      <c r="BY61" s="106">
        <v>31357.450477671628</v>
      </c>
      <c r="BZ61" s="106">
        <v>13.016625753180094</v>
      </c>
      <c r="CA61" s="106">
        <v>12386.621066726177</v>
      </c>
      <c r="CB61" s="106">
        <v>0</v>
      </c>
      <c r="CC61" s="106">
        <v>0</v>
      </c>
      <c r="CD61" s="106">
        <v>18.617052735337605</v>
      </c>
      <c r="CE61" s="106">
        <v>17715.987382947264</v>
      </c>
      <c r="CF61" s="106">
        <v>7.0200549450549445</v>
      </c>
      <c r="CG61" s="106">
        <v>6680.284285714285</v>
      </c>
      <c r="CH61" s="106">
        <v>4.4334765830556035</v>
      </c>
      <c r="CI61" s="106">
        <v>4218.8963164357119</v>
      </c>
      <c r="CJ61" s="106">
        <v>0</v>
      </c>
      <c r="CK61" s="106">
        <v>0</v>
      </c>
      <c r="CL61" s="106">
        <v>3.7390062223285865</v>
      </c>
      <c r="CM61" s="106">
        <v>3558.0383211678827</v>
      </c>
      <c r="CN61" s="106">
        <v>0</v>
      </c>
      <c r="CO61" s="106">
        <v>0</v>
      </c>
      <c r="CP61" s="106">
        <v>4.4278444202108327</v>
      </c>
      <c r="CQ61" s="106">
        <v>4213.5367502726276</v>
      </c>
      <c r="CR61" s="106">
        <v>3.1735485369252205</v>
      </c>
      <c r="CS61" s="106">
        <v>3019.9487877380398</v>
      </c>
      <c r="CT61" s="106">
        <v>7.1983733112765371</v>
      </c>
      <c r="CU61" s="106">
        <v>6849.9720430107518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9.1265175453184764</v>
      </c>
      <c r="M62" s="106">
        <v>15562.537718277066</v>
      </c>
      <c r="N62" s="106">
        <v>7.0972972972972972</v>
      </c>
      <c r="O62" s="106">
        <v>12102.311351351351</v>
      </c>
      <c r="P62" s="106">
        <v>6.9688012463102655</v>
      </c>
      <c r="Q62" s="106">
        <v>11883.199885208265</v>
      </c>
      <c r="R62" s="106">
        <v>4.2070834570834572</v>
      </c>
      <c r="S62" s="106">
        <v>7173.9187110187113</v>
      </c>
      <c r="T62" s="106">
        <v>0</v>
      </c>
      <c r="U62" s="106">
        <v>0</v>
      </c>
      <c r="V62" s="106">
        <v>6.7458603311735059</v>
      </c>
      <c r="W62" s="106">
        <v>11503.041036717063</v>
      </c>
      <c r="X62" s="106">
        <v>0</v>
      </c>
      <c r="Y62" s="106">
        <v>0</v>
      </c>
      <c r="Z62" s="106">
        <v>8.9106025039123633</v>
      </c>
      <c r="AA62" s="106">
        <v>15194.359389671363</v>
      </c>
      <c r="AB62" s="106">
        <v>6.2108078865111809</v>
      </c>
      <c r="AC62" s="106">
        <v>10590.669608078866</v>
      </c>
      <c r="AD62" s="106">
        <v>14.255774165953806</v>
      </c>
      <c r="AE62" s="106">
        <v>24308.946107784432</v>
      </c>
      <c r="AF62" s="106">
        <v>5.7853241510330093</v>
      </c>
      <c r="AG62" s="106">
        <v>9865.1347423414882</v>
      </c>
      <c r="AH62" s="106">
        <v>0</v>
      </c>
      <c r="AI62" s="106">
        <v>0</v>
      </c>
      <c r="AJ62" s="106">
        <v>32.275199419869473</v>
      </c>
      <c r="AK62" s="106">
        <v>55035.67005076143</v>
      </c>
      <c r="AL62" s="106">
        <v>0</v>
      </c>
      <c r="AM62" s="106">
        <v>0</v>
      </c>
      <c r="AN62" s="106">
        <v>26.634203168685929</v>
      </c>
      <c r="AO62" s="106">
        <v>45416.643243243248</v>
      </c>
      <c r="AP62" s="106">
        <v>0</v>
      </c>
      <c r="AQ62" s="106">
        <v>0</v>
      </c>
      <c r="AR62" s="106">
        <v>18.309721543722521</v>
      </c>
      <c r="AS62" s="106">
        <v>31221.737176355644</v>
      </c>
      <c r="AT62" s="106">
        <v>0</v>
      </c>
      <c r="AU62" s="106">
        <v>0</v>
      </c>
      <c r="AV62" s="106">
        <v>5.6234750098386463</v>
      </c>
      <c r="AW62" s="106">
        <v>9589.1495867768608</v>
      </c>
      <c r="AX62" s="106">
        <v>19.525455837082642</v>
      </c>
      <c r="AY62" s="106">
        <v>33294.807293393322</v>
      </c>
      <c r="AZ62" s="106">
        <v>3.323031715472692</v>
      </c>
      <c r="BA62" s="106">
        <v>5666.4336812240344</v>
      </c>
      <c r="BB62" s="106">
        <v>4.6971778685480876</v>
      </c>
      <c r="BC62" s="106">
        <v>8009.6277014481993</v>
      </c>
      <c r="BD62" s="106">
        <v>0</v>
      </c>
      <c r="BE62" s="106">
        <v>0</v>
      </c>
      <c r="BF62" s="106">
        <v>5.4374475622261578</v>
      </c>
      <c r="BG62" s="106">
        <v>9271.9355831080447</v>
      </c>
      <c r="BH62" s="106">
        <v>6.2915282392026581</v>
      </c>
      <c r="BI62" s="106">
        <v>10728.313953488372</v>
      </c>
      <c r="BJ62" s="106">
        <v>5.2420994879297735</v>
      </c>
      <c r="BK62" s="106">
        <v>8938.8280468178509</v>
      </c>
      <c r="BL62" s="106">
        <v>7.627288415366146</v>
      </c>
      <c r="BM62" s="106">
        <v>13006.052205882352</v>
      </c>
      <c r="BN62" s="106">
        <v>0</v>
      </c>
      <c r="BO62" s="106">
        <v>0</v>
      </c>
      <c r="BP62" s="106">
        <v>5.4614766739493641</v>
      </c>
      <c r="BQ62" s="106">
        <v>9312.9100244184556</v>
      </c>
      <c r="BR62" s="106">
        <v>13.560862780069112</v>
      </c>
      <c r="BS62" s="106">
        <v>23123.98321257385</v>
      </c>
      <c r="BT62" s="106">
        <v>0</v>
      </c>
      <c r="BU62" s="106">
        <v>0</v>
      </c>
      <c r="BV62" s="106">
        <v>5.3231473594548548</v>
      </c>
      <c r="BW62" s="106">
        <v>9077.0308773424185</v>
      </c>
      <c r="BX62" s="106">
        <v>28.50933125972006</v>
      </c>
      <c r="BY62" s="106">
        <v>48614.111664074648</v>
      </c>
      <c r="BZ62" s="106">
        <v>11.157107788440079</v>
      </c>
      <c r="CA62" s="106">
        <v>19025.100200848025</v>
      </c>
      <c r="CB62" s="106">
        <v>0</v>
      </c>
      <c r="CC62" s="106">
        <v>0</v>
      </c>
      <c r="CD62" s="106">
        <v>15.468580581567275</v>
      </c>
      <c r="CE62" s="106">
        <v>26377.023607688519</v>
      </c>
      <c r="CF62" s="106">
        <v>5.3922161172161172</v>
      </c>
      <c r="CG62" s="106">
        <v>9194.8069230769233</v>
      </c>
      <c r="CH62" s="106">
        <v>4.1898789686019997</v>
      </c>
      <c r="CI62" s="106">
        <v>7144.5816172601299</v>
      </c>
      <c r="CJ62" s="106">
        <v>0</v>
      </c>
      <c r="CK62" s="106">
        <v>0</v>
      </c>
      <c r="CL62" s="106">
        <v>3.4398857245422998</v>
      </c>
      <c r="CM62" s="106">
        <v>5865.6931374895294</v>
      </c>
      <c r="CN62" s="106">
        <v>0</v>
      </c>
      <c r="CO62" s="106">
        <v>0</v>
      </c>
      <c r="CP62" s="106">
        <v>4.1553616866593961</v>
      </c>
      <c r="CQ62" s="106">
        <v>7085.7227480916026</v>
      </c>
      <c r="CR62" s="106">
        <v>2.8639340455178819</v>
      </c>
      <c r="CS62" s="106">
        <v>4883.5803344170927</v>
      </c>
      <c r="CT62" s="106">
        <v>6.2794320374965533</v>
      </c>
      <c r="CU62" s="106">
        <v>10707.687510339123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9.4209213371029428</v>
      </c>
      <c r="M63" s="106">
        <v>7495.2850157991015</v>
      </c>
      <c r="N63" s="106">
        <v>6.6878378378378383</v>
      </c>
      <c r="O63" s="106">
        <v>5320.8437837837846</v>
      </c>
      <c r="P63" s="106">
        <v>7.5153738930796985</v>
      </c>
      <c r="Q63" s="106">
        <v>5979.2314693342087</v>
      </c>
      <c r="R63" s="106">
        <v>5.6919364419364413</v>
      </c>
      <c r="S63" s="106">
        <v>4528.5046332046331</v>
      </c>
      <c r="T63" s="106">
        <v>0</v>
      </c>
      <c r="U63" s="106">
        <v>0</v>
      </c>
      <c r="V63" s="106">
        <v>7.8701703863690895</v>
      </c>
      <c r="W63" s="106">
        <v>6261.5075593952479</v>
      </c>
      <c r="X63" s="106">
        <v>0</v>
      </c>
      <c r="Y63" s="106">
        <v>0</v>
      </c>
      <c r="Z63" s="106">
        <v>9.7799295774647881</v>
      </c>
      <c r="AA63" s="106">
        <v>7780.9119718309857</v>
      </c>
      <c r="AB63" s="106">
        <v>6.2108078865111809</v>
      </c>
      <c r="AC63" s="106">
        <v>4941.3187545082956</v>
      </c>
      <c r="AD63" s="106">
        <v>16.156544054747648</v>
      </c>
      <c r="AE63" s="106">
        <v>12854.14644995723</v>
      </c>
      <c r="AF63" s="106">
        <v>6.0078366183804324</v>
      </c>
      <c r="AG63" s="106">
        <v>4779.8348135834722</v>
      </c>
      <c r="AH63" s="106">
        <v>0</v>
      </c>
      <c r="AI63" s="106">
        <v>0</v>
      </c>
      <c r="AJ63" s="106">
        <v>37.031544597534449</v>
      </c>
      <c r="AK63" s="106">
        <v>29462.296881798407</v>
      </c>
      <c r="AL63" s="106">
        <v>0</v>
      </c>
      <c r="AM63" s="106">
        <v>0</v>
      </c>
      <c r="AN63" s="106">
        <v>31.437092264678469</v>
      </c>
      <c r="AO63" s="106">
        <v>25011.350605778192</v>
      </c>
      <c r="AP63" s="106">
        <v>0</v>
      </c>
      <c r="AQ63" s="106">
        <v>0</v>
      </c>
      <c r="AR63" s="106">
        <v>21.971665852467023</v>
      </c>
      <c r="AS63" s="106">
        <v>17480.657352222763</v>
      </c>
      <c r="AT63" s="106">
        <v>0</v>
      </c>
      <c r="AU63" s="106">
        <v>0</v>
      </c>
      <c r="AV63" s="106">
        <v>6.6375442739079107</v>
      </c>
      <c r="AW63" s="106">
        <v>5280.8302243211338</v>
      </c>
      <c r="AX63" s="106">
        <v>23.519299076485911</v>
      </c>
      <c r="AY63" s="106">
        <v>18711.95434525219</v>
      </c>
      <c r="AZ63" s="106">
        <v>3.7028067686695718</v>
      </c>
      <c r="BA63" s="106">
        <v>2945.9530651535115</v>
      </c>
      <c r="BB63" s="106">
        <v>5.4800408466394357</v>
      </c>
      <c r="BC63" s="106">
        <v>4359.9204975863349</v>
      </c>
      <c r="BD63" s="106">
        <v>0</v>
      </c>
      <c r="BE63" s="106">
        <v>0</v>
      </c>
      <c r="BF63" s="106">
        <v>6.6802927193064239</v>
      </c>
      <c r="BG63" s="106">
        <v>5314.8408874801908</v>
      </c>
      <c r="BH63" s="106">
        <v>6.4173588039867111</v>
      </c>
      <c r="BI63" s="106">
        <v>5105.6506644518277</v>
      </c>
      <c r="BJ63" s="106">
        <v>6.7050109729334313</v>
      </c>
      <c r="BK63" s="106">
        <v>5334.5067300658384</v>
      </c>
      <c r="BL63" s="106">
        <v>10.003001200480192</v>
      </c>
      <c r="BM63" s="106">
        <v>7958.3877551020405</v>
      </c>
      <c r="BN63" s="106">
        <v>0</v>
      </c>
      <c r="BO63" s="106">
        <v>0</v>
      </c>
      <c r="BP63" s="106">
        <v>6.6394422310756971</v>
      </c>
      <c r="BQ63" s="106">
        <v>5282.340239043825</v>
      </c>
      <c r="BR63" s="106">
        <v>14.675454241444656</v>
      </c>
      <c r="BS63" s="106">
        <v>11675.79139449337</v>
      </c>
      <c r="BT63" s="106">
        <v>0</v>
      </c>
      <c r="BU63" s="106">
        <v>0</v>
      </c>
      <c r="BV63" s="106">
        <v>5.0865630323679731</v>
      </c>
      <c r="BW63" s="106">
        <v>4046.8695485519597</v>
      </c>
      <c r="BX63" s="106">
        <v>30.730837591646299</v>
      </c>
      <c r="BY63" s="106">
        <v>24449.454387913796</v>
      </c>
      <c r="BZ63" s="106">
        <v>13.574481142602096</v>
      </c>
      <c r="CA63" s="106">
        <v>10799.857197054227</v>
      </c>
      <c r="CB63" s="106">
        <v>0</v>
      </c>
      <c r="CC63" s="106">
        <v>0</v>
      </c>
      <c r="CD63" s="106">
        <v>19.712173484475112</v>
      </c>
      <c r="CE63" s="106">
        <v>15683.0052242484</v>
      </c>
      <c r="CF63" s="106">
        <v>6.4096153846153854</v>
      </c>
      <c r="CG63" s="106">
        <v>5099.4900000000007</v>
      </c>
      <c r="CH63" s="106">
        <v>4.8232327661813716</v>
      </c>
      <c r="CI63" s="106">
        <v>3837.3639887738996</v>
      </c>
      <c r="CJ63" s="106">
        <v>0</v>
      </c>
      <c r="CK63" s="106">
        <v>0</v>
      </c>
      <c r="CL63" s="106">
        <v>3.9882733038171589</v>
      </c>
      <c r="CM63" s="106">
        <v>3173.0702405169318</v>
      </c>
      <c r="CN63" s="106">
        <v>0</v>
      </c>
      <c r="CO63" s="106">
        <v>0</v>
      </c>
      <c r="CP63" s="106">
        <v>4.9728098873137041</v>
      </c>
      <c r="CQ63" s="106">
        <v>3956.367546346783</v>
      </c>
      <c r="CR63" s="106">
        <v>3.0187412912215512</v>
      </c>
      <c r="CS63" s="106">
        <v>2401.7105712958664</v>
      </c>
      <c r="CT63" s="106">
        <v>7.8110008271298597</v>
      </c>
      <c r="CU63" s="106">
        <v>6214.4322580645166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9.715325128887411</v>
      </c>
      <c r="M64" s="106">
        <v>9804.7061200731732</v>
      </c>
      <c r="N64" s="106">
        <v>7.3702702702702707</v>
      </c>
      <c r="O64" s="106">
        <v>7438.0767567567555</v>
      </c>
      <c r="P64" s="106">
        <v>6.9688012463102655</v>
      </c>
      <c r="Q64" s="106">
        <v>7032.9142177763188</v>
      </c>
      <c r="R64" s="106">
        <v>5.320723195723196</v>
      </c>
      <c r="S64" s="106">
        <v>5369.6738491238484</v>
      </c>
      <c r="T64" s="106">
        <v>0</v>
      </c>
      <c r="U64" s="106">
        <v>0</v>
      </c>
      <c r="V64" s="106">
        <v>7.6453083753299733</v>
      </c>
      <c r="W64" s="106">
        <v>7715.6452123830077</v>
      </c>
      <c r="X64" s="106">
        <v>0</v>
      </c>
      <c r="Y64" s="106">
        <v>0</v>
      </c>
      <c r="Z64" s="106">
        <v>8.9106025039123633</v>
      </c>
      <c r="AA64" s="106">
        <v>8992.5800469483547</v>
      </c>
      <c r="AB64" s="106">
        <v>6.6115051695119016</v>
      </c>
      <c r="AC64" s="106">
        <v>6672.3310170714103</v>
      </c>
      <c r="AD64" s="106">
        <v>16.156544054747648</v>
      </c>
      <c r="AE64" s="106">
        <v>16305.184260051325</v>
      </c>
      <c r="AF64" s="106">
        <v>6.8978864877701263</v>
      </c>
      <c r="AG64" s="106">
        <v>6961.3470434576102</v>
      </c>
      <c r="AH64" s="106">
        <v>0</v>
      </c>
      <c r="AI64" s="106">
        <v>0</v>
      </c>
      <c r="AJ64" s="106">
        <v>36.691805656272656</v>
      </c>
      <c r="AK64" s="106">
        <v>37029.370268310355</v>
      </c>
      <c r="AL64" s="106">
        <v>0</v>
      </c>
      <c r="AM64" s="106">
        <v>0</v>
      </c>
      <c r="AN64" s="106">
        <v>31.873718546132338</v>
      </c>
      <c r="AO64" s="106">
        <v>32166.95675675675</v>
      </c>
      <c r="AP64" s="106">
        <v>0</v>
      </c>
      <c r="AQ64" s="106">
        <v>0</v>
      </c>
      <c r="AR64" s="106">
        <v>21.42237420615535</v>
      </c>
      <c r="AS64" s="106">
        <v>21619.460048851975</v>
      </c>
      <c r="AT64" s="106">
        <v>0</v>
      </c>
      <c r="AU64" s="106">
        <v>0</v>
      </c>
      <c r="AV64" s="106">
        <v>5.8078512396694215</v>
      </c>
      <c r="AW64" s="106">
        <v>5861.2834710743791</v>
      </c>
      <c r="AX64" s="106">
        <v>19.081695477148948</v>
      </c>
      <c r="AY64" s="106">
        <v>19257.247075538715</v>
      </c>
      <c r="AZ64" s="106">
        <v>4.0825818218664507</v>
      </c>
      <c r="BA64" s="106">
        <v>4120.1415746276216</v>
      </c>
      <c r="BB64" s="106">
        <v>5.306071295952469</v>
      </c>
      <c r="BC64" s="106">
        <v>5354.8871518752303</v>
      </c>
      <c r="BD64" s="106">
        <v>0</v>
      </c>
      <c r="BE64" s="106">
        <v>0</v>
      </c>
      <c r="BF64" s="106">
        <v>6.9910040085764891</v>
      </c>
      <c r="BG64" s="106">
        <v>7055.3212454553914</v>
      </c>
      <c r="BH64" s="106">
        <v>6.669019933554817</v>
      </c>
      <c r="BI64" s="106">
        <v>6730.3749169435205</v>
      </c>
      <c r="BJ64" s="106">
        <v>6.5831016825164594</v>
      </c>
      <c r="BK64" s="106">
        <v>6643.6662179956093</v>
      </c>
      <c r="BL64" s="106">
        <v>10.253076230492198</v>
      </c>
      <c r="BM64" s="106">
        <v>10347.404531812725</v>
      </c>
      <c r="BN64" s="106">
        <v>0</v>
      </c>
      <c r="BO64" s="106">
        <v>0</v>
      </c>
      <c r="BP64" s="106">
        <v>6.5323544531551212</v>
      </c>
      <c r="BQ64" s="106">
        <v>6592.4521141241476</v>
      </c>
      <c r="BR64" s="106">
        <v>14.118158510756885</v>
      </c>
      <c r="BS64" s="106">
        <v>14248.045569055846</v>
      </c>
      <c r="BT64" s="106">
        <v>0</v>
      </c>
      <c r="BU64" s="106">
        <v>0</v>
      </c>
      <c r="BV64" s="106">
        <v>5.3231473594548548</v>
      </c>
      <c r="BW64" s="106">
        <v>5372.1203151618383</v>
      </c>
      <c r="BX64" s="106">
        <v>29.990335481004223</v>
      </c>
      <c r="BY64" s="106">
        <v>30266.246567429458</v>
      </c>
      <c r="BZ64" s="106">
        <v>13.016625753180094</v>
      </c>
      <c r="CA64" s="106">
        <v>13136.378710109348</v>
      </c>
      <c r="CB64" s="106">
        <v>0</v>
      </c>
      <c r="CC64" s="106">
        <v>0</v>
      </c>
      <c r="CD64" s="106">
        <v>19.849063578117299</v>
      </c>
      <c r="CE64" s="106">
        <v>20031.674963035974</v>
      </c>
      <c r="CF64" s="106">
        <v>7.2235347985347991</v>
      </c>
      <c r="CG64" s="106">
        <v>7289.9913186813183</v>
      </c>
      <c r="CH64" s="106">
        <v>4.8719522890720928</v>
      </c>
      <c r="CI64" s="106">
        <v>4916.7742501315552</v>
      </c>
      <c r="CJ64" s="106">
        <v>0</v>
      </c>
      <c r="CK64" s="106">
        <v>0</v>
      </c>
      <c r="CL64" s="106">
        <v>3.5395925571377287</v>
      </c>
      <c r="CM64" s="106">
        <v>3572.1568086633952</v>
      </c>
      <c r="CN64" s="106">
        <v>0</v>
      </c>
      <c r="CO64" s="106">
        <v>0</v>
      </c>
      <c r="CP64" s="106">
        <v>4.564085786986551</v>
      </c>
      <c r="CQ64" s="106">
        <v>4606.0753762268268</v>
      </c>
      <c r="CR64" s="106">
        <v>3.0961449140733861</v>
      </c>
      <c r="CS64" s="106">
        <v>3124.6294472828608</v>
      </c>
      <c r="CT64" s="106">
        <v>6.5857457954232146</v>
      </c>
      <c r="CU64" s="106">
        <v>6646.3346567411072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10.892940296025278</v>
      </c>
      <c r="M65" s="106">
        <v>11176.156743721936</v>
      </c>
      <c r="N65" s="106">
        <v>6.4148648648648647</v>
      </c>
      <c r="O65" s="106">
        <v>6581.651351351351</v>
      </c>
      <c r="P65" s="106">
        <v>6.9688012463102655</v>
      </c>
      <c r="Q65" s="106">
        <v>7149.9900787143324</v>
      </c>
      <c r="R65" s="106">
        <v>5.0732476982476982</v>
      </c>
      <c r="S65" s="106">
        <v>5205.152138402138</v>
      </c>
      <c r="T65" s="106">
        <v>0</v>
      </c>
      <c r="U65" s="106">
        <v>0</v>
      </c>
      <c r="V65" s="106">
        <v>7.8701703863690895</v>
      </c>
      <c r="W65" s="106">
        <v>8074.7948164146856</v>
      </c>
      <c r="X65" s="106">
        <v>0</v>
      </c>
      <c r="Y65" s="106">
        <v>0</v>
      </c>
      <c r="Z65" s="106">
        <v>9.9972613458528965</v>
      </c>
      <c r="AA65" s="106">
        <v>10257.190140845072</v>
      </c>
      <c r="AB65" s="106">
        <v>6.0104592450108196</v>
      </c>
      <c r="AC65" s="106">
        <v>6166.7311853811007</v>
      </c>
      <c r="AD65" s="106">
        <v>14.255774165953806</v>
      </c>
      <c r="AE65" s="106">
        <v>14626.424294268605</v>
      </c>
      <c r="AF65" s="106">
        <v>6.4528615530752793</v>
      </c>
      <c r="AG65" s="106">
        <v>6620.6359534552366</v>
      </c>
      <c r="AH65" s="106">
        <v>0</v>
      </c>
      <c r="AI65" s="106">
        <v>0</v>
      </c>
      <c r="AJ65" s="106">
        <v>36.352066715010878</v>
      </c>
      <c r="AK65" s="106">
        <v>37297.220449601162</v>
      </c>
      <c r="AL65" s="106">
        <v>0</v>
      </c>
      <c r="AM65" s="106">
        <v>0</v>
      </c>
      <c r="AN65" s="106">
        <v>28.817334575955265</v>
      </c>
      <c r="AO65" s="106">
        <v>29566.585274930101</v>
      </c>
      <c r="AP65" s="106">
        <v>0</v>
      </c>
      <c r="AQ65" s="106">
        <v>0</v>
      </c>
      <c r="AR65" s="106">
        <v>18.492818759159746</v>
      </c>
      <c r="AS65" s="106">
        <v>18973.632046897899</v>
      </c>
      <c r="AT65" s="106">
        <v>0</v>
      </c>
      <c r="AU65" s="106">
        <v>0</v>
      </c>
      <c r="AV65" s="106">
        <v>5.4390987800078712</v>
      </c>
      <c r="AW65" s="106">
        <v>5580.515348288076</v>
      </c>
      <c r="AX65" s="106">
        <v>19.081695477148948</v>
      </c>
      <c r="AY65" s="106">
        <v>19577.81955955482</v>
      </c>
      <c r="AZ65" s="106">
        <v>3.6078630053703518</v>
      </c>
      <c r="BA65" s="106">
        <v>3701.6674435099808</v>
      </c>
      <c r="BB65" s="106">
        <v>5.4800408466394357</v>
      </c>
      <c r="BC65" s="106">
        <v>5622.521908652061</v>
      </c>
      <c r="BD65" s="106">
        <v>0</v>
      </c>
      <c r="BE65" s="106">
        <v>0</v>
      </c>
      <c r="BF65" s="106">
        <v>6.9910040085764891</v>
      </c>
      <c r="BG65" s="106">
        <v>7172.7701127994778</v>
      </c>
      <c r="BH65" s="106">
        <v>6.2915282392026581</v>
      </c>
      <c r="BI65" s="106">
        <v>6455.1079734219275</v>
      </c>
      <c r="BJ65" s="106">
        <v>7.0707388441843451</v>
      </c>
      <c r="BK65" s="106">
        <v>7254.5780541331378</v>
      </c>
      <c r="BL65" s="106">
        <v>9.252776110444179</v>
      </c>
      <c r="BM65" s="106">
        <v>9493.348289315727</v>
      </c>
      <c r="BN65" s="106">
        <v>0</v>
      </c>
      <c r="BO65" s="106">
        <v>0</v>
      </c>
      <c r="BP65" s="106">
        <v>6.1040033414728185</v>
      </c>
      <c r="BQ65" s="106">
        <v>6262.707428351112</v>
      </c>
      <c r="BR65" s="106">
        <v>14.303923754319474</v>
      </c>
      <c r="BS65" s="106">
        <v>14675.825771931781</v>
      </c>
      <c r="BT65" s="106">
        <v>0</v>
      </c>
      <c r="BU65" s="106">
        <v>0</v>
      </c>
      <c r="BV65" s="106">
        <v>4.9682708688245318</v>
      </c>
      <c r="BW65" s="106">
        <v>5097.44591141397</v>
      </c>
      <c r="BX65" s="106">
        <v>28.879582315041105</v>
      </c>
      <c r="BY65" s="106">
        <v>29630.451455232174</v>
      </c>
      <c r="BZ65" s="106">
        <v>14.318288328498104</v>
      </c>
      <c r="CA65" s="106">
        <v>14690.563825039055</v>
      </c>
      <c r="CB65" s="106">
        <v>0</v>
      </c>
      <c r="CC65" s="106">
        <v>0</v>
      </c>
      <c r="CD65" s="106">
        <v>18.069492360768852</v>
      </c>
      <c r="CE65" s="106">
        <v>18539.29916214884</v>
      </c>
      <c r="CF65" s="106">
        <v>7.0200549450549445</v>
      </c>
      <c r="CG65" s="106">
        <v>7202.5763736263734</v>
      </c>
      <c r="CH65" s="106">
        <v>4.4821961059463256</v>
      </c>
      <c r="CI65" s="106">
        <v>4598.7332047009304</v>
      </c>
      <c r="CJ65" s="106">
        <v>0</v>
      </c>
      <c r="CK65" s="106">
        <v>0</v>
      </c>
      <c r="CL65" s="106">
        <v>3.3900323082445856</v>
      </c>
      <c r="CM65" s="106">
        <v>3478.1731482589448</v>
      </c>
      <c r="CN65" s="106">
        <v>0</v>
      </c>
      <c r="CO65" s="106">
        <v>0</v>
      </c>
      <c r="CP65" s="106">
        <v>4.0872410032715374</v>
      </c>
      <c r="CQ65" s="106">
        <v>4193.5092693565975</v>
      </c>
      <c r="CR65" s="106">
        <v>2.7865304226660474</v>
      </c>
      <c r="CS65" s="106">
        <v>2858.9802136553649</v>
      </c>
      <c r="CT65" s="106">
        <v>6.7389026743865461</v>
      </c>
      <c r="CU65" s="106">
        <v>6914.1141439205967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9.4209213371029428</v>
      </c>
      <c r="M66" s="106">
        <v>11214.664759687343</v>
      </c>
      <c r="N66" s="106">
        <v>7.506756756756757</v>
      </c>
      <c r="O66" s="106">
        <v>8936.0432432432426</v>
      </c>
      <c r="P66" s="106">
        <v>6.9688012463102655</v>
      </c>
      <c r="Q66" s="106">
        <v>8295.66100360774</v>
      </c>
      <c r="R66" s="106">
        <v>4.5782967032967035</v>
      </c>
      <c r="S66" s="106">
        <v>5450.0043956043955</v>
      </c>
      <c r="T66" s="106">
        <v>0</v>
      </c>
      <c r="U66" s="106">
        <v>0</v>
      </c>
      <c r="V66" s="106">
        <v>7.4204463642908571</v>
      </c>
      <c r="W66" s="106">
        <v>8833.2993520518357</v>
      </c>
      <c r="X66" s="106">
        <v>0</v>
      </c>
      <c r="Y66" s="106">
        <v>0</v>
      </c>
      <c r="Z66" s="106">
        <v>9.7799295774647881</v>
      </c>
      <c r="AA66" s="106">
        <v>11642.028169014082</v>
      </c>
      <c r="AB66" s="106">
        <v>6.0104592450108196</v>
      </c>
      <c r="AC66" s="106">
        <v>7154.8506852608789</v>
      </c>
      <c r="AD66" s="106">
        <v>13.305389221556885</v>
      </c>
      <c r="AE66" s="106">
        <v>15838.735329341314</v>
      </c>
      <c r="AF66" s="106">
        <v>5.7853241510330093</v>
      </c>
      <c r="AG66" s="106">
        <v>6886.8498693896936</v>
      </c>
      <c r="AH66" s="106">
        <v>0</v>
      </c>
      <c r="AI66" s="106">
        <v>0</v>
      </c>
      <c r="AJ66" s="106">
        <v>39.409717186366933</v>
      </c>
      <c r="AK66" s="106">
        <v>46913.327338651194</v>
      </c>
      <c r="AL66" s="106">
        <v>0</v>
      </c>
      <c r="AM66" s="106">
        <v>0</v>
      </c>
      <c r="AN66" s="106">
        <v>29.253960857409133</v>
      </c>
      <c r="AO66" s="106">
        <v>34823.91500465983</v>
      </c>
      <c r="AP66" s="106">
        <v>0</v>
      </c>
      <c r="AQ66" s="106">
        <v>0</v>
      </c>
      <c r="AR66" s="106">
        <v>19.40830483634587</v>
      </c>
      <c r="AS66" s="106">
        <v>23103.64607718612</v>
      </c>
      <c r="AT66" s="106">
        <v>0</v>
      </c>
      <c r="AU66" s="106">
        <v>0</v>
      </c>
      <c r="AV66" s="106">
        <v>5.6234750098386463</v>
      </c>
      <c r="AW66" s="106">
        <v>6694.1846517119238</v>
      </c>
      <c r="AX66" s="106">
        <v>20.634856736916884</v>
      </c>
      <c r="AY66" s="106">
        <v>24563.733459625855</v>
      </c>
      <c r="AZ66" s="106">
        <v>3.9876380585672306</v>
      </c>
      <c r="BA66" s="106">
        <v>4746.8843449184305</v>
      </c>
      <c r="BB66" s="106">
        <v>5.4800408466394357</v>
      </c>
      <c r="BC66" s="106">
        <v>6523.4406238395832</v>
      </c>
      <c r="BD66" s="106">
        <v>0</v>
      </c>
      <c r="BE66" s="106">
        <v>0</v>
      </c>
      <c r="BF66" s="106">
        <v>6.8356483639414556</v>
      </c>
      <c r="BG66" s="106">
        <v>8137.155812435908</v>
      </c>
      <c r="BH66" s="106">
        <v>6.669019933554817</v>
      </c>
      <c r="BI66" s="106">
        <v>7938.8013289036535</v>
      </c>
      <c r="BJ66" s="106">
        <v>6.9488295537673741</v>
      </c>
      <c r="BK66" s="106">
        <v>8271.8867008046818</v>
      </c>
      <c r="BL66" s="106">
        <v>9.252776110444179</v>
      </c>
      <c r="BM66" s="106">
        <v>11014.50468187275</v>
      </c>
      <c r="BN66" s="106">
        <v>0</v>
      </c>
      <c r="BO66" s="106">
        <v>0</v>
      </c>
      <c r="BP66" s="106">
        <v>5.8898277856316668</v>
      </c>
      <c r="BQ66" s="106">
        <v>7011.250996015935</v>
      </c>
      <c r="BR66" s="106">
        <v>14.118158510756885</v>
      </c>
      <c r="BS66" s="106">
        <v>16806.255891204994</v>
      </c>
      <c r="BT66" s="106">
        <v>0</v>
      </c>
      <c r="BU66" s="106">
        <v>0</v>
      </c>
      <c r="BV66" s="106">
        <v>4.7316865417376492</v>
      </c>
      <c r="BW66" s="106">
        <v>5632.5996592844967</v>
      </c>
      <c r="BX66" s="106">
        <v>31.471339702288383</v>
      </c>
      <c r="BY66" s="106">
        <v>37463.482781604085</v>
      </c>
      <c r="BZ66" s="106">
        <v>12.272818567284087</v>
      </c>
      <c r="CA66" s="106">
        <v>14609.563222494975</v>
      </c>
      <c r="CB66" s="106">
        <v>0</v>
      </c>
      <c r="CC66" s="106">
        <v>0</v>
      </c>
      <c r="CD66" s="106">
        <v>18.343272548053228</v>
      </c>
      <c r="CE66" s="106">
        <v>21835.83164120256</v>
      </c>
      <c r="CF66" s="106">
        <v>6.2061355311355317</v>
      </c>
      <c r="CG66" s="106">
        <v>7387.7837362637365</v>
      </c>
      <c r="CH66" s="106">
        <v>5.0668303806349764</v>
      </c>
      <c r="CI66" s="106">
        <v>6031.5548851078756</v>
      </c>
      <c r="CJ66" s="106">
        <v>0</v>
      </c>
      <c r="CK66" s="106">
        <v>0</v>
      </c>
      <c r="CL66" s="106">
        <v>3.7390062223285865</v>
      </c>
      <c r="CM66" s="106">
        <v>4450.9130070599485</v>
      </c>
      <c r="CN66" s="106">
        <v>0</v>
      </c>
      <c r="CO66" s="106">
        <v>0</v>
      </c>
      <c r="CP66" s="106">
        <v>3.9509996364958195</v>
      </c>
      <c r="CQ66" s="106">
        <v>4703.2699672846229</v>
      </c>
      <c r="CR66" s="106">
        <v>2.7865304226660474</v>
      </c>
      <c r="CS66" s="106">
        <v>3317.0858151416624</v>
      </c>
      <c r="CT66" s="106">
        <v>6.7389026743865461</v>
      </c>
      <c r="CU66" s="106">
        <v>8021.9897435897437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10.892940296025278</v>
      </c>
      <c r="M67" s="106">
        <v>12234.950540495593</v>
      </c>
      <c r="N67" s="106">
        <v>6.551351351351351</v>
      </c>
      <c r="O67" s="106">
        <v>7358.4778378378378</v>
      </c>
      <c r="P67" s="106">
        <v>7.5153738930796985</v>
      </c>
      <c r="Q67" s="106">
        <v>8441.2679567071173</v>
      </c>
      <c r="R67" s="106">
        <v>5.320723195723196</v>
      </c>
      <c r="S67" s="106">
        <v>5976.2362934362936</v>
      </c>
      <c r="T67" s="106">
        <v>0</v>
      </c>
      <c r="U67" s="106">
        <v>0</v>
      </c>
      <c r="V67" s="106">
        <v>8.5447564194864398</v>
      </c>
      <c r="W67" s="106">
        <v>9597.4704103671702</v>
      </c>
      <c r="X67" s="106">
        <v>0</v>
      </c>
      <c r="Y67" s="106">
        <v>0</v>
      </c>
      <c r="Z67" s="106">
        <v>8.47593896713615</v>
      </c>
      <c r="AA67" s="106">
        <v>9520.1746478873247</v>
      </c>
      <c r="AB67" s="106">
        <v>6.6115051695119016</v>
      </c>
      <c r="AC67" s="106">
        <v>7426.0426063957684</v>
      </c>
      <c r="AD67" s="106">
        <v>13.780581693755346</v>
      </c>
      <c r="AE67" s="106">
        <v>15478.349358426005</v>
      </c>
      <c r="AF67" s="106">
        <v>5.7853241510330093</v>
      </c>
      <c r="AG67" s="106">
        <v>6498.0760864402764</v>
      </c>
      <c r="AH67" s="106">
        <v>0</v>
      </c>
      <c r="AI67" s="106">
        <v>0</v>
      </c>
      <c r="AJ67" s="106">
        <v>36.352066715010878</v>
      </c>
      <c r="AK67" s="106">
        <v>40830.64133430022</v>
      </c>
      <c r="AL67" s="106">
        <v>0</v>
      </c>
      <c r="AM67" s="106">
        <v>0</v>
      </c>
      <c r="AN67" s="106">
        <v>31.437092264678469</v>
      </c>
      <c r="AO67" s="106">
        <v>35310.142031686861</v>
      </c>
      <c r="AP67" s="106">
        <v>0</v>
      </c>
      <c r="AQ67" s="106">
        <v>0</v>
      </c>
      <c r="AR67" s="106">
        <v>20.140693698094772</v>
      </c>
      <c r="AS67" s="106">
        <v>22622.027161700047</v>
      </c>
      <c r="AT67" s="106">
        <v>0</v>
      </c>
      <c r="AU67" s="106">
        <v>0</v>
      </c>
      <c r="AV67" s="106">
        <v>5.9000393545848091</v>
      </c>
      <c r="AW67" s="106">
        <v>6626.9242030696578</v>
      </c>
      <c r="AX67" s="106">
        <v>20.634856736916884</v>
      </c>
      <c r="AY67" s="106">
        <v>23177.071086905045</v>
      </c>
      <c r="AZ67" s="106">
        <v>3.6078630053703518</v>
      </c>
      <c r="BA67" s="106">
        <v>4052.3517276319794</v>
      </c>
      <c r="BB67" s="106">
        <v>4.9581321945785373</v>
      </c>
      <c r="BC67" s="106">
        <v>5568.9740809506129</v>
      </c>
      <c r="BD67" s="106">
        <v>0</v>
      </c>
      <c r="BE67" s="106">
        <v>0</v>
      </c>
      <c r="BF67" s="106">
        <v>5.9035144961312573</v>
      </c>
      <c r="BG67" s="106">
        <v>6630.8274820546285</v>
      </c>
      <c r="BH67" s="106">
        <v>6.4173588039867111</v>
      </c>
      <c r="BI67" s="106">
        <v>7207.9774086378739</v>
      </c>
      <c r="BJ67" s="106">
        <v>6.9488295537673741</v>
      </c>
      <c r="BK67" s="106">
        <v>7804.925354791515</v>
      </c>
      <c r="BL67" s="106">
        <v>9.3778136254501803</v>
      </c>
      <c r="BM67" s="106">
        <v>10533.160264105643</v>
      </c>
      <c r="BN67" s="106">
        <v>0</v>
      </c>
      <c r="BO67" s="106">
        <v>0</v>
      </c>
      <c r="BP67" s="106">
        <v>5.8898277856316668</v>
      </c>
      <c r="BQ67" s="106">
        <v>6615.4545688214885</v>
      </c>
      <c r="BR67" s="106">
        <v>16.161576189945382</v>
      </c>
      <c r="BS67" s="106">
        <v>18152.682376546654</v>
      </c>
      <c r="BT67" s="106">
        <v>0</v>
      </c>
      <c r="BU67" s="106">
        <v>0</v>
      </c>
      <c r="BV67" s="106">
        <v>5.6780238500851787</v>
      </c>
      <c r="BW67" s="106">
        <v>6377.5563884156727</v>
      </c>
      <c r="BX67" s="106">
        <v>30.360586536325261</v>
      </c>
      <c r="BY67" s="106">
        <v>34101.010797600538</v>
      </c>
      <c r="BZ67" s="106">
        <v>13.574481142602096</v>
      </c>
      <c r="CA67" s="106">
        <v>15246.857219370675</v>
      </c>
      <c r="CB67" s="106">
        <v>0</v>
      </c>
      <c r="CC67" s="106">
        <v>0</v>
      </c>
      <c r="CD67" s="106">
        <v>17.521931986200098</v>
      </c>
      <c r="CE67" s="106">
        <v>19680.634006899953</v>
      </c>
      <c r="CF67" s="106">
        <v>6.3078754578754577</v>
      </c>
      <c r="CG67" s="106">
        <v>7085.005714285714</v>
      </c>
      <c r="CH67" s="106">
        <v>4.5309156288370458</v>
      </c>
      <c r="CI67" s="106">
        <v>5089.1244343097696</v>
      </c>
      <c r="CJ67" s="106">
        <v>0</v>
      </c>
      <c r="CK67" s="106">
        <v>0</v>
      </c>
      <c r="CL67" s="106">
        <v>3.240472059351442</v>
      </c>
      <c r="CM67" s="106">
        <v>3639.6982170635397</v>
      </c>
      <c r="CN67" s="106">
        <v>0</v>
      </c>
      <c r="CO67" s="106">
        <v>0</v>
      </c>
      <c r="CP67" s="106">
        <v>4.2916030534351144</v>
      </c>
      <c r="CQ67" s="106">
        <v>4820.3285496183207</v>
      </c>
      <c r="CR67" s="106">
        <v>3.0961449140733861</v>
      </c>
      <c r="CS67" s="106">
        <v>3477.5899674872276</v>
      </c>
      <c r="CT67" s="106">
        <v>6.432588916459884</v>
      </c>
      <c r="CU67" s="106">
        <v>7225.0838709677419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9.1265175453184764</v>
      </c>
      <c r="M68" s="106">
        <v>9429.5179278230498</v>
      </c>
      <c r="N68" s="106">
        <v>6.4148648648648647</v>
      </c>
      <c r="O68" s="106">
        <v>6627.8383783783784</v>
      </c>
      <c r="P68" s="106">
        <v>6.558871761233191</v>
      </c>
      <c r="Q68" s="106">
        <v>6776.6263037061335</v>
      </c>
      <c r="R68" s="106">
        <v>5.4444609444609444</v>
      </c>
      <c r="S68" s="106">
        <v>5625.2170478170483</v>
      </c>
      <c r="T68" s="106">
        <v>0</v>
      </c>
      <c r="U68" s="106">
        <v>0</v>
      </c>
      <c r="V68" s="106">
        <v>8.5447564194864398</v>
      </c>
      <c r="W68" s="106">
        <v>8828.4423326133892</v>
      </c>
      <c r="X68" s="106">
        <v>0</v>
      </c>
      <c r="Y68" s="106">
        <v>0</v>
      </c>
      <c r="Z68" s="106">
        <v>8.9106025039123633</v>
      </c>
      <c r="AA68" s="106">
        <v>9206.4345070422551</v>
      </c>
      <c r="AB68" s="106">
        <v>6.0104592450108196</v>
      </c>
      <c r="AC68" s="106">
        <v>6210.0064919451788</v>
      </c>
      <c r="AD68" s="106">
        <v>15.681351582549187</v>
      </c>
      <c r="AE68" s="106">
        <v>16201.972455089821</v>
      </c>
      <c r="AF68" s="106">
        <v>6.0078366183804324</v>
      </c>
      <c r="AG68" s="106">
        <v>6207.2967941106626</v>
      </c>
      <c r="AH68" s="106">
        <v>0</v>
      </c>
      <c r="AI68" s="106">
        <v>0</v>
      </c>
      <c r="AJ68" s="106">
        <v>38.390500362581584</v>
      </c>
      <c r="AK68" s="106">
        <v>39665.064974619294</v>
      </c>
      <c r="AL68" s="106">
        <v>0</v>
      </c>
      <c r="AM68" s="106">
        <v>0</v>
      </c>
      <c r="AN68" s="106">
        <v>32.310344827586206</v>
      </c>
      <c r="AO68" s="106">
        <v>33383.048275862071</v>
      </c>
      <c r="AP68" s="106">
        <v>0</v>
      </c>
      <c r="AQ68" s="106">
        <v>0</v>
      </c>
      <c r="AR68" s="106">
        <v>20.873082559843674</v>
      </c>
      <c r="AS68" s="106">
        <v>21566.068900830483</v>
      </c>
      <c r="AT68" s="106">
        <v>0</v>
      </c>
      <c r="AU68" s="106">
        <v>0</v>
      </c>
      <c r="AV68" s="106">
        <v>5.8078512396694215</v>
      </c>
      <c r="AW68" s="106">
        <v>6000.6719008264463</v>
      </c>
      <c r="AX68" s="106">
        <v>21.300497276817431</v>
      </c>
      <c r="AY68" s="106">
        <v>22007.67378640777</v>
      </c>
      <c r="AZ68" s="106">
        <v>4.0825818218664507</v>
      </c>
      <c r="BA68" s="106">
        <v>4218.1235383524172</v>
      </c>
      <c r="BB68" s="106">
        <v>5.8279799480133683</v>
      </c>
      <c r="BC68" s="106">
        <v>6021.4688822874123</v>
      </c>
      <c r="BD68" s="106">
        <v>0</v>
      </c>
      <c r="BE68" s="106">
        <v>0</v>
      </c>
      <c r="BF68" s="106">
        <v>6.8356483639414556</v>
      </c>
      <c r="BG68" s="106">
        <v>7062.591889624312</v>
      </c>
      <c r="BH68" s="106">
        <v>6.9206810631229239</v>
      </c>
      <c r="BI68" s="106">
        <v>7150.4476744186049</v>
      </c>
      <c r="BJ68" s="106">
        <v>7.0707388441843451</v>
      </c>
      <c r="BK68" s="106">
        <v>7305.4873738112656</v>
      </c>
      <c r="BL68" s="106">
        <v>8.7526260504201687</v>
      </c>
      <c r="BM68" s="106">
        <v>9043.2132352941189</v>
      </c>
      <c r="BN68" s="106">
        <v>0</v>
      </c>
      <c r="BO68" s="106">
        <v>0</v>
      </c>
      <c r="BP68" s="106">
        <v>5.8898277856316668</v>
      </c>
      <c r="BQ68" s="106">
        <v>6085.3700681146383</v>
      </c>
      <c r="BR68" s="106">
        <v>14.489688997882064</v>
      </c>
      <c r="BS68" s="106">
        <v>14970.746672611749</v>
      </c>
      <c r="BT68" s="106">
        <v>0</v>
      </c>
      <c r="BU68" s="106">
        <v>0</v>
      </c>
      <c r="BV68" s="106">
        <v>5.0865630323679731</v>
      </c>
      <c r="BW68" s="106">
        <v>5255.4369250425898</v>
      </c>
      <c r="BX68" s="106">
        <v>31.841590757609421</v>
      </c>
      <c r="BY68" s="106">
        <v>32898.731570762058</v>
      </c>
      <c r="BZ68" s="106">
        <v>13.016625753180094</v>
      </c>
      <c r="CA68" s="106">
        <v>13448.777728185674</v>
      </c>
      <c r="CB68" s="106">
        <v>0</v>
      </c>
      <c r="CC68" s="106">
        <v>0</v>
      </c>
      <c r="CD68" s="106">
        <v>17.932602267126665</v>
      </c>
      <c r="CE68" s="106">
        <v>18527.964662395272</v>
      </c>
      <c r="CF68" s="106">
        <v>5.9009157509157513</v>
      </c>
      <c r="CG68" s="106">
        <v>6096.8261538461547</v>
      </c>
      <c r="CH68" s="106">
        <v>5.26170847219786</v>
      </c>
      <c r="CI68" s="106">
        <v>5436.3971934748288</v>
      </c>
      <c r="CJ68" s="106">
        <v>0</v>
      </c>
      <c r="CK68" s="106">
        <v>0</v>
      </c>
      <c r="CL68" s="106">
        <v>3.4897391408400145</v>
      </c>
      <c r="CM68" s="106">
        <v>3605.5984803159031</v>
      </c>
      <c r="CN68" s="106">
        <v>0</v>
      </c>
      <c r="CO68" s="106">
        <v>0</v>
      </c>
      <c r="CP68" s="106">
        <v>4.564085786986551</v>
      </c>
      <c r="CQ68" s="106">
        <v>4715.6134351145047</v>
      </c>
      <c r="CR68" s="106">
        <v>3.0961449140733861</v>
      </c>
      <c r="CS68" s="106">
        <v>3198.9369252206225</v>
      </c>
      <c r="CT68" s="106">
        <v>7.8110008271298597</v>
      </c>
      <c r="CU68" s="106">
        <v>8070.3260545905714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10.304132712456346</v>
      </c>
      <c r="M69" s="106">
        <v>7814.654249126892</v>
      </c>
      <c r="N69" s="106">
        <v>7.916216216216216</v>
      </c>
      <c r="O69" s="106">
        <v>6003.6583783783781</v>
      </c>
      <c r="P69" s="106">
        <v>7.3787307313873409</v>
      </c>
      <c r="Q69" s="106">
        <v>5596.0293866841594</v>
      </c>
      <c r="R69" s="106">
        <v>5.1969854469854475</v>
      </c>
      <c r="S69" s="106">
        <v>3941.3937629937632</v>
      </c>
      <c r="T69" s="106">
        <v>0</v>
      </c>
      <c r="U69" s="106">
        <v>0</v>
      </c>
      <c r="V69" s="106">
        <v>8.9944804415646757</v>
      </c>
      <c r="W69" s="106">
        <v>6821.4139668826501</v>
      </c>
      <c r="X69" s="106">
        <v>0</v>
      </c>
      <c r="Y69" s="106">
        <v>0</v>
      </c>
      <c r="Z69" s="106">
        <v>8.6932707355242567</v>
      </c>
      <c r="AA69" s="106">
        <v>6592.9765258215957</v>
      </c>
      <c r="AB69" s="106">
        <v>6.4111565280115412</v>
      </c>
      <c r="AC69" s="106">
        <v>4862.2211108439524</v>
      </c>
      <c r="AD69" s="106">
        <v>15.681351582549187</v>
      </c>
      <c r="AE69" s="106">
        <v>11892.737040205304</v>
      </c>
      <c r="AF69" s="106">
        <v>6.2303490857278554</v>
      </c>
      <c r="AG69" s="106">
        <v>4725.0967466160055</v>
      </c>
      <c r="AH69" s="106">
        <v>0</v>
      </c>
      <c r="AI69" s="106">
        <v>0</v>
      </c>
      <c r="AJ69" s="106">
        <v>38.390500362581584</v>
      </c>
      <c r="AK69" s="106">
        <v>29115.355474981872</v>
      </c>
      <c r="AL69" s="106">
        <v>0</v>
      </c>
      <c r="AM69" s="106">
        <v>0</v>
      </c>
      <c r="AN69" s="106">
        <v>29.253960857409133</v>
      </c>
      <c r="AO69" s="106">
        <v>22186.203914259087</v>
      </c>
      <c r="AP69" s="106">
        <v>0</v>
      </c>
      <c r="AQ69" s="106">
        <v>0</v>
      </c>
      <c r="AR69" s="106">
        <v>21.239276990718121</v>
      </c>
      <c r="AS69" s="106">
        <v>16107.867669760622</v>
      </c>
      <c r="AT69" s="106">
        <v>0</v>
      </c>
      <c r="AU69" s="106">
        <v>0</v>
      </c>
      <c r="AV69" s="106">
        <v>5.8078512396694215</v>
      </c>
      <c r="AW69" s="106">
        <v>4404.6743801652892</v>
      </c>
      <c r="AX69" s="106">
        <v>21.522377456784277</v>
      </c>
      <c r="AY69" s="106">
        <v>16322.571063225196</v>
      </c>
      <c r="AZ69" s="106">
        <v>4.1775255851656699</v>
      </c>
      <c r="BA69" s="106">
        <v>3168.2354037896439</v>
      </c>
      <c r="BB69" s="106">
        <v>5.8279799480133683</v>
      </c>
      <c r="BC69" s="106">
        <v>4419.9399925733387</v>
      </c>
      <c r="BD69" s="106">
        <v>0</v>
      </c>
      <c r="BE69" s="106">
        <v>0</v>
      </c>
      <c r="BF69" s="106">
        <v>6.5249370746713904</v>
      </c>
      <c r="BG69" s="106">
        <v>4948.512277430782</v>
      </c>
      <c r="BH69" s="106">
        <v>6.5431893687707641</v>
      </c>
      <c r="BI69" s="106">
        <v>4962.3548172757473</v>
      </c>
      <c r="BJ69" s="106">
        <v>7.192648134601316</v>
      </c>
      <c r="BK69" s="106">
        <v>5454.9043452816377</v>
      </c>
      <c r="BL69" s="106">
        <v>9.6278886554621845</v>
      </c>
      <c r="BM69" s="106">
        <v>7301.7907563025201</v>
      </c>
      <c r="BN69" s="106">
        <v>0</v>
      </c>
      <c r="BO69" s="106">
        <v>0</v>
      </c>
      <c r="BP69" s="106">
        <v>6.8536177869168489</v>
      </c>
      <c r="BQ69" s="106">
        <v>5197.7837295977379</v>
      </c>
      <c r="BR69" s="106">
        <v>15.604280459257609</v>
      </c>
      <c r="BS69" s="106">
        <v>11834.28630030097</v>
      </c>
      <c r="BT69" s="106">
        <v>0</v>
      </c>
      <c r="BU69" s="106">
        <v>0</v>
      </c>
      <c r="BV69" s="106">
        <v>5.3231473594548548</v>
      </c>
      <c r="BW69" s="106">
        <v>4037.0749574105616</v>
      </c>
      <c r="BX69" s="106">
        <v>34.06309708953566</v>
      </c>
      <c r="BY69" s="106">
        <v>25833.452832703842</v>
      </c>
      <c r="BZ69" s="106">
        <v>14.876143717920108</v>
      </c>
      <c r="CA69" s="106">
        <v>11282.06739567061</v>
      </c>
      <c r="CB69" s="106">
        <v>0</v>
      </c>
      <c r="CC69" s="106">
        <v>0</v>
      </c>
      <c r="CD69" s="106">
        <v>19.985953671759489</v>
      </c>
      <c r="CE69" s="106">
        <v>15157.347264662396</v>
      </c>
      <c r="CF69" s="106">
        <v>6.4096153846153854</v>
      </c>
      <c r="CG69" s="106">
        <v>4861.0523076923082</v>
      </c>
      <c r="CH69" s="106">
        <v>5.3104279950885811</v>
      </c>
      <c r="CI69" s="106">
        <v>4027.4285914751799</v>
      </c>
      <c r="CJ69" s="106">
        <v>0</v>
      </c>
      <c r="CK69" s="106">
        <v>0</v>
      </c>
      <c r="CL69" s="106">
        <v>3.7888596386263012</v>
      </c>
      <c r="CM69" s="106">
        <v>2873.4711499341865</v>
      </c>
      <c r="CN69" s="106">
        <v>0</v>
      </c>
      <c r="CO69" s="106">
        <v>0</v>
      </c>
      <c r="CP69" s="106">
        <v>4.564085786986551</v>
      </c>
      <c r="CQ69" s="106">
        <v>3461.4026608506001</v>
      </c>
      <c r="CR69" s="106">
        <v>3.4057594054807243</v>
      </c>
      <c r="CS69" s="106">
        <v>2582.9279331165812</v>
      </c>
      <c r="CT69" s="106">
        <v>8.2704714640198507</v>
      </c>
      <c r="CU69" s="106">
        <v>6272.3255583126547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11.187344087809745</v>
      </c>
      <c r="M70" s="106">
        <v>5987.4665557957742</v>
      </c>
      <c r="N70" s="106">
        <v>7.2337837837837835</v>
      </c>
      <c r="O70" s="106">
        <v>3871.5210810810804</v>
      </c>
      <c r="P70" s="106">
        <v>8.1985897015414899</v>
      </c>
      <c r="Q70" s="106">
        <v>4387.8852082650046</v>
      </c>
      <c r="R70" s="106">
        <v>5.9394119394119391</v>
      </c>
      <c r="S70" s="106">
        <v>3178.7732699732696</v>
      </c>
      <c r="T70" s="106">
        <v>0</v>
      </c>
      <c r="U70" s="106">
        <v>0</v>
      </c>
      <c r="V70" s="106">
        <v>9.4442044636429081</v>
      </c>
      <c r="W70" s="106">
        <v>5054.5382289416839</v>
      </c>
      <c r="X70" s="106">
        <v>0</v>
      </c>
      <c r="Y70" s="106">
        <v>0</v>
      </c>
      <c r="Z70" s="106">
        <v>9.3452660406885766</v>
      </c>
      <c r="AA70" s="106">
        <v>5001.5863849765256</v>
      </c>
      <c r="AB70" s="106">
        <v>7.0122024525126223</v>
      </c>
      <c r="AC70" s="106">
        <v>3752.9307525847548</v>
      </c>
      <c r="AD70" s="106">
        <v>14.255774165953806</v>
      </c>
      <c r="AE70" s="106">
        <v>7629.690333618476</v>
      </c>
      <c r="AF70" s="106">
        <v>6.8978864877701263</v>
      </c>
      <c r="AG70" s="106">
        <v>3691.7488482545709</v>
      </c>
      <c r="AH70" s="106">
        <v>0</v>
      </c>
      <c r="AI70" s="106">
        <v>0</v>
      </c>
      <c r="AJ70" s="106">
        <v>44.845540246555473</v>
      </c>
      <c r="AK70" s="106">
        <v>24001.333139956485</v>
      </c>
      <c r="AL70" s="106">
        <v>0</v>
      </c>
      <c r="AM70" s="106">
        <v>0</v>
      </c>
      <c r="AN70" s="106">
        <v>33.183597390493944</v>
      </c>
      <c r="AO70" s="106">
        <v>17759.861323392357</v>
      </c>
      <c r="AP70" s="106">
        <v>0</v>
      </c>
      <c r="AQ70" s="106">
        <v>0</v>
      </c>
      <c r="AR70" s="106">
        <v>20.689985344406448</v>
      </c>
      <c r="AS70" s="106">
        <v>11073.280156326329</v>
      </c>
      <c r="AT70" s="106">
        <v>0</v>
      </c>
      <c r="AU70" s="106">
        <v>0</v>
      </c>
      <c r="AV70" s="106">
        <v>6.1766036993309719</v>
      </c>
      <c r="AW70" s="106">
        <v>3305.7182998819358</v>
      </c>
      <c r="AX70" s="106">
        <v>24.184939616386458</v>
      </c>
      <c r="AY70" s="106">
        <v>12943.77968269003</v>
      </c>
      <c r="AZ70" s="106">
        <v>3.797750531968791</v>
      </c>
      <c r="BA70" s="106">
        <v>2032.5560847096967</v>
      </c>
      <c r="BB70" s="106">
        <v>6.0019494987003341</v>
      </c>
      <c r="BC70" s="106">
        <v>3212.2433717044182</v>
      </c>
      <c r="BD70" s="106">
        <v>0</v>
      </c>
      <c r="BE70" s="106">
        <v>0</v>
      </c>
      <c r="BF70" s="106">
        <v>6.8356483639414556</v>
      </c>
      <c r="BG70" s="106">
        <v>3658.4390043814665</v>
      </c>
      <c r="BH70" s="106">
        <v>8.0531561461794023</v>
      </c>
      <c r="BI70" s="106">
        <v>4310.0491694352158</v>
      </c>
      <c r="BJ70" s="106">
        <v>6.5831016825164594</v>
      </c>
      <c r="BK70" s="106">
        <v>3523.2760204828087</v>
      </c>
      <c r="BL70" s="106">
        <v>11.253376350540217</v>
      </c>
      <c r="BM70" s="106">
        <v>6022.8070228091228</v>
      </c>
      <c r="BN70" s="106">
        <v>0</v>
      </c>
      <c r="BO70" s="106">
        <v>0</v>
      </c>
      <c r="BP70" s="106">
        <v>7.1748811206785756</v>
      </c>
      <c r="BQ70" s="106">
        <v>3839.9963757871733</v>
      </c>
      <c r="BR70" s="106">
        <v>17.833463382008695</v>
      </c>
      <c r="BS70" s="106">
        <v>9544.4696020510528</v>
      </c>
      <c r="BT70" s="106">
        <v>0</v>
      </c>
      <c r="BU70" s="106">
        <v>0</v>
      </c>
      <c r="BV70" s="106">
        <v>6.0329003407155026</v>
      </c>
      <c r="BW70" s="106">
        <v>3228.8082623509367</v>
      </c>
      <c r="BX70" s="106">
        <v>36.284603421461895</v>
      </c>
      <c r="BY70" s="106">
        <v>19419.519751166405</v>
      </c>
      <c r="BZ70" s="106">
        <v>15.248047310868111</v>
      </c>
      <c r="CA70" s="106">
        <v>8160.7549207766124</v>
      </c>
      <c r="CB70" s="106">
        <v>0</v>
      </c>
      <c r="CC70" s="106">
        <v>0</v>
      </c>
      <c r="CD70" s="106">
        <v>18.480162641695419</v>
      </c>
      <c r="CE70" s="106">
        <v>9890.5830458353867</v>
      </c>
      <c r="CF70" s="106">
        <v>7.325274725274725</v>
      </c>
      <c r="CG70" s="106">
        <v>3920.4870329670325</v>
      </c>
      <c r="CH70" s="106">
        <v>5.2129889493071397</v>
      </c>
      <c r="CI70" s="106">
        <v>2789.9916856691807</v>
      </c>
      <c r="CJ70" s="106">
        <v>0</v>
      </c>
      <c r="CK70" s="106">
        <v>0</v>
      </c>
      <c r="CL70" s="106">
        <v>4.2375403853057314</v>
      </c>
      <c r="CM70" s="106">
        <v>2267.9316142156272</v>
      </c>
      <c r="CN70" s="106">
        <v>0</v>
      </c>
      <c r="CO70" s="106">
        <v>0</v>
      </c>
      <c r="CP70" s="106">
        <v>5.1771719374772811</v>
      </c>
      <c r="CQ70" s="106">
        <v>2770.8224209378404</v>
      </c>
      <c r="CR70" s="106">
        <v>2.9413376683697168</v>
      </c>
      <c r="CS70" s="106">
        <v>1574.2039201114721</v>
      </c>
      <c r="CT70" s="106">
        <v>7.8110008271298597</v>
      </c>
      <c r="CU70" s="106">
        <v>4180.4476426799001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27.035889355742299</v>
      </c>
      <c r="M71" s="106">
        <v>15248.241596638656</v>
      </c>
      <c r="N71" s="106">
        <v>23.162491760052735</v>
      </c>
      <c r="O71" s="106">
        <v>13063.645352669742</v>
      </c>
      <c r="P71" s="106">
        <v>25.99901120632828</v>
      </c>
      <c r="Q71" s="106">
        <v>14663.442320369149</v>
      </c>
      <c r="R71" s="106">
        <v>49.445604395604391</v>
      </c>
      <c r="S71" s="106">
        <v>27887.320879120878</v>
      </c>
      <c r="T71" s="106">
        <v>0</v>
      </c>
      <c r="U71" s="106">
        <v>0</v>
      </c>
      <c r="V71" s="106">
        <v>11.265551489806587</v>
      </c>
      <c r="W71" s="106">
        <v>6353.7710402509147</v>
      </c>
      <c r="X71" s="106">
        <v>17.994714707888157</v>
      </c>
      <c r="Y71" s="106">
        <v>10149.019095248921</v>
      </c>
      <c r="Z71" s="106">
        <v>11.651756902115453</v>
      </c>
      <c r="AA71" s="106">
        <v>6571.5908927931159</v>
      </c>
      <c r="AB71" s="106">
        <v>27.552800000000001</v>
      </c>
      <c r="AC71" s="106">
        <v>15539.779200000001</v>
      </c>
      <c r="AD71" s="106">
        <v>0</v>
      </c>
      <c r="AE71" s="106">
        <v>0</v>
      </c>
      <c r="AF71" s="106">
        <v>44</v>
      </c>
      <c r="AG71" s="106">
        <v>24816</v>
      </c>
      <c r="AH71" s="106">
        <v>32.433810375670845</v>
      </c>
      <c r="AI71" s="106">
        <v>18292.669051878358</v>
      </c>
      <c r="AJ71" s="106">
        <v>0</v>
      </c>
      <c r="AK71" s="106">
        <v>0</v>
      </c>
      <c r="AL71" s="106">
        <v>18.383992525692928</v>
      </c>
      <c r="AM71" s="106">
        <v>10368.571784490812</v>
      </c>
      <c r="AN71" s="106">
        <v>20.298009367681498</v>
      </c>
      <c r="AO71" s="106">
        <v>11448.077283372364</v>
      </c>
      <c r="AP71" s="106">
        <v>15.539777144337911</v>
      </c>
      <c r="AQ71" s="106">
        <v>8764.4343094065825</v>
      </c>
      <c r="AR71" s="106">
        <v>0</v>
      </c>
      <c r="AS71" s="106">
        <v>0</v>
      </c>
      <c r="AT71" s="106">
        <v>92.173558897243097</v>
      </c>
      <c r="AU71" s="106">
        <v>51985.887218045107</v>
      </c>
      <c r="AV71" s="106">
        <v>47.619495358248031</v>
      </c>
      <c r="AW71" s="106">
        <v>26857.395382051891</v>
      </c>
      <c r="AX71" s="106">
        <v>37.318138195777351</v>
      </c>
      <c r="AY71" s="106">
        <v>21047.429942418425</v>
      </c>
      <c r="AZ71" s="106">
        <v>35</v>
      </c>
      <c r="BA71" s="106">
        <v>19740</v>
      </c>
      <c r="BB71" s="106">
        <v>24.08420009905894</v>
      </c>
      <c r="BC71" s="106">
        <v>13583.488855869242</v>
      </c>
      <c r="BD71" s="106">
        <v>14.687553740326742</v>
      </c>
      <c r="BE71" s="106">
        <v>8283.7803095442814</v>
      </c>
      <c r="BF71" s="106">
        <v>12.005202774813235</v>
      </c>
      <c r="BG71" s="106">
        <v>6770.9343649946641</v>
      </c>
      <c r="BH71" s="106">
        <v>33.605400354121585</v>
      </c>
      <c r="BI71" s="106">
        <v>18953.445799724574</v>
      </c>
      <c r="BJ71" s="106">
        <v>0</v>
      </c>
      <c r="BK71" s="106">
        <v>0</v>
      </c>
      <c r="BL71" s="106">
        <v>28.659009240246409</v>
      </c>
      <c r="BM71" s="106">
        <v>16163.681211498975</v>
      </c>
      <c r="BN71" s="106">
        <v>29.318055555555556</v>
      </c>
      <c r="BO71" s="106">
        <v>16535.383333333335</v>
      </c>
      <c r="BP71" s="106">
        <v>16.024038461538463</v>
      </c>
      <c r="BQ71" s="106">
        <v>9037.5576923076933</v>
      </c>
      <c r="BR71" s="106">
        <v>14.403365207796984</v>
      </c>
      <c r="BS71" s="106">
        <v>8123.4979771974986</v>
      </c>
      <c r="BT71" s="106">
        <v>0</v>
      </c>
      <c r="BU71" s="106">
        <v>0</v>
      </c>
      <c r="BV71" s="106">
        <v>23.525081925888582</v>
      </c>
      <c r="BW71" s="106">
        <v>13268.14620620116</v>
      </c>
      <c r="BX71" s="106">
        <v>15.449629171817056</v>
      </c>
      <c r="BY71" s="106">
        <v>8713.5908529048193</v>
      </c>
      <c r="BZ71" s="106">
        <v>0</v>
      </c>
      <c r="CA71" s="106">
        <v>0</v>
      </c>
      <c r="CB71" s="106">
        <v>25.729809976247029</v>
      </c>
      <c r="CC71" s="106">
        <v>14511.612826603325</v>
      </c>
      <c r="CD71" s="106">
        <v>12.61519798136646</v>
      </c>
      <c r="CE71" s="106">
        <v>7114.9716614906838</v>
      </c>
      <c r="CF71" s="106">
        <v>19.339629629629631</v>
      </c>
      <c r="CG71" s="106">
        <v>10907.551111111112</v>
      </c>
      <c r="CH71" s="106">
        <v>13.659836065573771</v>
      </c>
      <c r="CI71" s="106">
        <v>7704.1475409836066</v>
      </c>
      <c r="CJ71" s="106">
        <v>16.085907335907336</v>
      </c>
      <c r="CK71" s="106">
        <v>9072.4517374517382</v>
      </c>
      <c r="CL71" s="106">
        <v>0</v>
      </c>
      <c r="CM71" s="106">
        <v>0</v>
      </c>
      <c r="CN71" s="106">
        <v>15.82918817456593</v>
      </c>
      <c r="CO71" s="106">
        <v>8927.6621304551845</v>
      </c>
      <c r="CP71" s="106">
        <v>18.290853658536584</v>
      </c>
      <c r="CQ71" s="106">
        <v>10316.041463414633</v>
      </c>
      <c r="CR71" s="106">
        <v>15.32178976402084</v>
      </c>
      <c r="CS71" s="106">
        <v>8641.489426907754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27.230392156862745</v>
      </c>
      <c r="M72" s="106">
        <v>2025.9411764705881</v>
      </c>
      <c r="N72" s="106">
        <v>23.162491760052735</v>
      </c>
      <c r="O72" s="106">
        <v>1723.2893869479233</v>
      </c>
      <c r="P72" s="106">
        <v>25.815919578114698</v>
      </c>
      <c r="Q72" s="106">
        <v>1920.7044166117334</v>
      </c>
      <c r="R72" s="106">
        <v>50.819093406593403</v>
      </c>
      <c r="S72" s="106">
        <v>3780.9405494505486</v>
      </c>
      <c r="T72" s="106">
        <v>0</v>
      </c>
      <c r="U72" s="106">
        <v>0</v>
      </c>
      <c r="V72" s="106">
        <v>13.224777835859905</v>
      </c>
      <c r="W72" s="106">
        <v>983.92347098797688</v>
      </c>
      <c r="X72" s="106">
        <v>19.699477153898613</v>
      </c>
      <c r="Y72" s="106">
        <v>1465.6411002500565</v>
      </c>
      <c r="Z72" s="106">
        <v>12.697427393330944</v>
      </c>
      <c r="AA72" s="106">
        <v>944.68859806382216</v>
      </c>
      <c r="AB72" s="106">
        <v>29.330400000000001</v>
      </c>
      <c r="AC72" s="106">
        <v>2182.1817599999999</v>
      </c>
      <c r="AD72" s="106">
        <v>0</v>
      </c>
      <c r="AE72" s="106">
        <v>0</v>
      </c>
      <c r="AF72" s="106">
        <v>45</v>
      </c>
      <c r="AG72" s="106">
        <v>3347.9999999999995</v>
      </c>
      <c r="AH72" s="106">
        <v>32.884279964221825</v>
      </c>
      <c r="AI72" s="106">
        <v>2446.5904293381036</v>
      </c>
      <c r="AJ72" s="106">
        <v>0</v>
      </c>
      <c r="AK72" s="106">
        <v>0</v>
      </c>
      <c r="AL72" s="106">
        <v>18.967611336032387</v>
      </c>
      <c r="AM72" s="106">
        <v>1411.1902834008094</v>
      </c>
      <c r="AN72" s="106">
        <v>21.120901639344265</v>
      </c>
      <c r="AO72" s="106">
        <v>1571.3950819672132</v>
      </c>
      <c r="AP72" s="106">
        <v>15.29696812645763</v>
      </c>
      <c r="AQ72" s="106">
        <v>1138.0944286084475</v>
      </c>
      <c r="AR72" s="106">
        <v>0</v>
      </c>
      <c r="AS72" s="106">
        <v>0</v>
      </c>
      <c r="AT72" s="106">
        <v>95.109022556390968</v>
      </c>
      <c r="AU72" s="106">
        <v>7076.1112781954871</v>
      </c>
      <c r="AV72" s="106">
        <v>45.500595096405618</v>
      </c>
      <c r="AW72" s="106">
        <v>3385.2442751725775</v>
      </c>
      <c r="AX72" s="106">
        <v>43.050743761996159</v>
      </c>
      <c r="AY72" s="106">
        <v>3202.9753358925141</v>
      </c>
      <c r="AZ72" s="106">
        <v>37</v>
      </c>
      <c r="BA72" s="106">
        <v>2752.7999999999997</v>
      </c>
      <c r="BB72" s="106">
        <v>25.846458642892518</v>
      </c>
      <c r="BC72" s="106">
        <v>1922.9765230312032</v>
      </c>
      <c r="BD72" s="106">
        <v>14.329320722269991</v>
      </c>
      <c r="BE72" s="106">
        <v>1066.1014617368871</v>
      </c>
      <c r="BF72" s="106">
        <v>12.005202774813235</v>
      </c>
      <c r="BG72" s="106">
        <v>893.18708644610456</v>
      </c>
      <c r="BH72" s="106">
        <v>34.916830611843402</v>
      </c>
      <c r="BI72" s="106">
        <v>2597.8121975211488</v>
      </c>
      <c r="BJ72" s="106">
        <v>0</v>
      </c>
      <c r="BK72" s="106">
        <v>0</v>
      </c>
      <c r="BL72" s="106">
        <v>32.936473305954827</v>
      </c>
      <c r="BM72" s="106">
        <v>2450.473613963039</v>
      </c>
      <c r="BN72" s="106">
        <v>31.742857142857147</v>
      </c>
      <c r="BO72" s="106">
        <v>2361.6685714285713</v>
      </c>
      <c r="BP72" s="106">
        <v>17.025540865384617</v>
      </c>
      <c r="BQ72" s="106">
        <v>1266.7002403846154</v>
      </c>
      <c r="BR72" s="106">
        <v>13.790456050018388</v>
      </c>
      <c r="BS72" s="106">
        <v>1026.0099301213679</v>
      </c>
      <c r="BT72" s="106">
        <v>0</v>
      </c>
      <c r="BU72" s="106">
        <v>0</v>
      </c>
      <c r="BV72" s="106">
        <v>26.885807915301235</v>
      </c>
      <c r="BW72" s="106">
        <v>2000.3041088984116</v>
      </c>
      <c r="BX72" s="106">
        <v>17.509579728059332</v>
      </c>
      <c r="BY72" s="106">
        <v>1302.7127317676143</v>
      </c>
      <c r="BZ72" s="106">
        <v>0</v>
      </c>
      <c r="CA72" s="106">
        <v>0</v>
      </c>
      <c r="CB72" s="106">
        <v>23.75059382422803</v>
      </c>
      <c r="CC72" s="106">
        <v>1767.0441805225653</v>
      </c>
      <c r="CD72" s="106">
        <v>13.42386451863354</v>
      </c>
      <c r="CE72" s="106">
        <v>998.73552018633529</v>
      </c>
      <c r="CF72" s="106">
        <v>20.162592592592592</v>
      </c>
      <c r="CG72" s="106">
        <v>1500.0968888888888</v>
      </c>
      <c r="CH72" s="106">
        <v>14.4403981264637</v>
      </c>
      <c r="CI72" s="106">
        <v>1074.3656206088992</v>
      </c>
      <c r="CJ72" s="106">
        <v>16.545504688361831</v>
      </c>
      <c r="CK72" s="106">
        <v>1230.98554881412</v>
      </c>
      <c r="CL72" s="106">
        <v>0</v>
      </c>
      <c r="CM72" s="106">
        <v>0</v>
      </c>
      <c r="CN72" s="106">
        <v>17.587986860628813</v>
      </c>
      <c r="CO72" s="106">
        <v>1308.5462224307835</v>
      </c>
      <c r="CP72" s="106">
        <v>21.484494773519163</v>
      </c>
      <c r="CQ72" s="106">
        <v>1598.4464111498255</v>
      </c>
      <c r="CR72" s="106">
        <v>16.343242414955562</v>
      </c>
      <c r="CS72" s="106">
        <v>1215.9372356726935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25.090861344537817</v>
      </c>
      <c r="M73" s="106">
        <v>14030.809663865546</v>
      </c>
      <c r="N73" s="106">
        <v>22.235992089650626</v>
      </c>
      <c r="O73" s="106">
        <v>12434.366776532628</v>
      </c>
      <c r="P73" s="106">
        <v>25.083553065260382</v>
      </c>
      <c r="Q73" s="106">
        <v>14026.722874093604</v>
      </c>
      <c r="R73" s="106">
        <v>48.529945054945053</v>
      </c>
      <c r="S73" s="106">
        <v>27137.945274725269</v>
      </c>
      <c r="T73" s="106">
        <v>0</v>
      </c>
      <c r="U73" s="106">
        <v>0</v>
      </c>
      <c r="V73" s="106">
        <v>11.510454783063251</v>
      </c>
      <c r="W73" s="106">
        <v>6436.6463146889691</v>
      </c>
      <c r="X73" s="106">
        <v>17.426460559218004</v>
      </c>
      <c r="Y73" s="106">
        <v>9744.8767447147075</v>
      </c>
      <c r="Z73" s="106">
        <v>12.548045894585874</v>
      </c>
      <c r="AA73" s="106">
        <v>7016.8672642524198</v>
      </c>
      <c r="AB73" s="106">
        <v>29.330400000000001</v>
      </c>
      <c r="AC73" s="106">
        <v>16401.559679999998</v>
      </c>
      <c r="AD73" s="106">
        <v>0</v>
      </c>
      <c r="AE73" s="106">
        <v>0</v>
      </c>
      <c r="AF73" s="106">
        <v>45</v>
      </c>
      <c r="AG73" s="106">
        <v>25163.999999999996</v>
      </c>
      <c r="AH73" s="106">
        <v>33.334749552772813</v>
      </c>
      <c r="AI73" s="106">
        <v>18640.791949910556</v>
      </c>
      <c r="AJ73" s="106">
        <v>0</v>
      </c>
      <c r="AK73" s="106">
        <v>0</v>
      </c>
      <c r="AL73" s="106">
        <v>21.010277172220494</v>
      </c>
      <c r="AM73" s="106">
        <v>11748.946994705699</v>
      </c>
      <c r="AN73" s="106">
        <v>20.023711943793909</v>
      </c>
      <c r="AO73" s="106">
        <v>11197.259718969553</v>
      </c>
      <c r="AP73" s="106">
        <v>14.082923037056233</v>
      </c>
      <c r="AQ73" s="106">
        <v>7875.170562321844</v>
      </c>
      <c r="AR73" s="106">
        <v>0</v>
      </c>
      <c r="AS73" s="106">
        <v>0</v>
      </c>
      <c r="AT73" s="106">
        <v>81.899436090225564</v>
      </c>
      <c r="AU73" s="106">
        <v>45798.164661654133</v>
      </c>
      <c r="AV73" s="106">
        <v>44.719947631516305</v>
      </c>
      <c r="AW73" s="106">
        <v>25007.394715543916</v>
      </c>
      <c r="AX73" s="106">
        <v>38.3297744721689</v>
      </c>
      <c r="AY73" s="106">
        <v>21434.009884836847</v>
      </c>
      <c r="AZ73" s="106">
        <v>36</v>
      </c>
      <c r="BA73" s="106">
        <v>20131.199999999997</v>
      </c>
      <c r="BB73" s="106">
        <v>20.55968301139178</v>
      </c>
      <c r="BC73" s="106">
        <v>11496.974739970281</v>
      </c>
      <c r="BD73" s="106">
        <v>13.61285468615649</v>
      </c>
      <c r="BE73" s="106">
        <v>7612.3083404987083</v>
      </c>
      <c r="BF73" s="106">
        <v>10.671291355389542</v>
      </c>
      <c r="BG73" s="106">
        <v>5967.386125933831</v>
      </c>
      <c r="BH73" s="106">
        <v>31.146468620893177</v>
      </c>
      <c r="BI73" s="106">
        <v>17417.105252803463</v>
      </c>
      <c r="BJ73" s="106">
        <v>0</v>
      </c>
      <c r="BK73" s="106">
        <v>0</v>
      </c>
      <c r="BL73" s="106">
        <v>28.872882443531829</v>
      </c>
      <c r="BM73" s="106">
        <v>16145.715862422996</v>
      </c>
      <c r="BN73" s="106">
        <v>29.538492063492061</v>
      </c>
      <c r="BO73" s="106">
        <v>16517.92476190476</v>
      </c>
      <c r="BP73" s="106">
        <v>16.024038461538463</v>
      </c>
      <c r="BQ73" s="106">
        <v>8960.6423076923074</v>
      </c>
      <c r="BR73" s="106">
        <v>15.01627436557558</v>
      </c>
      <c r="BS73" s="106">
        <v>8397.100625229863</v>
      </c>
      <c r="BT73" s="106">
        <v>0</v>
      </c>
      <c r="BU73" s="106">
        <v>0</v>
      </c>
      <c r="BV73" s="106">
        <v>22.264809679858836</v>
      </c>
      <c r="BW73" s="106">
        <v>12450.48157297706</v>
      </c>
      <c r="BX73" s="106">
        <v>17.509579728059332</v>
      </c>
      <c r="BY73" s="106">
        <v>9791.3569839307784</v>
      </c>
      <c r="BZ73" s="106">
        <v>0</v>
      </c>
      <c r="CA73" s="106">
        <v>0</v>
      </c>
      <c r="CB73" s="106">
        <v>24.74020190023753</v>
      </c>
      <c r="CC73" s="106">
        <v>13834.720902612826</v>
      </c>
      <c r="CD73" s="106">
        <v>11.483064829192546</v>
      </c>
      <c r="CE73" s="106">
        <v>6421.3298524844713</v>
      </c>
      <c r="CF73" s="106">
        <v>20.574074074074073</v>
      </c>
      <c r="CG73" s="106">
        <v>11505.02222222222</v>
      </c>
      <c r="CH73" s="106">
        <v>12.098711943793912</v>
      </c>
      <c r="CI73" s="106">
        <v>6765.5997189695545</v>
      </c>
      <c r="CJ73" s="106">
        <v>14.247517926089353</v>
      </c>
      <c r="CK73" s="106">
        <v>7967.2120242691653</v>
      </c>
      <c r="CL73" s="106">
        <v>0</v>
      </c>
      <c r="CM73" s="106">
        <v>0</v>
      </c>
      <c r="CN73" s="106">
        <v>18.907085875175973</v>
      </c>
      <c r="CO73" s="106">
        <v>10572.842421398404</v>
      </c>
      <c r="CP73" s="106">
        <v>17.129529616724739</v>
      </c>
      <c r="CQ73" s="106">
        <v>9578.8329616724732</v>
      </c>
      <c r="CR73" s="106">
        <v>18.130784554091328</v>
      </c>
      <c r="CS73" s="106">
        <v>10138.734722647869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28.008403361344538</v>
      </c>
      <c r="M74" s="106">
        <v>11292.988235294117</v>
      </c>
      <c r="N74" s="106">
        <v>25.324324324324326</v>
      </c>
      <c r="O74" s="106">
        <v>10210.767567567567</v>
      </c>
      <c r="P74" s="106">
        <v>26.182102834541858</v>
      </c>
      <c r="Q74" s="106">
        <v>10556.623862887276</v>
      </c>
      <c r="R74" s="106">
        <v>47.156456043956041</v>
      </c>
      <c r="S74" s="106">
        <v>19013.483076923076</v>
      </c>
      <c r="T74" s="106">
        <v>0</v>
      </c>
      <c r="U74" s="106">
        <v>0</v>
      </c>
      <c r="V74" s="106">
        <v>11.755358076319917</v>
      </c>
      <c r="W74" s="106">
        <v>4739.76037637219</v>
      </c>
      <c r="X74" s="106">
        <v>18.562968856558307</v>
      </c>
      <c r="Y74" s="106">
        <v>7484.5890429643086</v>
      </c>
      <c r="Z74" s="106">
        <v>12.099901398350664</v>
      </c>
      <c r="AA74" s="106">
        <v>4878.6802438149871</v>
      </c>
      <c r="AB74" s="106">
        <v>31.108000000000004</v>
      </c>
      <c r="AC74" s="106">
        <v>12542.745600000002</v>
      </c>
      <c r="AD74" s="106">
        <v>0</v>
      </c>
      <c r="AE74" s="106">
        <v>0</v>
      </c>
      <c r="AF74" s="106">
        <v>44</v>
      </c>
      <c r="AG74" s="106">
        <v>17740.8</v>
      </c>
      <c r="AH74" s="106">
        <v>29.280523255813954</v>
      </c>
      <c r="AI74" s="106">
        <v>11805.906976744185</v>
      </c>
      <c r="AJ74" s="106">
        <v>0</v>
      </c>
      <c r="AK74" s="106">
        <v>0</v>
      </c>
      <c r="AL74" s="106">
        <v>18.967611336032387</v>
      </c>
      <c r="AM74" s="106">
        <v>7647.7408906882583</v>
      </c>
      <c r="AN74" s="106">
        <v>17.829332552693209</v>
      </c>
      <c r="AO74" s="106">
        <v>7188.7868852459014</v>
      </c>
      <c r="AP74" s="106">
        <v>16.025395180098471</v>
      </c>
      <c r="AQ74" s="106">
        <v>6461.4393366157028</v>
      </c>
      <c r="AR74" s="106">
        <v>0</v>
      </c>
      <c r="AS74" s="106">
        <v>0</v>
      </c>
      <c r="AT74" s="106">
        <v>91.586466165413526</v>
      </c>
      <c r="AU74" s="106">
        <v>36927.663157894734</v>
      </c>
      <c r="AV74" s="106">
        <v>42.266484170435611</v>
      </c>
      <c r="AW74" s="106">
        <v>17041.846417519639</v>
      </c>
      <c r="AX74" s="106">
        <v>45.523632437619966</v>
      </c>
      <c r="AY74" s="106">
        <v>18355.128598848369</v>
      </c>
      <c r="AZ74" s="106">
        <v>34</v>
      </c>
      <c r="BA74" s="106">
        <v>13708.8</v>
      </c>
      <c r="BB74" s="106">
        <v>22.321941555225358</v>
      </c>
      <c r="BC74" s="106">
        <v>9000.2068350668633</v>
      </c>
      <c r="BD74" s="106">
        <v>13.61285468615649</v>
      </c>
      <c r="BE74" s="106">
        <v>5488.7030094582969</v>
      </c>
      <c r="BF74" s="106">
        <v>11.115928495197439</v>
      </c>
      <c r="BG74" s="106">
        <v>4481.9423692636074</v>
      </c>
      <c r="BH74" s="106">
        <v>34.752901829628172</v>
      </c>
      <c r="BI74" s="106">
        <v>14012.370017706078</v>
      </c>
      <c r="BJ74" s="106">
        <v>0</v>
      </c>
      <c r="BK74" s="106">
        <v>0</v>
      </c>
      <c r="BL74" s="106">
        <v>30.156121663244356</v>
      </c>
      <c r="BM74" s="106">
        <v>12158.948254620123</v>
      </c>
      <c r="BN74" s="106">
        <v>28.656746031746032</v>
      </c>
      <c r="BO74" s="106">
        <v>11554.4</v>
      </c>
      <c r="BP74" s="106">
        <v>16.524789663461537</v>
      </c>
      <c r="BQ74" s="106">
        <v>6662.7951923076917</v>
      </c>
      <c r="BR74" s="106">
        <v>13.790456050018388</v>
      </c>
      <c r="BS74" s="106">
        <v>5560.3118793674139</v>
      </c>
      <c r="BT74" s="106">
        <v>0</v>
      </c>
      <c r="BU74" s="106">
        <v>0</v>
      </c>
      <c r="BV74" s="106">
        <v>26.465717166624653</v>
      </c>
      <c r="BW74" s="106">
        <v>10670.97716158306</v>
      </c>
      <c r="BX74" s="106">
        <v>16.89159456118665</v>
      </c>
      <c r="BY74" s="106">
        <v>6810.6909270704573</v>
      </c>
      <c r="BZ74" s="106">
        <v>0</v>
      </c>
      <c r="CA74" s="106">
        <v>0</v>
      </c>
      <c r="CB74" s="106">
        <v>25.070071258907365</v>
      </c>
      <c r="CC74" s="106">
        <v>10108.252731591449</v>
      </c>
      <c r="CD74" s="106">
        <v>11.968264751552795</v>
      </c>
      <c r="CE74" s="106">
        <v>4825.6043478260863</v>
      </c>
      <c r="CF74" s="106">
        <v>20.162592592592592</v>
      </c>
      <c r="CG74" s="106">
        <v>8129.5573333333332</v>
      </c>
      <c r="CH74" s="106">
        <v>14.050117096018734</v>
      </c>
      <c r="CI74" s="106">
        <v>5665.0072131147535</v>
      </c>
      <c r="CJ74" s="106">
        <v>17.005102040816325</v>
      </c>
      <c r="CK74" s="106">
        <v>6856.4571428571426</v>
      </c>
      <c r="CL74" s="106">
        <v>0</v>
      </c>
      <c r="CM74" s="106">
        <v>0</v>
      </c>
      <c r="CN74" s="106">
        <v>16.26888784608165</v>
      </c>
      <c r="CO74" s="106">
        <v>6559.615579540121</v>
      </c>
      <c r="CP74" s="106">
        <v>18.000522648083624</v>
      </c>
      <c r="CQ74" s="106">
        <v>7257.8107317073172</v>
      </c>
      <c r="CR74" s="106">
        <v>17.364695065890285</v>
      </c>
      <c r="CS74" s="106">
        <v>7001.4450505669629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24.507352941176471</v>
      </c>
      <c r="M75" s="106">
        <v>15763.129411764705</v>
      </c>
      <c r="N75" s="106">
        <v>23.471324983520105</v>
      </c>
      <c r="O75" s="106">
        <v>15096.756229400131</v>
      </c>
      <c r="P75" s="106">
        <v>22.88645352669743</v>
      </c>
      <c r="Q75" s="106">
        <v>14720.566908371786</v>
      </c>
      <c r="R75" s="106">
        <v>46.698626373626375</v>
      </c>
      <c r="S75" s="106">
        <v>30036.556483516481</v>
      </c>
      <c r="T75" s="106">
        <v>0</v>
      </c>
      <c r="U75" s="106">
        <v>0</v>
      </c>
      <c r="V75" s="106">
        <v>11.265551489806587</v>
      </c>
      <c r="W75" s="106">
        <v>7246.0027182435961</v>
      </c>
      <c r="X75" s="106">
        <v>16.858206410547851</v>
      </c>
      <c r="Y75" s="106">
        <v>10843.198363264377</v>
      </c>
      <c r="Z75" s="106">
        <v>12.548045894585874</v>
      </c>
      <c r="AA75" s="106">
        <v>8070.9031193976334</v>
      </c>
      <c r="AB75" s="106">
        <v>30.219200000000001</v>
      </c>
      <c r="AC75" s="106">
        <v>19436.989439999998</v>
      </c>
      <c r="AD75" s="106">
        <v>0</v>
      </c>
      <c r="AE75" s="106">
        <v>0</v>
      </c>
      <c r="AF75" s="106">
        <v>42</v>
      </c>
      <c r="AG75" s="106">
        <v>27014.399999999998</v>
      </c>
      <c r="AH75" s="106">
        <v>28.379584078711986</v>
      </c>
      <c r="AI75" s="106">
        <v>18253.748479427548</v>
      </c>
      <c r="AJ75" s="106">
        <v>0</v>
      </c>
      <c r="AK75" s="106">
        <v>0</v>
      </c>
      <c r="AL75" s="106">
        <v>19.259420741202117</v>
      </c>
      <c r="AM75" s="106">
        <v>12387.6594207412</v>
      </c>
      <c r="AN75" s="106">
        <v>18.926522248243561</v>
      </c>
      <c r="AO75" s="106">
        <v>12173.539110070256</v>
      </c>
      <c r="AP75" s="106">
        <v>15.054159108577352</v>
      </c>
      <c r="AQ75" s="106">
        <v>9682.8351386369523</v>
      </c>
      <c r="AR75" s="106">
        <v>0</v>
      </c>
      <c r="AS75" s="106">
        <v>0</v>
      </c>
      <c r="AT75" s="106">
        <v>83.660714285714292</v>
      </c>
      <c r="AU75" s="106">
        <v>53810.571428571428</v>
      </c>
      <c r="AV75" s="106">
        <v>38.586288978814565</v>
      </c>
      <c r="AW75" s="106">
        <v>24818.701071173527</v>
      </c>
      <c r="AX75" s="106">
        <v>42.488723608445298</v>
      </c>
      <c r="AY75" s="106">
        <v>27328.747024952012</v>
      </c>
      <c r="AZ75" s="106">
        <v>37</v>
      </c>
      <c r="BA75" s="106">
        <v>23798.399999999998</v>
      </c>
      <c r="BB75" s="106">
        <v>21.734522040614166</v>
      </c>
      <c r="BC75" s="106">
        <v>13979.644576523031</v>
      </c>
      <c r="BD75" s="106">
        <v>15.045786758383493</v>
      </c>
      <c r="BE75" s="106">
        <v>9677.4500429922609</v>
      </c>
      <c r="BF75" s="106">
        <v>12.449839914621132</v>
      </c>
      <c r="BG75" s="106">
        <v>8007.7370330843114</v>
      </c>
      <c r="BH75" s="106">
        <v>32.949685225260673</v>
      </c>
      <c r="BI75" s="106">
        <v>21193.237536887664</v>
      </c>
      <c r="BJ75" s="106">
        <v>0</v>
      </c>
      <c r="BK75" s="106">
        <v>0</v>
      </c>
      <c r="BL75" s="106">
        <v>25.664784394250511</v>
      </c>
      <c r="BM75" s="106">
        <v>16507.589322381926</v>
      </c>
      <c r="BN75" s="106">
        <v>30.861111111111111</v>
      </c>
      <c r="BO75" s="106">
        <v>19849.866666666665</v>
      </c>
      <c r="BP75" s="106">
        <v>14.521784855769232</v>
      </c>
      <c r="BQ75" s="106">
        <v>9340.4120192307691</v>
      </c>
      <c r="BR75" s="106">
        <v>14.403365207796984</v>
      </c>
      <c r="BS75" s="106">
        <v>9264.2445016550191</v>
      </c>
      <c r="BT75" s="106">
        <v>0</v>
      </c>
      <c r="BU75" s="106">
        <v>0</v>
      </c>
      <c r="BV75" s="106">
        <v>23.525081925888582</v>
      </c>
      <c r="BW75" s="106">
        <v>15131.332694731535</v>
      </c>
      <c r="BX75" s="106">
        <v>16.273609394313969</v>
      </c>
      <c r="BY75" s="106">
        <v>10467.185562422743</v>
      </c>
      <c r="BZ75" s="106">
        <v>0</v>
      </c>
      <c r="CA75" s="106">
        <v>0</v>
      </c>
      <c r="CB75" s="106">
        <v>24.080463182897862</v>
      </c>
      <c r="CC75" s="106">
        <v>15488.553919239903</v>
      </c>
      <c r="CD75" s="106">
        <v>11.806531444099379</v>
      </c>
      <c r="CE75" s="106">
        <v>7593.9610248447198</v>
      </c>
      <c r="CF75" s="106">
        <v>18.105185185185185</v>
      </c>
      <c r="CG75" s="106">
        <v>11645.25511111111</v>
      </c>
      <c r="CH75" s="106">
        <v>14.050117096018734</v>
      </c>
      <c r="CI75" s="106">
        <v>9037.0353161592484</v>
      </c>
      <c r="CJ75" s="106">
        <v>16.545504688361831</v>
      </c>
      <c r="CK75" s="106">
        <v>10642.068615554328</v>
      </c>
      <c r="CL75" s="106">
        <v>0</v>
      </c>
      <c r="CM75" s="106">
        <v>0</v>
      </c>
      <c r="CN75" s="106">
        <v>15.82918817456593</v>
      </c>
      <c r="CO75" s="106">
        <v>10181.333833880804</v>
      </c>
      <c r="CP75" s="106">
        <v>18.87151567944251</v>
      </c>
      <c r="CQ75" s="106">
        <v>12138.158885017421</v>
      </c>
      <c r="CR75" s="106">
        <v>16.598605577689241</v>
      </c>
      <c r="CS75" s="106">
        <v>10676.223107569718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26.063375350140056</v>
      </c>
      <c r="M76" s="106">
        <v>20298.156722689073</v>
      </c>
      <c r="N76" s="106">
        <v>20.382992748846409</v>
      </c>
      <c r="O76" s="106">
        <v>15874.274752801583</v>
      </c>
      <c r="P76" s="106">
        <v>22.337178642056692</v>
      </c>
      <c r="Q76" s="106">
        <v>17396.19472643375</v>
      </c>
      <c r="R76" s="106">
        <v>48.072115384615387</v>
      </c>
      <c r="S76" s="106">
        <v>37438.563461538462</v>
      </c>
      <c r="T76" s="106">
        <v>0</v>
      </c>
      <c r="U76" s="106">
        <v>0</v>
      </c>
      <c r="V76" s="106">
        <v>11.755358076319917</v>
      </c>
      <c r="W76" s="106">
        <v>9155.0728698379498</v>
      </c>
      <c r="X76" s="106">
        <v>16.289952261877698</v>
      </c>
      <c r="Y76" s="106">
        <v>12686.614821550351</v>
      </c>
      <c r="Z76" s="106">
        <v>10.456704912154894</v>
      </c>
      <c r="AA76" s="106">
        <v>8143.6817855862309</v>
      </c>
      <c r="AB76" s="106">
        <v>29.774799999999999</v>
      </c>
      <c r="AC76" s="106">
        <v>23188.614239999999</v>
      </c>
      <c r="AD76" s="106">
        <v>0</v>
      </c>
      <c r="AE76" s="106">
        <v>0</v>
      </c>
      <c r="AF76" s="106">
        <v>47</v>
      </c>
      <c r="AG76" s="106">
        <v>36603.599999999999</v>
      </c>
      <c r="AH76" s="106">
        <v>30.631932021466906</v>
      </c>
      <c r="AI76" s="106">
        <v>23856.148658318423</v>
      </c>
      <c r="AJ76" s="106">
        <v>0</v>
      </c>
      <c r="AK76" s="106">
        <v>0</v>
      </c>
      <c r="AL76" s="106">
        <v>20.134848956711302</v>
      </c>
      <c r="AM76" s="106">
        <v>15681.020367486761</v>
      </c>
      <c r="AN76" s="106">
        <v>16.732142857142858</v>
      </c>
      <c r="AO76" s="106">
        <v>13030.992857142857</v>
      </c>
      <c r="AP76" s="106">
        <v>13.840114019175953</v>
      </c>
      <c r="AQ76" s="106">
        <v>10778.680798134232</v>
      </c>
      <c r="AR76" s="106">
        <v>0</v>
      </c>
      <c r="AS76" s="106">
        <v>0</v>
      </c>
      <c r="AT76" s="106">
        <v>78.963972431077693</v>
      </c>
      <c r="AU76" s="106">
        <v>61497.141729323303</v>
      </c>
      <c r="AV76" s="106">
        <v>36.913472982623183</v>
      </c>
      <c r="AW76" s="106">
        <v>28748.212758866932</v>
      </c>
      <c r="AX76" s="106">
        <v>39.678622840690984</v>
      </c>
      <c r="AY76" s="106">
        <v>30901.711468330137</v>
      </c>
      <c r="AZ76" s="106">
        <v>30</v>
      </c>
      <c r="BA76" s="106">
        <v>23364</v>
      </c>
      <c r="BB76" s="106">
        <v>21.734522040614166</v>
      </c>
      <c r="BC76" s="106">
        <v>16926.845765230311</v>
      </c>
      <c r="BD76" s="106">
        <v>13.971087704213241</v>
      </c>
      <c r="BE76" s="106">
        <v>10880.683104041273</v>
      </c>
      <c r="BF76" s="106">
        <v>10.671291355389542</v>
      </c>
      <c r="BG76" s="106">
        <v>8310.8017075773751</v>
      </c>
      <c r="BH76" s="106">
        <v>32.62182766083022</v>
      </c>
      <c r="BI76" s="106">
        <v>25405.879382254574</v>
      </c>
      <c r="BJ76" s="106">
        <v>0</v>
      </c>
      <c r="BK76" s="106">
        <v>0</v>
      </c>
      <c r="BL76" s="106">
        <v>28.231262833675565</v>
      </c>
      <c r="BM76" s="106">
        <v>21986.507494866528</v>
      </c>
      <c r="BN76" s="106">
        <v>26.893253968253969</v>
      </c>
      <c r="BO76" s="106">
        <v>20944.466190476189</v>
      </c>
      <c r="BP76" s="106">
        <v>15.523287259615385</v>
      </c>
      <c r="BQ76" s="106">
        <v>12089.536117788461</v>
      </c>
      <c r="BR76" s="106">
        <v>15.01627436557558</v>
      </c>
      <c r="BS76" s="106">
        <v>11694.67447591026</v>
      </c>
      <c r="BT76" s="106">
        <v>0</v>
      </c>
      <c r="BU76" s="106">
        <v>0</v>
      </c>
      <c r="BV76" s="106">
        <v>22.264809679858836</v>
      </c>
      <c r="BW76" s="106">
        <v>17339.833778674059</v>
      </c>
      <c r="BX76" s="106">
        <v>16.479604449938194</v>
      </c>
      <c r="BY76" s="106">
        <v>12834.315945611865</v>
      </c>
      <c r="BZ76" s="106">
        <v>0</v>
      </c>
      <c r="CA76" s="106">
        <v>0</v>
      </c>
      <c r="CB76" s="106">
        <v>21.771377672209027</v>
      </c>
      <c r="CC76" s="106">
        <v>16955.548931116391</v>
      </c>
      <c r="CD76" s="106">
        <v>12.61519798136646</v>
      </c>
      <c r="CE76" s="106">
        <v>9824.716187888198</v>
      </c>
      <c r="CF76" s="106">
        <v>20.162592592592592</v>
      </c>
      <c r="CG76" s="106">
        <v>15702.627111111109</v>
      </c>
      <c r="CH76" s="106">
        <v>11.708430913348947</v>
      </c>
      <c r="CI76" s="106">
        <v>9118.5259953161585</v>
      </c>
      <c r="CJ76" s="106">
        <v>14.707115278543851</v>
      </c>
      <c r="CK76" s="106">
        <v>11453.90137892995</v>
      </c>
      <c r="CL76" s="106">
        <v>0</v>
      </c>
      <c r="CM76" s="106">
        <v>0</v>
      </c>
      <c r="CN76" s="106">
        <v>17.587986860628813</v>
      </c>
      <c r="CO76" s="106">
        <v>13697.52416705772</v>
      </c>
      <c r="CP76" s="106">
        <v>19.452177700348432</v>
      </c>
      <c r="CQ76" s="106">
        <v>15149.355993031359</v>
      </c>
      <c r="CR76" s="106">
        <v>14.811063438553479</v>
      </c>
      <c r="CS76" s="106">
        <v>11534.856205945449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28.98091736694678</v>
      </c>
      <c r="M77" s="106">
        <v>8068.2873949579825</v>
      </c>
      <c r="N77" s="106">
        <v>23.471324983520105</v>
      </c>
      <c r="O77" s="106">
        <v>6534.4168754119964</v>
      </c>
      <c r="P77" s="106">
        <v>25.449736321687542</v>
      </c>
      <c r="Q77" s="106">
        <v>7085.2065919578108</v>
      </c>
      <c r="R77" s="106">
        <v>49.445604395604391</v>
      </c>
      <c r="S77" s="106">
        <v>13765.656263736262</v>
      </c>
      <c r="T77" s="106">
        <v>0</v>
      </c>
      <c r="U77" s="106">
        <v>0</v>
      </c>
      <c r="V77" s="106">
        <v>11.265551489806587</v>
      </c>
      <c r="W77" s="106">
        <v>3136.3295347621533</v>
      </c>
      <c r="X77" s="106">
        <v>19.13122300522846</v>
      </c>
      <c r="Y77" s="106">
        <v>5326.1324846556026</v>
      </c>
      <c r="Z77" s="106">
        <v>12.099901398350664</v>
      </c>
      <c r="AA77" s="106">
        <v>3368.6125493008244</v>
      </c>
      <c r="AB77" s="106">
        <v>27.552800000000001</v>
      </c>
      <c r="AC77" s="106">
        <v>7670.6995200000001</v>
      </c>
      <c r="AD77" s="106">
        <v>0</v>
      </c>
      <c r="AE77" s="106">
        <v>0</v>
      </c>
      <c r="AF77" s="106">
        <v>44</v>
      </c>
      <c r="AG77" s="106">
        <v>12249.599999999999</v>
      </c>
      <c r="AH77" s="106">
        <v>29.280523255813954</v>
      </c>
      <c r="AI77" s="106">
        <v>8151.697674418604</v>
      </c>
      <c r="AJ77" s="106">
        <v>0</v>
      </c>
      <c r="AK77" s="106">
        <v>0</v>
      </c>
      <c r="AL77" s="106">
        <v>20.426658361881035</v>
      </c>
      <c r="AM77" s="106">
        <v>5686.7816879476795</v>
      </c>
      <c r="AN77" s="106">
        <v>18.652224824355972</v>
      </c>
      <c r="AO77" s="106">
        <v>5192.779391100702</v>
      </c>
      <c r="AP77" s="106">
        <v>16.025395180098471</v>
      </c>
      <c r="AQ77" s="106">
        <v>4461.4700181394137</v>
      </c>
      <c r="AR77" s="106">
        <v>0</v>
      </c>
      <c r="AS77" s="106">
        <v>0</v>
      </c>
      <c r="AT77" s="106">
        <v>85.715538847117784</v>
      </c>
      <c r="AU77" s="106">
        <v>23863.206015037591</v>
      </c>
      <c r="AV77" s="106">
        <v>42.712568436086649</v>
      </c>
      <c r="AW77" s="106">
        <v>11891.179052606522</v>
      </c>
      <c r="AX77" s="106">
        <v>43.612763915547028</v>
      </c>
      <c r="AY77" s="106">
        <v>12141.793474088292</v>
      </c>
      <c r="AZ77" s="106">
        <v>32</v>
      </c>
      <c r="BA77" s="106">
        <v>8908.7999999999993</v>
      </c>
      <c r="BB77" s="106">
        <v>24.08420009905894</v>
      </c>
      <c r="BC77" s="106">
        <v>6705.0413075780079</v>
      </c>
      <c r="BD77" s="106">
        <v>14.329320722269991</v>
      </c>
      <c r="BE77" s="106">
        <v>3989.2828890799651</v>
      </c>
      <c r="BF77" s="106">
        <v>12.005202774813235</v>
      </c>
      <c r="BG77" s="106">
        <v>3342.2484525080044</v>
      </c>
      <c r="BH77" s="106">
        <v>37.047904780641353</v>
      </c>
      <c r="BI77" s="106">
        <v>10314.136690930553</v>
      </c>
      <c r="BJ77" s="106">
        <v>0</v>
      </c>
      <c r="BK77" s="106">
        <v>0</v>
      </c>
      <c r="BL77" s="106">
        <v>32.08098049281314</v>
      </c>
      <c r="BM77" s="106">
        <v>8931.3449691991773</v>
      </c>
      <c r="BN77" s="106">
        <v>33.285912698412695</v>
      </c>
      <c r="BO77" s="106">
        <v>9266.7980952380931</v>
      </c>
      <c r="BP77" s="106">
        <v>16.524789663461537</v>
      </c>
      <c r="BQ77" s="106">
        <v>4600.5014423076918</v>
      </c>
      <c r="BR77" s="106">
        <v>15.935638102243471</v>
      </c>
      <c r="BS77" s="106">
        <v>4436.4816476645819</v>
      </c>
      <c r="BT77" s="106">
        <v>0</v>
      </c>
      <c r="BU77" s="106">
        <v>0</v>
      </c>
      <c r="BV77" s="106">
        <v>22.684900428535418</v>
      </c>
      <c r="BW77" s="106">
        <v>6315.4762793042601</v>
      </c>
      <c r="BX77" s="106">
        <v>16.89159456118665</v>
      </c>
      <c r="BY77" s="106">
        <v>4702.6199258343631</v>
      </c>
      <c r="BZ77" s="106">
        <v>0</v>
      </c>
      <c r="CA77" s="106">
        <v>0</v>
      </c>
      <c r="CB77" s="106">
        <v>25.729809976247029</v>
      </c>
      <c r="CC77" s="106">
        <v>7163.1790973871721</v>
      </c>
      <c r="CD77" s="106">
        <v>11.968264751552795</v>
      </c>
      <c r="CE77" s="106">
        <v>3331.9649068322979</v>
      </c>
      <c r="CF77" s="106">
        <v>19.751111111111111</v>
      </c>
      <c r="CG77" s="106">
        <v>5498.7093333333332</v>
      </c>
      <c r="CH77" s="106">
        <v>13.659836065573771</v>
      </c>
      <c r="CI77" s="106">
        <v>3802.8983606557376</v>
      </c>
      <c r="CJ77" s="106">
        <v>17.464699393270823</v>
      </c>
      <c r="CK77" s="106">
        <v>4862.1723110865969</v>
      </c>
      <c r="CL77" s="106">
        <v>0</v>
      </c>
      <c r="CM77" s="106">
        <v>0</v>
      </c>
      <c r="CN77" s="106">
        <v>16.26888784608165</v>
      </c>
      <c r="CO77" s="106">
        <v>4529.2583763491311</v>
      </c>
      <c r="CP77" s="106">
        <v>20.903832752613241</v>
      </c>
      <c r="CQ77" s="106">
        <v>5819.627038327526</v>
      </c>
      <c r="CR77" s="106">
        <v>17.875421391357644</v>
      </c>
      <c r="CS77" s="106">
        <v>4976.5173153539681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25.86887254901961</v>
      </c>
      <c r="M78" s="106">
        <v>14279.617647058825</v>
      </c>
      <c r="N78" s="106">
        <v>23.162491760052735</v>
      </c>
      <c r="O78" s="106">
        <v>12785.695451549109</v>
      </c>
      <c r="P78" s="106">
        <v>25.266644693473964</v>
      </c>
      <c r="Q78" s="106">
        <v>13947.187870797628</v>
      </c>
      <c r="R78" s="106">
        <v>44.867307692307698</v>
      </c>
      <c r="S78" s="106">
        <v>24766.75384615385</v>
      </c>
      <c r="T78" s="106">
        <v>0</v>
      </c>
      <c r="U78" s="106">
        <v>0</v>
      </c>
      <c r="V78" s="106">
        <v>11.020648196549923</v>
      </c>
      <c r="W78" s="106">
        <v>6083.3978044955575</v>
      </c>
      <c r="X78" s="106">
        <v>16.289952261877698</v>
      </c>
      <c r="Y78" s="106">
        <v>8992.0536485564899</v>
      </c>
      <c r="Z78" s="106">
        <v>12.996190390821084</v>
      </c>
      <c r="AA78" s="106">
        <v>7173.8970957332385</v>
      </c>
      <c r="AB78" s="106">
        <v>31.108000000000004</v>
      </c>
      <c r="AC78" s="106">
        <v>17171.616000000002</v>
      </c>
      <c r="AD78" s="106">
        <v>0</v>
      </c>
      <c r="AE78" s="106">
        <v>0</v>
      </c>
      <c r="AF78" s="106">
        <v>46</v>
      </c>
      <c r="AG78" s="106">
        <v>25392</v>
      </c>
      <c r="AH78" s="106">
        <v>31.53287119856887</v>
      </c>
      <c r="AI78" s="106">
        <v>17406.144901610016</v>
      </c>
      <c r="AJ78" s="106">
        <v>0</v>
      </c>
      <c r="AK78" s="106">
        <v>0</v>
      </c>
      <c r="AL78" s="106">
        <v>18.383992525692928</v>
      </c>
      <c r="AM78" s="106">
        <v>10147.963874182497</v>
      </c>
      <c r="AN78" s="106">
        <v>19.200819672131146</v>
      </c>
      <c r="AO78" s="106">
        <v>10598.852459016392</v>
      </c>
      <c r="AP78" s="106">
        <v>14.325732054936513</v>
      </c>
      <c r="AQ78" s="106">
        <v>7907.8040943249553</v>
      </c>
      <c r="AR78" s="106">
        <v>0</v>
      </c>
      <c r="AS78" s="106">
        <v>0</v>
      </c>
      <c r="AT78" s="106">
        <v>86.30263157894737</v>
      </c>
      <c r="AU78" s="106">
        <v>47639.052631578947</v>
      </c>
      <c r="AV78" s="106">
        <v>46.838847893358725</v>
      </c>
      <c r="AW78" s="106">
        <v>25855.044037134016</v>
      </c>
      <c r="AX78" s="106">
        <v>42.825935700575812</v>
      </c>
      <c r="AY78" s="106">
        <v>23639.916506717847</v>
      </c>
      <c r="AZ78" s="106">
        <v>35</v>
      </c>
      <c r="BA78" s="106">
        <v>19320</v>
      </c>
      <c r="BB78" s="106">
        <v>22.321941555225358</v>
      </c>
      <c r="BC78" s="106">
        <v>12321.711738484397</v>
      </c>
      <c r="BD78" s="106">
        <v>15.40401977644024</v>
      </c>
      <c r="BE78" s="106">
        <v>8503.0189165950123</v>
      </c>
      <c r="BF78" s="106">
        <v>12.005202774813235</v>
      </c>
      <c r="BG78" s="106">
        <v>6626.8719316969054</v>
      </c>
      <c r="BH78" s="106">
        <v>32.130041314184538</v>
      </c>
      <c r="BI78" s="106">
        <v>17735.782805429866</v>
      </c>
      <c r="BJ78" s="106">
        <v>0</v>
      </c>
      <c r="BK78" s="106">
        <v>0</v>
      </c>
      <c r="BL78" s="106">
        <v>27.589643223819301</v>
      </c>
      <c r="BM78" s="106">
        <v>15229.483059548254</v>
      </c>
      <c r="BN78" s="106">
        <v>31.081547619047619</v>
      </c>
      <c r="BO78" s="106">
        <v>17157.014285714286</v>
      </c>
      <c r="BP78" s="106">
        <v>15.022536057692307</v>
      </c>
      <c r="BQ78" s="106">
        <v>8292.4399038461524</v>
      </c>
      <c r="BR78" s="106">
        <v>15.01627436557558</v>
      </c>
      <c r="BS78" s="106">
        <v>8288.9834497977208</v>
      </c>
      <c r="BT78" s="106">
        <v>0</v>
      </c>
      <c r="BU78" s="106">
        <v>0</v>
      </c>
      <c r="BV78" s="106">
        <v>25.625535669271489</v>
      </c>
      <c r="BW78" s="106">
        <v>14145.295689437862</v>
      </c>
      <c r="BX78" s="106">
        <v>16.06761433868974</v>
      </c>
      <c r="BY78" s="106">
        <v>8869.3231149567364</v>
      </c>
      <c r="BZ78" s="106">
        <v>0</v>
      </c>
      <c r="CA78" s="106">
        <v>0</v>
      </c>
      <c r="CB78" s="106">
        <v>25.399940617577197</v>
      </c>
      <c r="CC78" s="106">
        <v>14020.767220902613</v>
      </c>
      <c r="CD78" s="106">
        <v>13.100397903726707</v>
      </c>
      <c r="CE78" s="106">
        <v>7231.4196428571422</v>
      </c>
      <c r="CF78" s="106">
        <v>18.928148148148146</v>
      </c>
      <c r="CG78" s="106">
        <v>10448.337777777777</v>
      </c>
      <c r="CH78" s="106">
        <v>12.879274004683841</v>
      </c>
      <c r="CI78" s="106">
        <v>7109.3592505854804</v>
      </c>
      <c r="CJ78" s="106">
        <v>14.707115278543851</v>
      </c>
      <c r="CK78" s="106">
        <v>8118.3276337562056</v>
      </c>
      <c r="CL78" s="106">
        <v>0</v>
      </c>
      <c r="CM78" s="106">
        <v>0</v>
      </c>
      <c r="CN78" s="106">
        <v>18.907085875175973</v>
      </c>
      <c r="CO78" s="106">
        <v>10436.711403097137</v>
      </c>
      <c r="CP78" s="106">
        <v>17.129529616724739</v>
      </c>
      <c r="CQ78" s="106">
        <v>9455.500348432055</v>
      </c>
      <c r="CR78" s="106">
        <v>17.875421391357644</v>
      </c>
      <c r="CS78" s="106">
        <v>9867.2326080294188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27.230392156862745</v>
      </c>
      <c r="M79" s="106">
        <v>20618.852941176468</v>
      </c>
      <c r="N79" s="106">
        <v>20.691825972313779</v>
      </c>
      <c r="O79" s="106">
        <v>15667.850626235992</v>
      </c>
      <c r="P79" s="106">
        <v>23.25263678312459</v>
      </c>
      <c r="Q79" s="106">
        <v>17606.896572181937</v>
      </c>
      <c r="R79" s="106">
        <v>47.614285714285714</v>
      </c>
      <c r="S79" s="106">
        <v>36053.537142857138</v>
      </c>
      <c r="T79" s="106">
        <v>0</v>
      </c>
      <c r="U79" s="106">
        <v>0</v>
      </c>
      <c r="V79" s="106">
        <v>11.755358076319917</v>
      </c>
      <c r="W79" s="106">
        <v>8901.1571353894396</v>
      </c>
      <c r="X79" s="106">
        <v>16.479370311434415</v>
      </c>
      <c r="Y79" s="106">
        <v>12478.179199818138</v>
      </c>
      <c r="Z79" s="106">
        <v>11.502375403370383</v>
      </c>
      <c r="AA79" s="106">
        <v>8709.5986554320534</v>
      </c>
      <c r="AB79" s="106">
        <v>28.885999999999999</v>
      </c>
      <c r="AC79" s="106">
        <v>21872.479199999998</v>
      </c>
      <c r="AD79" s="106">
        <v>0</v>
      </c>
      <c r="AE79" s="106">
        <v>0</v>
      </c>
      <c r="AF79" s="106">
        <v>48</v>
      </c>
      <c r="AG79" s="106">
        <v>36345.599999999999</v>
      </c>
      <c r="AH79" s="106">
        <v>30.631932021466906</v>
      </c>
      <c r="AI79" s="106">
        <v>23194.498926654738</v>
      </c>
      <c r="AJ79" s="106">
        <v>0</v>
      </c>
      <c r="AK79" s="106">
        <v>0</v>
      </c>
      <c r="AL79" s="106">
        <v>18.383992525692928</v>
      </c>
      <c r="AM79" s="106">
        <v>13920.359140454684</v>
      </c>
      <c r="AN79" s="106">
        <v>17.829332552693209</v>
      </c>
      <c r="AO79" s="106">
        <v>13500.370608899297</v>
      </c>
      <c r="AP79" s="106">
        <v>14.568541072816791</v>
      </c>
      <c r="AQ79" s="106">
        <v>11031.299300336872</v>
      </c>
      <c r="AR79" s="106">
        <v>0</v>
      </c>
      <c r="AS79" s="106">
        <v>0</v>
      </c>
      <c r="AT79" s="106">
        <v>87.476817042606513</v>
      </c>
      <c r="AU79" s="106">
        <v>66237.44586466164</v>
      </c>
      <c r="AV79" s="106">
        <v>42.043442037610092</v>
      </c>
      <c r="AW79" s="106">
        <v>31835.294310878358</v>
      </c>
      <c r="AX79" s="106">
        <v>40.128238963531672</v>
      </c>
      <c r="AY79" s="106">
        <v>30385.102543186178</v>
      </c>
      <c r="AZ79" s="106">
        <v>33</v>
      </c>
      <c r="BA79" s="106">
        <v>24987.599999999999</v>
      </c>
      <c r="BB79" s="106">
        <v>22.909361069836553</v>
      </c>
      <c r="BC79" s="106">
        <v>17346.968202080236</v>
      </c>
      <c r="BD79" s="106">
        <v>15.40401977644024</v>
      </c>
      <c r="BE79" s="106">
        <v>11663.923774720548</v>
      </c>
      <c r="BF79" s="106">
        <v>11.560565635005336</v>
      </c>
      <c r="BG79" s="106">
        <v>8753.6602988260402</v>
      </c>
      <c r="BH79" s="106">
        <v>29.671109580956131</v>
      </c>
      <c r="BI79" s="106">
        <v>22466.964174699981</v>
      </c>
      <c r="BJ79" s="106">
        <v>0</v>
      </c>
      <c r="BK79" s="106">
        <v>0</v>
      </c>
      <c r="BL79" s="106">
        <v>29.942248459958932</v>
      </c>
      <c r="BM79" s="106">
        <v>22672.270533880903</v>
      </c>
      <c r="BN79" s="106">
        <v>31.742857142857147</v>
      </c>
      <c r="BO79" s="106">
        <v>24035.69142857143</v>
      </c>
      <c r="BP79" s="106">
        <v>15.022536057692307</v>
      </c>
      <c r="BQ79" s="106">
        <v>11375.064302884613</v>
      </c>
      <c r="BR79" s="106">
        <v>15.322728944464876</v>
      </c>
      <c r="BS79" s="106">
        <v>11602.370356748803</v>
      </c>
      <c r="BT79" s="106">
        <v>0</v>
      </c>
      <c r="BU79" s="106">
        <v>0</v>
      </c>
      <c r="BV79" s="106">
        <v>23.525081925888582</v>
      </c>
      <c r="BW79" s="106">
        <v>17813.192034282834</v>
      </c>
      <c r="BX79" s="106">
        <v>17.509579728059332</v>
      </c>
      <c r="BY79" s="106">
        <v>13258.253770086525</v>
      </c>
      <c r="BZ79" s="106">
        <v>0</v>
      </c>
      <c r="CA79" s="106">
        <v>0</v>
      </c>
      <c r="CB79" s="106">
        <v>23.75059382422803</v>
      </c>
      <c r="CC79" s="106">
        <v>17983.949643705462</v>
      </c>
      <c r="CD79" s="106">
        <v>12.938664596273291</v>
      </c>
      <c r="CE79" s="106">
        <v>9797.1568322981348</v>
      </c>
      <c r="CF79" s="106">
        <v>18.928148148148146</v>
      </c>
      <c r="CG79" s="106">
        <v>14332.393777777776</v>
      </c>
      <c r="CH79" s="106">
        <v>12.879274004683841</v>
      </c>
      <c r="CI79" s="106">
        <v>9752.1862763466033</v>
      </c>
      <c r="CJ79" s="106">
        <v>14.247517926089353</v>
      </c>
      <c r="CK79" s="106">
        <v>10788.220573634857</v>
      </c>
      <c r="CL79" s="106">
        <v>0</v>
      </c>
      <c r="CM79" s="106">
        <v>0</v>
      </c>
      <c r="CN79" s="106">
        <v>15.82918817456593</v>
      </c>
      <c r="CO79" s="106">
        <v>11985.86128578132</v>
      </c>
      <c r="CP79" s="106">
        <v>19.452177700348432</v>
      </c>
      <c r="CQ79" s="106">
        <v>14729.188954703832</v>
      </c>
      <c r="CR79" s="106">
        <v>15.32178976402084</v>
      </c>
      <c r="CS79" s="106">
        <v>11601.65920931658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24.507352941176471</v>
      </c>
      <c r="M80" s="106">
        <v>19733.320588235292</v>
      </c>
      <c r="N80" s="106">
        <v>23.162491760052735</v>
      </c>
      <c r="O80" s="106">
        <v>18650.438365194459</v>
      </c>
      <c r="P80" s="106">
        <v>24.717369808833222</v>
      </c>
      <c r="Q80" s="106">
        <v>19902.426170072507</v>
      </c>
      <c r="R80" s="106">
        <v>45.325137362637363</v>
      </c>
      <c r="S80" s="106">
        <v>36495.800604395605</v>
      </c>
      <c r="T80" s="106">
        <v>0</v>
      </c>
      <c r="U80" s="106">
        <v>0</v>
      </c>
      <c r="V80" s="106">
        <v>11.755358076319917</v>
      </c>
      <c r="W80" s="106">
        <v>9465.414323052797</v>
      </c>
      <c r="X80" s="106">
        <v>16.479370311434415</v>
      </c>
      <c r="Y80" s="106">
        <v>13269.18897476699</v>
      </c>
      <c r="Z80" s="106">
        <v>12.548045894585874</v>
      </c>
      <c r="AA80" s="106">
        <v>10103.686554320544</v>
      </c>
      <c r="AB80" s="106">
        <v>27.997199999999999</v>
      </c>
      <c r="AC80" s="106">
        <v>22543.345439999997</v>
      </c>
      <c r="AD80" s="106">
        <v>0</v>
      </c>
      <c r="AE80" s="106">
        <v>0</v>
      </c>
      <c r="AF80" s="106">
        <v>44</v>
      </c>
      <c r="AG80" s="106">
        <v>35428.799999999996</v>
      </c>
      <c r="AH80" s="106">
        <v>29.730992844364938</v>
      </c>
      <c r="AI80" s="106">
        <v>23939.395438282645</v>
      </c>
      <c r="AJ80" s="106">
        <v>0</v>
      </c>
      <c r="AK80" s="106">
        <v>0</v>
      </c>
      <c r="AL80" s="106">
        <v>19.551230146371847</v>
      </c>
      <c r="AM80" s="106">
        <v>15742.650513858609</v>
      </c>
      <c r="AN80" s="106">
        <v>16.732142857142858</v>
      </c>
      <c r="AO80" s="106">
        <v>13472.721428571427</v>
      </c>
      <c r="AP80" s="106">
        <v>13.840114019175953</v>
      </c>
      <c r="AQ80" s="106">
        <v>11144.059808240476</v>
      </c>
      <c r="AR80" s="106">
        <v>0</v>
      </c>
      <c r="AS80" s="106">
        <v>0</v>
      </c>
      <c r="AT80" s="106">
        <v>83.95426065162907</v>
      </c>
      <c r="AU80" s="106">
        <v>67599.970676691722</v>
      </c>
      <c r="AV80" s="106">
        <v>37.471078314686977</v>
      </c>
      <c r="AW80" s="106">
        <v>30171.71225898595</v>
      </c>
      <c r="AX80" s="106">
        <v>37.093330134357011</v>
      </c>
      <c r="AY80" s="106">
        <v>29867.549424184264</v>
      </c>
      <c r="AZ80" s="106">
        <v>32</v>
      </c>
      <c r="BA80" s="106">
        <v>25766.399999999998</v>
      </c>
      <c r="BB80" s="106">
        <v>22.909361069836553</v>
      </c>
      <c r="BC80" s="106">
        <v>18446.617533432393</v>
      </c>
      <c r="BD80" s="106">
        <v>13.254621668099743</v>
      </c>
      <c r="BE80" s="106">
        <v>10672.621367153912</v>
      </c>
      <c r="BF80" s="106">
        <v>12.005202774813235</v>
      </c>
      <c r="BG80" s="106">
        <v>9666.589274279615</v>
      </c>
      <c r="BH80" s="106">
        <v>30.818611056462718</v>
      </c>
      <c r="BI80" s="106">
        <v>24815.145622663778</v>
      </c>
      <c r="BJ80" s="106">
        <v>0</v>
      </c>
      <c r="BK80" s="106">
        <v>0</v>
      </c>
      <c r="BL80" s="106">
        <v>25.237037987679674</v>
      </c>
      <c r="BM80" s="106">
        <v>20320.862987679673</v>
      </c>
      <c r="BN80" s="106">
        <v>26.452380952380953</v>
      </c>
      <c r="BO80" s="106">
        <v>21299.45714285714</v>
      </c>
      <c r="BP80" s="106">
        <v>15.022536057692307</v>
      </c>
      <c r="BQ80" s="106">
        <v>12096.146033653844</v>
      </c>
      <c r="BR80" s="106">
        <v>13.484001471129092</v>
      </c>
      <c r="BS80" s="106">
        <v>10857.317984553145</v>
      </c>
      <c r="BT80" s="106">
        <v>0</v>
      </c>
      <c r="BU80" s="106">
        <v>0</v>
      </c>
      <c r="BV80" s="106">
        <v>23.945172674565164</v>
      </c>
      <c r="BW80" s="106">
        <v>19280.653037559867</v>
      </c>
      <c r="BX80" s="106">
        <v>15.037639060568601</v>
      </c>
      <c r="BY80" s="106">
        <v>12108.306971569837</v>
      </c>
      <c r="BZ80" s="106">
        <v>0</v>
      </c>
      <c r="CA80" s="106">
        <v>0</v>
      </c>
      <c r="CB80" s="106">
        <v>24.410332541567694</v>
      </c>
      <c r="CC80" s="106">
        <v>19655.199762470307</v>
      </c>
      <c r="CD80" s="106">
        <v>11.644798136645964</v>
      </c>
      <c r="CE80" s="106">
        <v>9376.3914596273298</v>
      </c>
      <c r="CF80" s="106">
        <v>20.162592592592592</v>
      </c>
      <c r="CG80" s="106">
        <v>16234.919555555554</v>
      </c>
      <c r="CH80" s="106">
        <v>11.708430913348947</v>
      </c>
      <c r="CI80" s="106">
        <v>9427.6285714285714</v>
      </c>
      <c r="CJ80" s="106">
        <v>14.247517926089353</v>
      </c>
      <c r="CK80" s="106">
        <v>11472.101434087146</v>
      </c>
      <c r="CL80" s="106">
        <v>0</v>
      </c>
      <c r="CM80" s="106">
        <v>0</v>
      </c>
      <c r="CN80" s="106">
        <v>16.26888784608165</v>
      </c>
      <c r="CO80" s="106">
        <v>13099.708493664944</v>
      </c>
      <c r="CP80" s="106">
        <v>18.87151567944251</v>
      </c>
      <c r="CQ80" s="106">
        <v>15195.344425087107</v>
      </c>
      <c r="CR80" s="106">
        <v>16.343242414955562</v>
      </c>
      <c r="CS80" s="106">
        <v>13159.578792522218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27.230392156862745</v>
      </c>
      <c r="M81" s="106">
        <v>20520.823529411766</v>
      </c>
      <c r="N81" s="106">
        <v>24.088991430454847</v>
      </c>
      <c r="O81" s="106">
        <v>18153.463941990773</v>
      </c>
      <c r="P81" s="106">
        <v>21.421720500988794</v>
      </c>
      <c r="Q81" s="106">
        <v>16143.408569545156</v>
      </c>
      <c r="R81" s="106">
        <v>45.782967032967029</v>
      </c>
      <c r="S81" s="106">
        <v>34502.043956043955</v>
      </c>
      <c r="T81" s="106">
        <v>0</v>
      </c>
      <c r="U81" s="106">
        <v>0</v>
      </c>
      <c r="V81" s="106">
        <v>11.020648196549923</v>
      </c>
      <c r="W81" s="106">
        <v>8305.1604809200217</v>
      </c>
      <c r="X81" s="106">
        <v>17.805296658331439</v>
      </c>
      <c r="Y81" s="106">
        <v>13418.071561718572</v>
      </c>
      <c r="Z81" s="106">
        <v>11.502375403370383</v>
      </c>
      <c r="AA81" s="106">
        <v>8668.1901039799213</v>
      </c>
      <c r="AB81" s="106">
        <v>26.664000000000001</v>
      </c>
      <c r="AC81" s="106">
        <v>20093.990400000002</v>
      </c>
      <c r="AD81" s="106">
        <v>0</v>
      </c>
      <c r="AE81" s="106">
        <v>0</v>
      </c>
      <c r="AF81" s="106">
        <v>41</v>
      </c>
      <c r="AG81" s="106">
        <v>30897.600000000002</v>
      </c>
      <c r="AH81" s="106">
        <v>27.478644901610018</v>
      </c>
      <c r="AI81" s="106">
        <v>20707.906797853309</v>
      </c>
      <c r="AJ81" s="106">
        <v>0</v>
      </c>
      <c r="AK81" s="106">
        <v>0</v>
      </c>
      <c r="AL81" s="106">
        <v>20.718467767050761</v>
      </c>
      <c r="AM81" s="106">
        <v>15613.437309249453</v>
      </c>
      <c r="AN81" s="106">
        <v>17.829332552693209</v>
      </c>
      <c r="AO81" s="106">
        <v>13436.185011709604</v>
      </c>
      <c r="AP81" s="106">
        <v>15.054159108577352</v>
      </c>
      <c r="AQ81" s="106">
        <v>11344.814304223893</v>
      </c>
      <c r="AR81" s="106">
        <v>0</v>
      </c>
      <c r="AS81" s="106">
        <v>0</v>
      </c>
      <c r="AT81" s="106">
        <v>80.725250626566421</v>
      </c>
      <c r="AU81" s="106">
        <v>60834.548872180458</v>
      </c>
      <c r="AV81" s="106">
        <v>40.816710307069748</v>
      </c>
      <c r="AW81" s="106">
        <v>30759.472887407763</v>
      </c>
      <c r="AX81" s="106">
        <v>39.004198656429942</v>
      </c>
      <c r="AY81" s="106">
        <v>29393.564107485607</v>
      </c>
      <c r="AZ81" s="106">
        <v>36</v>
      </c>
      <c r="BA81" s="106">
        <v>27129.600000000002</v>
      </c>
      <c r="BB81" s="106">
        <v>20.55968301139178</v>
      </c>
      <c r="BC81" s="106">
        <v>15493.777117384845</v>
      </c>
      <c r="BD81" s="106">
        <v>12.896388650042992</v>
      </c>
      <c r="BE81" s="106">
        <v>9718.7184866723983</v>
      </c>
      <c r="BF81" s="106">
        <v>12.005202774813235</v>
      </c>
      <c r="BG81" s="106">
        <v>9047.1208110992538</v>
      </c>
      <c r="BH81" s="106">
        <v>29.998967145386583</v>
      </c>
      <c r="BI81" s="106">
        <v>22607.221640763331</v>
      </c>
      <c r="BJ81" s="106">
        <v>0</v>
      </c>
      <c r="BK81" s="106">
        <v>0</v>
      </c>
      <c r="BL81" s="106">
        <v>26.092530800821354</v>
      </c>
      <c r="BM81" s="106">
        <v>19663.331211498971</v>
      </c>
      <c r="BN81" s="106">
        <v>26.231944444444441</v>
      </c>
      <c r="BO81" s="106">
        <v>19768.39333333333</v>
      </c>
      <c r="BP81" s="106">
        <v>14.521784855769232</v>
      </c>
      <c r="BQ81" s="106">
        <v>10943.617067307694</v>
      </c>
      <c r="BR81" s="106">
        <v>13.177546892239794</v>
      </c>
      <c r="BS81" s="106">
        <v>9930.5993379919091</v>
      </c>
      <c r="BT81" s="106">
        <v>0</v>
      </c>
      <c r="BU81" s="106">
        <v>0</v>
      </c>
      <c r="BV81" s="106">
        <v>24.785354171918328</v>
      </c>
      <c r="BW81" s="106">
        <v>18678.242903957653</v>
      </c>
      <c r="BX81" s="106">
        <v>17.509579728059332</v>
      </c>
      <c r="BY81" s="106">
        <v>13195.219283065513</v>
      </c>
      <c r="BZ81" s="106">
        <v>0</v>
      </c>
      <c r="CA81" s="106">
        <v>0</v>
      </c>
      <c r="CB81" s="106">
        <v>22.431116389548691</v>
      </c>
      <c r="CC81" s="106">
        <v>16904.089311163894</v>
      </c>
      <c r="CD81" s="106">
        <v>12.291731366459627</v>
      </c>
      <c r="CE81" s="106">
        <v>9263.048757763976</v>
      </c>
      <c r="CF81" s="106">
        <v>19.751111111111111</v>
      </c>
      <c r="CG81" s="106">
        <v>14884.437333333333</v>
      </c>
      <c r="CH81" s="106">
        <v>13.659836065573771</v>
      </c>
      <c r="CI81" s="106">
        <v>10294.052459016393</v>
      </c>
      <c r="CJ81" s="106">
        <v>14.247517926089353</v>
      </c>
      <c r="CK81" s="106">
        <v>10736.929509100937</v>
      </c>
      <c r="CL81" s="106">
        <v>0</v>
      </c>
      <c r="CM81" s="106">
        <v>0</v>
      </c>
      <c r="CN81" s="106">
        <v>17.148287189113091</v>
      </c>
      <c r="CO81" s="106">
        <v>12922.949225715625</v>
      </c>
      <c r="CP81" s="106">
        <v>16.548867595818816</v>
      </c>
      <c r="CQ81" s="106">
        <v>12471.22662020906</v>
      </c>
      <c r="CR81" s="106">
        <v>15.577152926754522</v>
      </c>
      <c r="CS81" s="106">
        <v>11738.942445602208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25.67436974789916</v>
      </c>
      <c r="M82" s="106">
        <v>13063.11932773109</v>
      </c>
      <c r="N82" s="106">
        <v>22.853658536585368</v>
      </c>
      <c r="O82" s="106">
        <v>11627.941463414632</v>
      </c>
      <c r="P82" s="106">
        <v>25.083553065260382</v>
      </c>
      <c r="Q82" s="106">
        <v>12762.511799604479</v>
      </c>
      <c r="R82" s="106">
        <v>50.361263736263737</v>
      </c>
      <c r="S82" s="106">
        <v>25623.810989010984</v>
      </c>
      <c r="T82" s="106">
        <v>0</v>
      </c>
      <c r="U82" s="106">
        <v>0</v>
      </c>
      <c r="V82" s="106">
        <v>12.734971249346575</v>
      </c>
      <c r="W82" s="106">
        <v>6479.5533716675363</v>
      </c>
      <c r="X82" s="106">
        <v>18.184132757444875</v>
      </c>
      <c r="Y82" s="106">
        <v>9252.0867469879504</v>
      </c>
      <c r="Z82" s="106">
        <v>11.054230907135175</v>
      </c>
      <c r="AA82" s="106">
        <v>5624.392685550376</v>
      </c>
      <c r="AB82" s="106">
        <v>27.552800000000001</v>
      </c>
      <c r="AC82" s="106">
        <v>14018.864639999998</v>
      </c>
      <c r="AD82" s="106">
        <v>0</v>
      </c>
      <c r="AE82" s="106">
        <v>0</v>
      </c>
      <c r="AF82" s="106">
        <v>45</v>
      </c>
      <c r="AG82" s="106">
        <v>22895.999999999996</v>
      </c>
      <c r="AH82" s="106">
        <v>28.83005366726297</v>
      </c>
      <c r="AI82" s="106">
        <v>14668.731305903397</v>
      </c>
      <c r="AJ82" s="106">
        <v>0</v>
      </c>
      <c r="AK82" s="106">
        <v>0</v>
      </c>
      <c r="AL82" s="106">
        <v>18.383992525692928</v>
      </c>
      <c r="AM82" s="106">
        <v>9353.7753970725607</v>
      </c>
      <c r="AN82" s="106">
        <v>19.475117096018735</v>
      </c>
      <c r="AO82" s="106">
        <v>9908.9395784543303</v>
      </c>
      <c r="AP82" s="106">
        <v>15.29696812645763</v>
      </c>
      <c r="AQ82" s="106">
        <v>7783.0973827416401</v>
      </c>
      <c r="AR82" s="106">
        <v>0</v>
      </c>
      <c r="AS82" s="106">
        <v>0</v>
      </c>
      <c r="AT82" s="106">
        <v>81.312343358395992</v>
      </c>
      <c r="AU82" s="106">
        <v>41371.720300751869</v>
      </c>
      <c r="AV82" s="106">
        <v>42.824089502499405</v>
      </c>
      <c r="AW82" s="106">
        <v>21788.896738871692</v>
      </c>
      <c r="AX82" s="106">
        <v>43.612763915547028</v>
      </c>
      <c r="AY82" s="106">
        <v>22190.174280230323</v>
      </c>
      <c r="AZ82" s="106">
        <v>33</v>
      </c>
      <c r="BA82" s="106">
        <v>16790.399999999998</v>
      </c>
      <c r="BB82" s="106">
        <v>23.496780584447745</v>
      </c>
      <c r="BC82" s="106">
        <v>11955.16196136701</v>
      </c>
      <c r="BD82" s="106">
        <v>14.687553740326742</v>
      </c>
      <c r="BE82" s="106">
        <v>7473.0273430782445</v>
      </c>
      <c r="BF82" s="106">
        <v>11.560565635005336</v>
      </c>
      <c r="BG82" s="106">
        <v>5882.0157950907133</v>
      </c>
      <c r="BH82" s="106">
        <v>32.457898878614991</v>
      </c>
      <c r="BI82" s="106">
        <v>16514.578949439303</v>
      </c>
      <c r="BJ82" s="106">
        <v>0</v>
      </c>
      <c r="BK82" s="106">
        <v>0</v>
      </c>
      <c r="BL82" s="106">
        <v>27.161896817248458</v>
      </c>
      <c r="BM82" s="106">
        <v>13819.973100616013</v>
      </c>
      <c r="BN82" s="106">
        <v>29.979365079365078</v>
      </c>
      <c r="BO82" s="106">
        <v>15253.500952380948</v>
      </c>
      <c r="BP82" s="106">
        <v>15.022536057692307</v>
      </c>
      <c r="BQ82" s="106">
        <v>7643.4663461538439</v>
      </c>
      <c r="BR82" s="106">
        <v>15.322728944464876</v>
      </c>
      <c r="BS82" s="106">
        <v>7796.2044869437268</v>
      </c>
      <c r="BT82" s="106">
        <v>0</v>
      </c>
      <c r="BU82" s="106">
        <v>0</v>
      </c>
      <c r="BV82" s="106">
        <v>24.365263423241746</v>
      </c>
      <c r="BW82" s="106">
        <v>12397.046029745397</v>
      </c>
      <c r="BX82" s="106">
        <v>15.655624227441287</v>
      </c>
      <c r="BY82" s="106">
        <v>7965.5816069221255</v>
      </c>
      <c r="BZ82" s="106">
        <v>0</v>
      </c>
      <c r="CA82" s="106">
        <v>0</v>
      </c>
      <c r="CB82" s="106">
        <v>22.101247030878859</v>
      </c>
      <c r="CC82" s="106">
        <v>11245.114489311161</v>
      </c>
      <c r="CD82" s="106">
        <v>13.42386451863354</v>
      </c>
      <c r="CE82" s="106">
        <v>6830.0622670807434</v>
      </c>
      <c r="CF82" s="106">
        <v>18.516666666666666</v>
      </c>
      <c r="CG82" s="106">
        <v>9421.279999999997</v>
      </c>
      <c r="CH82" s="106">
        <v>13.659836065573771</v>
      </c>
      <c r="CI82" s="106">
        <v>6950.1245901639331</v>
      </c>
      <c r="CJ82" s="106">
        <v>16.085907335907336</v>
      </c>
      <c r="CK82" s="106">
        <v>8184.5096525096515</v>
      </c>
      <c r="CL82" s="106">
        <v>0</v>
      </c>
      <c r="CM82" s="106">
        <v>0</v>
      </c>
      <c r="CN82" s="106">
        <v>16.26888784608165</v>
      </c>
      <c r="CO82" s="106">
        <v>8277.6101360863413</v>
      </c>
      <c r="CP82" s="106">
        <v>19.742508710801395</v>
      </c>
      <c r="CQ82" s="106">
        <v>10044.988432055748</v>
      </c>
      <c r="CR82" s="106">
        <v>18.386147716825008</v>
      </c>
      <c r="CS82" s="106">
        <v>9354.871958320562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23.340336134453782</v>
      </c>
      <c r="M83" s="106">
        <v>20082.025210084033</v>
      </c>
      <c r="N83" s="106">
        <v>24.088991430454847</v>
      </c>
      <c r="O83" s="106">
        <v>20726.168226763351</v>
      </c>
      <c r="P83" s="106">
        <v>24.168094924192484</v>
      </c>
      <c r="Q83" s="106">
        <v>20794.228872775213</v>
      </c>
      <c r="R83" s="106">
        <v>44.409478021978018</v>
      </c>
      <c r="S83" s="106">
        <v>38209.914890109889</v>
      </c>
      <c r="T83" s="106">
        <v>0</v>
      </c>
      <c r="U83" s="106">
        <v>0</v>
      </c>
      <c r="V83" s="106">
        <v>11.755358076319917</v>
      </c>
      <c r="W83" s="106">
        <v>10114.310088865655</v>
      </c>
      <c r="X83" s="106">
        <v>16.289952261877698</v>
      </c>
      <c r="Y83" s="106">
        <v>14015.87492611957</v>
      </c>
      <c r="Z83" s="106">
        <v>11.203612405880245</v>
      </c>
      <c r="AA83" s="106">
        <v>9639.5881140193615</v>
      </c>
      <c r="AB83" s="106">
        <v>28.441600000000001</v>
      </c>
      <c r="AC83" s="106">
        <v>24471.15264</v>
      </c>
      <c r="AD83" s="106">
        <v>0</v>
      </c>
      <c r="AE83" s="106">
        <v>0</v>
      </c>
      <c r="AF83" s="106">
        <v>45</v>
      </c>
      <c r="AG83" s="106">
        <v>38718</v>
      </c>
      <c r="AH83" s="106">
        <v>31.082401610017889</v>
      </c>
      <c r="AI83" s="106">
        <v>26743.298345259391</v>
      </c>
      <c r="AJ83" s="106">
        <v>0</v>
      </c>
      <c r="AK83" s="106">
        <v>0</v>
      </c>
      <c r="AL83" s="106">
        <v>20.426658361881035</v>
      </c>
      <c r="AM83" s="106">
        <v>17575.096854562442</v>
      </c>
      <c r="AN83" s="106">
        <v>17.006440281030443</v>
      </c>
      <c r="AO83" s="106">
        <v>14632.341217798592</v>
      </c>
      <c r="AP83" s="106">
        <v>13.597305001295673</v>
      </c>
      <c r="AQ83" s="106">
        <v>11699.121223114797</v>
      </c>
      <c r="AR83" s="106">
        <v>0</v>
      </c>
      <c r="AS83" s="106">
        <v>0</v>
      </c>
      <c r="AT83" s="106">
        <v>80.431704260651628</v>
      </c>
      <c r="AU83" s="106">
        <v>69203.438345864663</v>
      </c>
      <c r="AV83" s="106">
        <v>41.374315639133542</v>
      </c>
      <c r="AW83" s="106">
        <v>35598.461175910496</v>
      </c>
      <c r="AX83" s="106">
        <v>36.306501919385795</v>
      </c>
      <c r="AY83" s="106">
        <v>31238.114251439536</v>
      </c>
      <c r="AZ83" s="106">
        <v>32</v>
      </c>
      <c r="BA83" s="106">
        <v>27532.799999999999</v>
      </c>
      <c r="BB83" s="106">
        <v>22.909361069836553</v>
      </c>
      <c r="BC83" s="106">
        <v>19711.214264487371</v>
      </c>
      <c r="BD83" s="106">
        <v>12.896388650042992</v>
      </c>
      <c r="BE83" s="106">
        <v>11096.052794496989</v>
      </c>
      <c r="BF83" s="106">
        <v>12.005202774813235</v>
      </c>
      <c r="BG83" s="106">
        <v>10329.276467449306</v>
      </c>
      <c r="BH83" s="106">
        <v>30.818611056462718</v>
      </c>
      <c r="BI83" s="106">
        <v>26516.332952980523</v>
      </c>
      <c r="BJ83" s="106">
        <v>0</v>
      </c>
      <c r="BK83" s="106">
        <v>0</v>
      </c>
      <c r="BL83" s="106">
        <v>26.306404004106778</v>
      </c>
      <c r="BM83" s="106">
        <v>22634.030005133471</v>
      </c>
      <c r="BN83" s="106">
        <v>27.774999999999999</v>
      </c>
      <c r="BO83" s="106">
        <v>23897.609999999997</v>
      </c>
      <c r="BP83" s="106">
        <v>16.024038461538463</v>
      </c>
      <c r="BQ83" s="106">
        <v>13787.082692307693</v>
      </c>
      <c r="BR83" s="106">
        <v>12.871092313350497</v>
      </c>
      <c r="BS83" s="106">
        <v>11074.287826406768</v>
      </c>
      <c r="BT83" s="106">
        <v>0</v>
      </c>
      <c r="BU83" s="106">
        <v>0</v>
      </c>
      <c r="BV83" s="106">
        <v>21.004537433829089</v>
      </c>
      <c r="BW83" s="106">
        <v>18072.304008066549</v>
      </c>
      <c r="BX83" s="106">
        <v>17.921569839307789</v>
      </c>
      <c r="BY83" s="106">
        <v>15419.718689740421</v>
      </c>
      <c r="BZ83" s="106">
        <v>0</v>
      </c>
      <c r="CA83" s="106">
        <v>0</v>
      </c>
      <c r="CB83" s="106">
        <v>24.080463182897862</v>
      </c>
      <c r="CC83" s="106">
        <v>20718.83052256532</v>
      </c>
      <c r="CD83" s="106">
        <v>12.453464673913043</v>
      </c>
      <c r="CE83" s="106">
        <v>10714.961005434781</v>
      </c>
      <c r="CF83" s="106">
        <v>20.162592592592592</v>
      </c>
      <c r="CG83" s="106">
        <v>17347.894666666667</v>
      </c>
      <c r="CH83" s="106">
        <v>13.659836065573771</v>
      </c>
      <c r="CI83" s="106">
        <v>11752.922950819671</v>
      </c>
      <c r="CJ83" s="106">
        <v>15.62630998345284</v>
      </c>
      <c r="CK83" s="106">
        <v>13444.877109762823</v>
      </c>
      <c r="CL83" s="106">
        <v>0</v>
      </c>
      <c r="CM83" s="106">
        <v>0</v>
      </c>
      <c r="CN83" s="106">
        <v>14.949788831534491</v>
      </c>
      <c r="CO83" s="106">
        <v>12862.798310652275</v>
      </c>
      <c r="CP83" s="106">
        <v>19.452177700348432</v>
      </c>
      <c r="CQ83" s="106">
        <v>16736.653693379791</v>
      </c>
      <c r="CR83" s="106">
        <v>17.109331903156605</v>
      </c>
      <c r="CS83" s="106">
        <v>14720.869169475942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24.507352941176471</v>
      </c>
      <c r="M84" s="106">
        <v>19145.144117647058</v>
      </c>
      <c r="N84" s="106">
        <v>21.927158866183259</v>
      </c>
      <c r="O84" s="106">
        <v>17129.49650626236</v>
      </c>
      <c r="P84" s="106">
        <v>25.815919578114698</v>
      </c>
      <c r="Q84" s="106">
        <v>20167.396374423202</v>
      </c>
      <c r="R84" s="106">
        <v>48.072115384615387</v>
      </c>
      <c r="S84" s="106">
        <v>37553.936538461538</v>
      </c>
      <c r="T84" s="106">
        <v>0</v>
      </c>
      <c r="U84" s="106">
        <v>0</v>
      </c>
      <c r="V84" s="106">
        <v>12.000261369576581</v>
      </c>
      <c r="W84" s="106">
        <v>9374.6041819132242</v>
      </c>
      <c r="X84" s="106">
        <v>17.994714707888157</v>
      </c>
      <c r="Y84" s="106">
        <v>14057.471129802227</v>
      </c>
      <c r="Z84" s="106">
        <v>10.606086410899964</v>
      </c>
      <c r="AA84" s="106">
        <v>8285.4747041950504</v>
      </c>
      <c r="AB84" s="106">
        <v>26.219599999999996</v>
      </c>
      <c r="AC84" s="106">
        <v>20482.751519999994</v>
      </c>
      <c r="AD84" s="106">
        <v>0</v>
      </c>
      <c r="AE84" s="106">
        <v>0</v>
      </c>
      <c r="AF84" s="106">
        <v>41</v>
      </c>
      <c r="AG84" s="106">
        <v>32029.199999999997</v>
      </c>
      <c r="AH84" s="106">
        <v>32.433810375670845</v>
      </c>
      <c r="AI84" s="106">
        <v>25337.292665474062</v>
      </c>
      <c r="AJ84" s="106">
        <v>0</v>
      </c>
      <c r="AK84" s="106">
        <v>0</v>
      </c>
      <c r="AL84" s="106">
        <v>17.508564310183743</v>
      </c>
      <c r="AM84" s="106">
        <v>13677.690439115539</v>
      </c>
      <c r="AN84" s="106">
        <v>18.103629976580798</v>
      </c>
      <c r="AO84" s="106">
        <v>14142.555737704919</v>
      </c>
      <c r="AP84" s="106">
        <v>14.568541072816791</v>
      </c>
      <c r="AQ84" s="106">
        <v>11380.944286084476</v>
      </c>
      <c r="AR84" s="106">
        <v>0</v>
      </c>
      <c r="AS84" s="106">
        <v>0</v>
      </c>
      <c r="AT84" s="106">
        <v>86.30263157894737</v>
      </c>
      <c r="AU84" s="106">
        <v>67419.615789473683</v>
      </c>
      <c r="AV84" s="106">
        <v>41.485836705546298</v>
      </c>
      <c r="AW84" s="106">
        <v>32408.735634372766</v>
      </c>
      <c r="AX84" s="106">
        <v>39.903430902111324</v>
      </c>
      <c r="AY84" s="106">
        <v>31172.560220729363</v>
      </c>
      <c r="AZ84" s="106">
        <v>34</v>
      </c>
      <c r="BA84" s="106">
        <v>26560.799999999999</v>
      </c>
      <c r="BB84" s="106">
        <v>21.147102526002971</v>
      </c>
      <c r="BC84" s="106">
        <v>16520.116493313519</v>
      </c>
      <c r="BD84" s="106">
        <v>12.896388650042992</v>
      </c>
      <c r="BE84" s="106">
        <v>10074.658813413584</v>
      </c>
      <c r="BF84" s="106">
        <v>11.115928495197439</v>
      </c>
      <c r="BG84" s="106">
        <v>8683.7633404482385</v>
      </c>
      <c r="BH84" s="106">
        <v>28.52360810544954</v>
      </c>
      <c r="BI84" s="106">
        <v>22282.642651977178</v>
      </c>
      <c r="BJ84" s="106">
        <v>0</v>
      </c>
      <c r="BK84" s="106">
        <v>0</v>
      </c>
      <c r="BL84" s="106">
        <v>27.803516427104725</v>
      </c>
      <c r="BM84" s="106">
        <v>21720.107032854208</v>
      </c>
      <c r="BN84" s="106">
        <v>30.640674603174599</v>
      </c>
      <c r="BO84" s="106">
        <v>23936.494999999995</v>
      </c>
      <c r="BP84" s="106">
        <v>15.523287259615385</v>
      </c>
      <c r="BQ84" s="106">
        <v>12126.792007211538</v>
      </c>
      <c r="BR84" s="106">
        <v>15.322728944464876</v>
      </c>
      <c r="BS84" s="106">
        <v>11970.11585141596</v>
      </c>
      <c r="BT84" s="106">
        <v>0</v>
      </c>
      <c r="BU84" s="106">
        <v>0</v>
      </c>
      <c r="BV84" s="106">
        <v>25.205444920594907</v>
      </c>
      <c r="BW84" s="106">
        <v>19690.493571968738</v>
      </c>
      <c r="BX84" s="106">
        <v>15.861619283065512</v>
      </c>
      <c r="BY84" s="106">
        <v>12391.096983930776</v>
      </c>
      <c r="BZ84" s="106">
        <v>0</v>
      </c>
      <c r="CA84" s="106">
        <v>0</v>
      </c>
      <c r="CB84" s="106">
        <v>23.75059382422803</v>
      </c>
      <c r="CC84" s="106">
        <v>18553.963895486937</v>
      </c>
      <c r="CD84" s="106">
        <v>12.61519798136646</v>
      </c>
      <c r="CE84" s="106">
        <v>9854.9926630434784</v>
      </c>
      <c r="CF84" s="106">
        <v>21.397037037037034</v>
      </c>
      <c r="CG84" s="106">
        <v>16715.365333333328</v>
      </c>
      <c r="CH84" s="106">
        <v>11.708430913348947</v>
      </c>
      <c r="CI84" s="106">
        <v>9146.626229508196</v>
      </c>
      <c r="CJ84" s="106">
        <v>16.085907335907336</v>
      </c>
      <c r="CK84" s="106">
        <v>12566.31081081081</v>
      </c>
      <c r="CL84" s="106">
        <v>0</v>
      </c>
      <c r="CM84" s="106">
        <v>0</v>
      </c>
      <c r="CN84" s="106">
        <v>16.26888784608165</v>
      </c>
      <c r="CO84" s="106">
        <v>12709.255185358985</v>
      </c>
      <c r="CP84" s="106">
        <v>19.161846689895469</v>
      </c>
      <c r="CQ84" s="106">
        <v>14969.23463414634</v>
      </c>
      <c r="CR84" s="106">
        <v>16.343242414955562</v>
      </c>
      <c r="CS84" s="106">
        <v>12767.340974563283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27.619397759103641</v>
      </c>
      <c r="M85" s="106">
        <v>4142.9096638655465</v>
      </c>
      <c r="N85" s="106">
        <v>25.324324324324326</v>
      </c>
      <c r="O85" s="106">
        <v>3798.6486486486488</v>
      </c>
      <c r="P85" s="106">
        <v>24.717369808833222</v>
      </c>
      <c r="Q85" s="106">
        <v>3707.6054713249832</v>
      </c>
      <c r="R85" s="106">
        <v>50.361263736263737</v>
      </c>
      <c r="S85" s="106">
        <v>7554.1895604395604</v>
      </c>
      <c r="T85" s="106">
        <v>0</v>
      </c>
      <c r="U85" s="106">
        <v>0</v>
      </c>
      <c r="V85" s="106">
        <v>11.755358076319917</v>
      </c>
      <c r="W85" s="106">
        <v>1763.3037114479876</v>
      </c>
      <c r="X85" s="106">
        <v>20.267731302568766</v>
      </c>
      <c r="Y85" s="106">
        <v>3040.159695385315</v>
      </c>
      <c r="Z85" s="106">
        <v>11.651756902115453</v>
      </c>
      <c r="AA85" s="106">
        <v>1747.763535317318</v>
      </c>
      <c r="AB85" s="106">
        <v>31.996799999999997</v>
      </c>
      <c r="AC85" s="106">
        <v>4799.5199999999995</v>
      </c>
      <c r="AD85" s="106">
        <v>0</v>
      </c>
      <c r="AE85" s="106">
        <v>0</v>
      </c>
      <c r="AF85" s="106">
        <v>52</v>
      </c>
      <c r="AG85" s="106">
        <v>7800</v>
      </c>
      <c r="AH85" s="106">
        <v>34.235688729874774</v>
      </c>
      <c r="AI85" s="106">
        <v>5135.3533094812165</v>
      </c>
      <c r="AJ85" s="106">
        <v>0</v>
      </c>
      <c r="AK85" s="106">
        <v>0</v>
      </c>
      <c r="AL85" s="106">
        <v>20.426658361881035</v>
      </c>
      <c r="AM85" s="106">
        <v>3063.9987542821555</v>
      </c>
      <c r="AN85" s="106">
        <v>21.120901639344265</v>
      </c>
      <c r="AO85" s="106">
        <v>3168.1352459016398</v>
      </c>
      <c r="AP85" s="106">
        <v>16.99663125161959</v>
      </c>
      <c r="AQ85" s="106">
        <v>2549.4946877429384</v>
      </c>
      <c r="AR85" s="106">
        <v>0</v>
      </c>
      <c r="AS85" s="106">
        <v>0</v>
      </c>
      <c r="AT85" s="106">
        <v>99.218671679197996</v>
      </c>
      <c r="AU85" s="106">
        <v>14882.800751879699</v>
      </c>
      <c r="AV85" s="106">
        <v>46.838847893358725</v>
      </c>
      <c r="AW85" s="106">
        <v>7025.8271840038087</v>
      </c>
      <c r="AX85" s="106">
        <v>42.601127639155472</v>
      </c>
      <c r="AY85" s="106">
        <v>6390.1691458733203</v>
      </c>
      <c r="AZ85" s="106">
        <v>33</v>
      </c>
      <c r="BA85" s="106">
        <v>4950</v>
      </c>
      <c r="BB85" s="106">
        <v>22.909361069836553</v>
      </c>
      <c r="BC85" s="106">
        <v>3436.404160475483</v>
      </c>
      <c r="BD85" s="106">
        <v>15.40401977644024</v>
      </c>
      <c r="BE85" s="106">
        <v>2310.6029664660359</v>
      </c>
      <c r="BF85" s="106">
        <v>11.560565635005336</v>
      </c>
      <c r="BG85" s="106">
        <v>1734.0848452508003</v>
      </c>
      <c r="BH85" s="106">
        <v>34.752901829628172</v>
      </c>
      <c r="BI85" s="106">
        <v>5212.9352744442258</v>
      </c>
      <c r="BJ85" s="106">
        <v>0</v>
      </c>
      <c r="BK85" s="106">
        <v>0</v>
      </c>
      <c r="BL85" s="106">
        <v>32.294853696098563</v>
      </c>
      <c r="BM85" s="106">
        <v>4844.2280544147843</v>
      </c>
      <c r="BN85" s="106">
        <v>31.522420634920636</v>
      </c>
      <c r="BO85" s="106">
        <v>4728.3630952380954</v>
      </c>
      <c r="BP85" s="106">
        <v>17.526292067307693</v>
      </c>
      <c r="BQ85" s="106">
        <v>2628.9438100961538</v>
      </c>
      <c r="BR85" s="106">
        <v>16.242092681132771</v>
      </c>
      <c r="BS85" s="106">
        <v>2436.3139021699158</v>
      </c>
      <c r="BT85" s="106">
        <v>0</v>
      </c>
      <c r="BU85" s="106">
        <v>0</v>
      </c>
      <c r="BV85" s="106">
        <v>25.205444920594907</v>
      </c>
      <c r="BW85" s="106">
        <v>3780.816738089236</v>
      </c>
      <c r="BX85" s="106">
        <v>19.775525339925832</v>
      </c>
      <c r="BY85" s="106">
        <v>2966.3288009888747</v>
      </c>
      <c r="BZ85" s="106">
        <v>0</v>
      </c>
      <c r="CA85" s="106">
        <v>0</v>
      </c>
      <c r="CB85" s="106">
        <v>24.410332541567694</v>
      </c>
      <c r="CC85" s="106">
        <v>3661.5498812351543</v>
      </c>
      <c r="CD85" s="106">
        <v>13.90906444099379</v>
      </c>
      <c r="CE85" s="106">
        <v>2086.3596661490683</v>
      </c>
      <c r="CF85" s="106">
        <v>21.808518518518518</v>
      </c>
      <c r="CG85" s="106">
        <v>3271.2777777777778</v>
      </c>
      <c r="CH85" s="106">
        <v>14.830679156908667</v>
      </c>
      <c r="CI85" s="106">
        <v>2224.6018735363</v>
      </c>
      <c r="CJ85" s="106">
        <v>15.166712630998346</v>
      </c>
      <c r="CK85" s="106">
        <v>2275.0068946497518</v>
      </c>
      <c r="CL85" s="106">
        <v>0</v>
      </c>
      <c r="CM85" s="106">
        <v>0</v>
      </c>
      <c r="CN85" s="106">
        <v>18.467386203660251</v>
      </c>
      <c r="CO85" s="106">
        <v>2770.1079305490375</v>
      </c>
      <c r="CP85" s="106">
        <v>18.581184668989547</v>
      </c>
      <c r="CQ85" s="106">
        <v>2787.1777003484322</v>
      </c>
      <c r="CR85" s="106">
        <v>18.641510879558687</v>
      </c>
      <c r="CS85" s="106">
        <v>2796.2266319338032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28.008403361344538</v>
      </c>
      <c r="M86" s="106">
        <v>15124.53781512605</v>
      </c>
      <c r="N86" s="106">
        <v>22.853658536585368</v>
      </c>
      <c r="O86" s="106">
        <v>12340.975609756098</v>
      </c>
      <c r="P86" s="106">
        <v>22.52027027027027</v>
      </c>
      <c r="Q86" s="106">
        <v>12160.945945945947</v>
      </c>
      <c r="R86" s="106">
        <v>43.035989010989006</v>
      </c>
      <c r="S86" s="106">
        <v>23239.434065934063</v>
      </c>
      <c r="T86" s="106">
        <v>0</v>
      </c>
      <c r="U86" s="106">
        <v>0</v>
      </c>
      <c r="V86" s="106">
        <v>12.734971249346575</v>
      </c>
      <c r="W86" s="106">
        <v>6876.8844746471505</v>
      </c>
      <c r="X86" s="106">
        <v>18.752386906115028</v>
      </c>
      <c r="Y86" s="106">
        <v>10126.288929302114</v>
      </c>
      <c r="Z86" s="106">
        <v>11.801138400860523</v>
      </c>
      <c r="AA86" s="106">
        <v>6372.6147364646822</v>
      </c>
      <c r="AB86" s="106">
        <v>31.552399999999999</v>
      </c>
      <c r="AC86" s="106">
        <v>17038.295999999998</v>
      </c>
      <c r="AD86" s="106">
        <v>0</v>
      </c>
      <c r="AE86" s="106">
        <v>0</v>
      </c>
      <c r="AF86" s="106">
        <v>49</v>
      </c>
      <c r="AG86" s="106">
        <v>26460</v>
      </c>
      <c r="AH86" s="106">
        <v>28.379584078711986</v>
      </c>
      <c r="AI86" s="106">
        <v>15324.975402504473</v>
      </c>
      <c r="AJ86" s="106">
        <v>0</v>
      </c>
      <c r="AK86" s="106">
        <v>0</v>
      </c>
      <c r="AL86" s="106">
        <v>20.426658361881035</v>
      </c>
      <c r="AM86" s="106">
        <v>11030.395515415759</v>
      </c>
      <c r="AN86" s="106">
        <v>18.103629976580798</v>
      </c>
      <c r="AO86" s="106">
        <v>9775.9601873536303</v>
      </c>
      <c r="AP86" s="106">
        <v>14.325732054936513</v>
      </c>
      <c r="AQ86" s="106">
        <v>7735.8953096657169</v>
      </c>
      <c r="AR86" s="106">
        <v>0</v>
      </c>
      <c r="AS86" s="106">
        <v>0</v>
      </c>
      <c r="AT86" s="106">
        <v>91.586466165413526</v>
      </c>
      <c r="AU86" s="106">
        <v>49456.691729323305</v>
      </c>
      <c r="AV86" s="106">
        <v>47.061890026184244</v>
      </c>
      <c r="AW86" s="106">
        <v>25413.420614139493</v>
      </c>
      <c r="AX86" s="106">
        <v>43.725167946257194</v>
      </c>
      <c r="AY86" s="106">
        <v>23611.590690978886</v>
      </c>
      <c r="AZ86" s="106">
        <v>37</v>
      </c>
      <c r="BA86" s="106">
        <v>19980</v>
      </c>
      <c r="BB86" s="106">
        <v>22.909361069836553</v>
      </c>
      <c r="BC86" s="106">
        <v>12371.054977711739</v>
      </c>
      <c r="BD86" s="106">
        <v>14.687553740326742</v>
      </c>
      <c r="BE86" s="106">
        <v>7931.2790197764407</v>
      </c>
      <c r="BF86" s="106">
        <v>12.449839914621132</v>
      </c>
      <c r="BG86" s="106">
        <v>6722.9135538954115</v>
      </c>
      <c r="BH86" s="106">
        <v>34.097186700767267</v>
      </c>
      <c r="BI86" s="106">
        <v>18412.480818414326</v>
      </c>
      <c r="BJ86" s="106">
        <v>0</v>
      </c>
      <c r="BK86" s="106">
        <v>0</v>
      </c>
      <c r="BL86" s="106">
        <v>27.161896817248458</v>
      </c>
      <c r="BM86" s="106">
        <v>14667.424281314166</v>
      </c>
      <c r="BN86" s="106">
        <v>33.285912698412695</v>
      </c>
      <c r="BO86" s="106">
        <v>17974.392857142855</v>
      </c>
      <c r="BP86" s="106">
        <v>14.521784855769232</v>
      </c>
      <c r="BQ86" s="106">
        <v>7841.7638221153848</v>
      </c>
      <c r="BR86" s="106">
        <v>15.322728944464876</v>
      </c>
      <c r="BS86" s="106">
        <v>8274.2736300110337</v>
      </c>
      <c r="BT86" s="106">
        <v>0</v>
      </c>
      <c r="BU86" s="106">
        <v>0</v>
      </c>
      <c r="BV86" s="106">
        <v>23.945172674565164</v>
      </c>
      <c r="BW86" s="106">
        <v>12930.393244265189</v>
      </c>
      <c r="BX86" s="106">
        <v>15.655624227441287</v>
      </c>
      <c r="BY86" s="106">
        <v>8454.0370828182949</v>
      </c>
      <c r="BZ86" s="106">
        <v>0</v>
      </c>
      <c r="CA86" s="106">
        <v>0</v>
      </c>
      <c r="CB86" s="106">
        <v>24.74020190023753</v>
      </c>
      <c r="CC86" s="106">
        <v>13359.709026128266</v>
      </c>
      <c r="CD86" s="106">
        <v>12.12999805900621</v>
      </c>
      <c r="CE86" s="106">
        <v>6550.1989518633536</v>
      </c>
      <c r="CF86" s="106">
        <v>18.105185185185185</v>
      </c>
      <c r="CG86" s="106">
        <v>9776.7999999999993</v>
      </c>
      <c r="CH86" s="106">
        <v>12.879274004683841</v>
      </c>
      <c r="CI86" s="106">
        <v>6954.8079625292739</v>
      </c>
      <c r="CJ86" s="106">
        <v>16.085907335907336</v>
      </c>
      <c r="CK86" s="106">
        <v>8686.3899613899612</v>
      </c>
      <c r="CL86" s="106">
        <v>0</v>
      </c>
      <c r="CM86" s="106">
        <v>0</v>
      </c>
      <c r="CN86" s="106">
        <v>16.26888784608165</v>
      </c>
      <c r="CO86" s="106">
        <v>8785.1994368840915</v>
      </c>
      <c r="CP86" s="106">
        <v>18.87151567944251</v>
      </c>
      <c r="CQ86" s="106">
        <v>10190.618466898955</v>
      </c>
      <c r="CR86" s="106">
        <v>15.32178976402084</v>
      </c>
      <c r="CS86" s="106">
        <v>8273.766472571253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17.310749299719888</v>
      </c>
      <c r="M87" s="106">
        <v>33839.052731092437</v>
      </c>
      <c r="N87" s="106">
        <v>31.809822017139087</v>
      </c>
      <c r="O87" s="106">
        <v>62181.840079103487</v>
      </c>
      <c r="P87" s="106">
        <v>24.900461437046804</v>
      </c>
      <c r="Q87" s="106">
        <v>48675.422017139092</v>
      </c>
      <c r="R87" s="106">
        <v>36.626373626373628</v>
      </c>
      <c r="S87" s="106">
        <v>71597.235164835161</v>
      </c>
      <c r="T87" s="106">
        <v>0</v>
      </c>
      <c r="U87" s="106">
        <v>0</v>
      </c>
      <c r="V87" s="106">
        <v>29.388395190799788</v>
      </c>
      <c r="W87" s="106">
        <v>57448.434918975421</v>
      </c>
      <c r="X87" s="106">
        <v>26.707944987497161</v>
      </c>
      <c r="Y87" s="106">
        <v>52208.690861559451</v>
      </c>
      <c r="Z87" s="106">
        <v>33.461455718895664</v>
      </c>
      <c r="AA87" s="106">
        <v>65410.453639297244</v>
      </c>
      <c r="AB87" s="106">
        <v>22.664399999999997</v>
      </c>
      <c r="AC87" s="106">
        <v>44304.369119999996</v>
      </c>
      <c r="AD87" s="106">
        <v>0</v>
      </c>
      <c r="AE87" s="106">
        <v>0</v>
      </c>
      <c r="AF87" s="106">
        <v>61</v>
      </c>
      <c r="AG87" s="106">
        <v>119242.8</v>
      </c>
      <c r="AH87" s="106">
        <v>37.388975849731665</v>
      </c>
      <c r="AI87" s="106">
        <v>73087.969991055463</v>
      </c>
      <c r="AJ87" s="106">
        <v>0</v>
      </c>
      <c r="AK87" s="106">
        <v>0</v>
      </c>
      <c r="AL87" s="106">
        <v>43.187791965119899</v>
      </c>
      <c r="AM87" s="106">
        <v>84423.495733416377</v>
      </c>
      <c r="AN87" s="106">
        <v>35.932962529274008</v>
      </c>
      <c r="AO87" s="106">
        <v>70241.755152224825</v>
      </c>
      <c r="AP87" s="106">
        <v>38.849442860844782</v>
      </c>
      <c r="AQ87" s="106">
        <v>75942.890904379383</v>
      </c>
      <c r="AR87" s="106">
        <v>0</v>
      </c>
      <c r="AS87" s="106">
        <v>0</v>
      </c>
      <c r="AT87" s="106">
        <v>9.9805764411027571</v>
      </c>
      <c r="AU87" s="106">
        <v>19510.030827067669</v>
      </c>
      <c r="AV87" s="106">
        <v>7.0258271840038091</v>
      </c>
      <c r="AW87" s="106">
        <v>13734.086979290645</v>
      </c>
      <c r="AX87" s="106">
        <v>6.294625719769674</v>
      </c>
      <c r="AY87" s="106">
        <v>12304.734357005758</v>
      </c>
      <c r="AZ87" s="106">
        <v>63</v>
      </c>
      <c r="BA87" s="106">
        <v>123152.4</v>
      </c>
      <c r="BB87" s="106">
        <v>54.042595344229817</v>
      </c>
      <c r="BC87" s="106">
        <v>105642.46537890044</v>
      </c>
      <c r="BD87" s="106">
        <v>39.405631986242476</v>
      </c>
      <c r="BE87" s="106">
        <v>77030.129406706794</v>
      </c>
      <c r="BF87" s="106">
        <v>29.790688367129132</v>
      </c>
      <c r="BG87" s="106">
        <v>58234.837620064027</v>
      </c>
      <c r="BH87" s="106">
        <v>11.802872319496361</v>
      </c>
      <c r="BI87" s="106">
        <v>23072.254810151484</v>
      </c>
      <c r="BJ87" s="106">
        <v>0</v>
      </c>
      <c r="BK87" s="106">
        <v>0</v>
      </c>
      <c r="BL87" s="106">
        <v>11.12140657084189</v>
      </c>
      <c r="BM87" s="106">
        <v>21740.125564681726</v>
      </c>
      <c r="BN87" s="106">
        <v>11.68313492063492</v>
      </c>
      <c r="BO87" s="106">
        <v>22838.19214285714</v>
      </c>
      <c r="BP87" s="106">
        <v>68.102163461538467</v>
      </c>
      <c r="BQ87" s="106">
        <v>133126.1091346154</v>
      </c>
      <c r="BR87" s="106">
        <v>26.968002942258185</v>
      </c>
      <c r="BS87" s="106">
        <v>52717.052151526295</v>
      </c>
      <c r="BT87" s="106">
        <v>0</v>
      </c>
      <c r="BU87" s="106">
        <v>0</v>
      </c>
      <c r="BV87" s="106">
        <v>73.515881018401814</v>
      </c>
      <c r="BW87" s="106">
        <v>143708.84421477187</v>
      </c>
      <c r="BX87" s="106">
        <v>13.183683559950557</v>
      </c>
      <c r="BY87" s="106">
        <v>25771.464622991349</v>
      </c>
      <c r="BZ87" s="106">
        <v>0</v>
      </c>
      <c r="CA87" s="106">
        <v>0</v>
      </c>
      <c r="CB87" s="106">
        <v>24.410332541567694</v>
      </c>
      <c r="CC87" s="106">
        <v>47717.318052256531</v>
      </c>
      <c r="CD87" s="106">
        <v>12.453464673913043</v>
      </c>
      <c r="CE87" s="106">
        <v>24344.032744565215</v>
      </c>
      <c r="CF87" s="106">
        <v>33.33</v>
      </c>
      <c r="CG87" s="106">
        <v>65153.483999999997</v>
      </c>
      <c r="CH87" s="106">
        <v>39.808665105386417</v>
      </c>
      <c r="CI87" s="106">
        <v>77817.978548009371</v>
      </c>
      <c r="CJ87" s="106">
        <v>33.091009376723662</v>
      </c>
      <c r="CK87" s="106">
        <v>64686.30512961941</v>
      </c>
      <c r="CL87" s="106">
        <v>0</v>
      </c>
      <c r="CM87" s="106">
        <v>0</v>
      </c>
      <c r="CN87" s="106">
        <v>10.552792116377288</v>
      </c>
      <c r="CO87" s="106">
        <v>20628.598029094323</v>
      </c>
      <c r="CP87" s="106">
        <v>13.355226480836238</v>
      </c>
      <c r="CQ87" s="106">
        <v>26106.796724738677</v>
      </c>
      <c r="CR87" s="106">
        <v>13.023521299417713</v>
      </c>
      <c r="CS87" s="106">
        <v>25458.379436101743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16.921743697478991</v>
      </c>
      <c r="M88" s="106">
        <v>32022.707773109239</v>
      </c>
      <c r="N88" s="106">
        <v>27.177323665128544</v>
      </c>
      <c r="O88" s="106">
        <v>51430.367303889252</v>
      </c>
      <c r="P88" s="106">
        <v>26.7313777191826</v>
      </c>
      <c r="Q88" s="106">
        <v>50586.45919578115</v>
      </c>
      <c r="R88" s="106">
        <v>39.831181318681317</v>
      </c>
      <c r="S88" s="106">
        <v>75376.527527472514</v>
      </c>
      <c r="T88" s="106">
        <v>0</v>
      </c>
      <c r="U88" s="106">
        <v>0</v>
      </c>
      <c r="V88" s="106">
        <v>26.939362258233142</v>
      </c>
      <c r="W88" s="106">
        <v>50980.049137480397</v>
      </c>
      <c r="X88" s="106">
        <v>25.760854739713572</v>
      </c>
      <c r="Y88" s="106">
        <v>48749.841509433958</v>
      </c>
      <c r="Z88" s="106">
        <v>33.760218716385801</v>
      </c>
      <c r="AA88" s="106">
        <v>63887.837898888487</v>
      </c>
      <c r="AB88" s="106">
        <v>25.3308</v>
      </c>
      <c r="AC88" s="106">
        <v>47936.005919999996</v>
      </c>
      <c r="AD88" s="106">
        <v>0</v>
      </c>
      <c r="AE88" s="106">
        <v>0</v>
      </c>
      <c r="AF88" s="106">
        <v>65</v>
      </c>
      <c r="AG88" s="106">
        <v>123005.99999999999</v>
      </c>
      <c r="AH88" s="106">
        <v>39.190854203935601</v>
      </c>
      <c r="AI88" s="106">
        <v>74164.772495527723</v>
      </c>
      <c r="AJ88" s="106">
        <v>0</v>
      </c>
      <c r="AK88" s="106">
        <v>0</v>
      </c>
      <c r="AL88" s="106">
        <v>38.810650887573971</v>
      </c>
      <c r="AM88" s="106">
        <v>73445.275739644974</v>
      </c>
      <c r="AN88" s="106">
        <v>35.110070257611241</v>
      </c>
      <c r="AO88" s="106">
        <v>66442.296955503509</v>
      </c>
      <c r="AP88" s="106">
        <v>38.363824825084215</v>
      </c>
      <c r="AQ88" s="106">
        <v>72599.702098989364</v>
      </c>
      <c r="AR88" s="106">
        <v>0</v>
      </c>
      <c r="AS88" s="106">
        <v>0</v>
      </c>
      <c r="AT88" s="106">
        <v>11.154761904761903</v>
      </c>
      <c r="AU88" s="106">
        <v>21109.271428571425</v>
      </c>
      <c r="AV88" s="106">
        <v>6.802785051178291</v>
      </c>
      <c r="AW88" s="106">
        <v>12873.590430849797</v>
      </c>
      <c r="AX88" s="106">
        <v>5.8450095969289828</v>
      </c>
      <c r="AY88" s="106">
        <v>11061.096161228406</v>
      </c>
      <c r="AZ88" s="106">
        <v>58</v>
      </c>
      <c r="BA88" s="106">
        <v>109759.2</v>
      </c>
      <c r="BB88" s="106">
        <v>60.504210004952945</v>
      </c>
      <c r="BC88" s="106">
        <v>114498.16701337295</v>
      </c>
      <c r="BD88" s="106">
        <v>36.181534823731731</v>
      </c>
      <c r="BE88" s="106">
        <v>68469.936500429918</v>
      </c>
      <c r="BF88" s="106">
        <v>28.901414087513341</v>
      </c>
      <c r="BG88" s="106">
        <v>54693.036019210245</v>
      </c>
      <c r="BH88" s="106">
        <v>11.966801101711587</v>
      </c>
      <c r="BI88" s="106">
        <v>22645.974404879005</v>
      </c>
      <c r="BJ88" s="106">
        <v>0</v>
      </c>
      <c r="BK88" s="106">
        <v>0</v>
      </c>
      <c r="BL88" s="106">
        <v>10.479786960985628</v>
      </c>
      <c r="BM88" s="106">
        <v>19831.9488449692</v>
      </c>
      <c r="BN88" s="106">
        <v>11.68313492063492</v>
      </c>
      <c r="BO88" s="106">
        <v>22109.164523809523</v>
      </c>
      <c r="BP88" s="106">
        <v>60.090144230769226</v>
      </c>
      <c r="BQ88" s="106">
        <v>113714.58894230767</v>
      </c>
      <c r="BR88" s="106">
        <v>30.645457888929752</v>
      </c>
      <c r="BS88" s="106">
        <v>57993.464509010657</v>
      </c>
      <c r="BT88" s="106">
        <v>0</v>
      </c>
      <c r="BU88" s="106">
        <v>0</v>
      </c>
      <c r="BV88" s="106">
        <v>63.013612301487271</v>
      </c>
      <c r="BW88" s="106">
        <v>119246.95991933451</v>
      </c>
      <c r="BX88" s="106">
        <v>13.595673671199009</v>
      </c>
      <c r="BY88" s="106">
        <v>25728.452855377003</v>
      </c>
      <c r="BZ88" s="106">
        <v>0</v>
      </c>
      <c r="CA88" s="106">
        <v>0</v>
      </c>
      <c r="CB88" s="106">
        <v>27.3791567695962</v>
      </c>
      <c r="CC88" s="106">
        <v>51812.316270783842</v>
      </c>
      <c r="CD88" s="106">
        <v>12.291731366459627</v>
      </c>
      <c r="CE88" s="106">
        <v>23260.872437888196</v>
      </c>
      <c r="CF88" s="106">
        <v>38.267777777777781</v>
      </c>
      <c r="CG88" s="106">
        <v>72417.94266666667</v>
      </c>
      <c r="CH88" s="106">
        <v>35.515573770491798</v>
      </c>
      <c r="CI88" s="106">
        <v>67209.671803278674</v>
      </c>
      <c r="CJ88" s="106">
        <v>36.767788196359625</v>
      </c>
      <c r="CK88" s="106">
        <v>69579.362382790947</v>
      </c>
      <c r="CL88" s="106">
        <v>0</v>
      </c>
      <c r="CM88" s="106">
        <v>0</v>
      </c>
      <c r="CN88" s="106">
        <v>10.992491787893009</v>
      </c>
      <c r="CO88" s="106">
        <v>20802.191459408728</v>
      </c>
      <c r="CP88" s="106">
        <v>14.226219512195122</v>
      </c>
      <c r="CQ88" s="106">
        <v>26921.697804878047</v>
      </c>
      <c r="CR88" s="106">
        <v>12.512794973950353</v>
      </c>
      <c r="CS88" s="106">
        <v>23679.213208703644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14.393207282913167</v>
      </c>
      <c r="M89" s="106">
        <v>34509.153781512607</v>
      </c>
      <c r="N89" s="106">
        <v>28.412656558998023</v>
      </c>
      <c r="O89" s="106">
        <v>68122.185365853657</v>
      </c>
      <c r="P89" s="106">
        <v>23.801911667765324</v>
      </c>
      <c r="Q89" s="106">
        <v>57067.463414634141</v>
      </c>
      <c r="R89" s="106">
        <v>29.758928571428569</v>
      </c>
      <c r="S89" s="106">
        <v>71350.007142857139</v>
      </c>
      <c r="T89" s="106">
        <v>0</v>
      </c>
      <c r="U89" s="106">
        <v>0</v>
      </c>
      <c r="V89" s="106">
        <v>23.510716152639834</v>
      </c>
      <c r="W89" s="106">
        <v>56369.293047569263</v>
      </c>
      <c r="X89" s="106">
        <v>21.593657649465786</v>
      </c>
      <c r="Y89" s="106">
        <v>51772.953580359164</v>
      </c>
      <c r="Z89" s="106">
        <v>26.291143779132305</v>
      </c>
      <c r="AA89" s="106">
        <v>63035.646324847614</v>
      </c>
      <c r="AB89" s="106">
        <v>20.886800000000001</v>
      </c>
      <c r="AC89" s="106">
        <v>50078.191680000004</v>
      </c>
      <c r="AD89" s="106">
        <v>0</v>
      </c>
      <c r="AE89" s="106">
        <v>0</v>
      </c>
      <c r="AF89" s="106">
        <v>60</v>
      </c>
      <c r="AG89" s="106">
        <v>143856</v>
      </c>
      <c r="AH89" s="106">
        <v>31.983340787119857</v>
      </c>
      <c r="AI89" s="106">
        <v>76683.25787119857</v>
      </c>
      <c r="AJ89" s="106">
        <v>0</v>
      </c>
      <c r="AK89" s="106">
        <v>0</v>
      </c>
      <c r="AL89" s="106">
        <v>38.810650887573971</v>
      </c>
      <c r="AM89" s="106">
        <v>93052.416568047352</v>
      </c>
      <c r="AN89" s="106">
        <v>28.526932084309134</v>
      </c>
      <c r="AO89" s="106">
        <v>68396.172365339575</v>
      </c>
      <c r="AP89" s="106">
        <v>33.50764446747862</v>
      </c>
      <c r="AQ89" s="106">
        <v>80337.928375226737</v>
      </c>
      <c r="AR89" s="106">
        <v>0</v>
      </c>
      <c r="AS89" s="106">
        <v>0</v>
      </c>
      <c r="AT89" s="106">
        <v>9.0999373433583948</v>
      </c>
      <c r="AU89" s="106">
        <v>21818.009774436086</v>
      </c>
      <c r="AV89" s="106">
        <v>6.5797429183527729</v>
      </c>
      <c r="AW89" s="106">
        <v>15775.591621042608</v>
      </c>
      <c r="AX89" s="106">
        <v>6.0698176583493284</v>
      </c>
      <c r="AY89" s="106">
        <v>14552.994817658349</v>
      </c>
      <c r="AZ89" s="106">
        <v>56</v>
      </c>
      <c r="BA89" s="106">
        <v>134265.60000000001</v>
      </c>
      <c r="BB89" s="106">
        <v>52.280336800396242</v>
      </c>
      <c r="BC89" s="106">
        <v>125347.33551263003</v>
      </c>
      <c r="BD89" s="106">
        <v>35.106835769561478</v>
      </c>
      <c r="BE89" s="106">
        <v>84172.149441100599</v>
      </c>
      <c r="BF89" s="106">
        <v>25.344316969050158</v>
      </c>
      <c r="BG89" s="106">
        <v>60765.534364994659</v>
      </c>
      <c r="BH89" s="106">
        <v>9.8357269329136336</v>
      </c>
      <c r="BI89" s="106">
        <v>23582.138894353728</v>
      </c>
      <c r="BJ89" s="106">
        <v>0</v>
      </c>
      <c r="BK89" s="106">
        <v>0</v>
      </c>
      <c r="BL89" s="106">
        <v>9.6242941478439423</v>
      </c>
      <c r="BM89" s="106">
        <v>23075.207648870637</v>
      </c>
      <c r="BN89" s="106">
        <v>11.242261904761905</v>
      </c>
      <c r="BO89" s="106">
        <v>26954.447142857145</v>
      </c>
      <c r="BP89" s="106">
        <v>55.08263221153846</v>
      </c>
      <c r="BQ89" s="106">
        <v>132066.1189903846</v>
      </c>
      <c r="BR89" s="106">
        <v>26.355093784479589</v>
      </c>
      <c r="BS89" s="106">
        <v>63188.972857668261</v>
      </c>
      <c r="BT89" s="106">
        <v>0</v>
      </c>
      <c r="BU89" s="106">
        <v>0</v>
      </c>
      <c r="BV89" s="106">
        <v>55.872069573985385</v>
      </c>
      <c r="BW89" s="106">
        <v>133958.87401058734</v>
      </c>
      <c r="BX89" s="106">
        <v>11.741718170580963</v>
      </c>
      <c r="BY89" s="106">
        <v>28151.943485784916</v>
      </c>
      <c r="BZ89" s="106">
        <v>0</v>
      </c>
      <c r="CA89" s="106">
        <v>0</v>
      </c>
      <c r="CB89" s="106">
        <v>22.101247030878859</v>
      </c>
      <c r="CC89" s="106">
        <v>52989.949881235152</v>
      </c>
      <c r="CD89" s="106">
        <v>10.027465062111801</v>
      </c>
      <c r="CE89" s="106">
        <v>24041.850232919252</v>
      </c>
      <c r="CF89" s="106">
        <v>31.272592592592591</v>
      </c>
      <c r="CG89" s="106">
        <v>74979.167999999991</v>
      </c>
      <c r="CH89" s="106">
        <v>31.22248243559719</v>
      </c>
      <c r="CI89" s="106">
        <v>74859.023887587813</v>
      </c>
      <c r="CJ89" s="106">
        <v>33.550606729178156</v>
      </c>
      <c r="CK89" s="106">
        <v>80440.934693877542</v>
      </c>
      <c r="CL89" s="106">
        <v>0</v>
      </c>
      <c r="CM89" s="106">
        <v>0</v>
      </c>
      <c r="CN89" s="106">
        <v>10.552792116377288</v>
      </c>
      <c r="CO89" s="106">
        <v>25301.374378226184</v>
      </c>
      <c r="CP89" s="106">
        <v>13.355226480836238</v>
      </c>
      <c r="CQ89" s="106">
        <v>32020.491010452963</v>
      </c>
      <c r="CR89" s="106">
        <v>10.469889672080908</v>
      </c>
      <c r="CS89" s="106">
        <v>25102.607477781185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15.949229691876752</v>
      </c>
      <c r="M90" s="106">
        <v>35043.647478991596</v>
      </c>
      <c r="N90" s="106">
        <v>28.721489782465394</v>
      </c>
      <c r="O90" s="106">
        <v>63106.857350032958</v>
      </c>
      <c r="P90" s="106">
        <v>21.238628872775216</v>
      </c>
      <c r="Q90" s="106">
        <v>46665.515359261699</v>
      </c>
      <c r="R90" s="106">
        <v>33.421565934065939</v>
      </c>
      <c r="S90" s="106">
        <v>73433.864670329669</v>
      </c>
      <c r="T90" s="106">
        <v>0</v>
      </c>
      <c r="U90" s="106">
        <v>0</v>
      </c>
      <c r="V90" s="106">
        <v>28.653685311029797</v>
      </c>
      <c r="W90" s="106">
        <v>62957.877365394663</v>
      </c>
      <c r="X90" s="106">
        <v>25.571436690156855</v>
      </c>
      <c r="Y90" s="106">
        <v>56185.560695612636</v>
      </c>
      <c r="Z90" s="106">
        <v>28.681247759053424</v>
      </c>
      <c r="AA90" s="106">
        <v>63018.437576192176</v>
      </c>
      <c r="AB90" s="106">
        <v>23.5532</v>
      </c>
      <c r="AC90" s="106">
        <v>51751.091039999999</v>
      </c>
      <c r="AD90" s="106">
        <v>0</v>
      </c>
      <c r="AE90" s="106">
        <v>0</v>
      </c>
      <c r="AF90" s="106">
        <v>52</v>
      </c>
      <c r="AG90" s="106">
        <v>114254.39999999999</v>
      </c>
      <c r="AH90" s="106">
        <v>32.884279964221825</v>
      </c>
      <c r="AI90" s="106">
        <v>72253.339937388184</v>
      </c>
      <c r="AJ90" s="106">
        <v>0</v>
      </c>
      <c r="AK90" s="106">
        <v>0</v>
      </c>
      <c r="AL90" s="106">
        <v>35.600747430706939</v>
      </c>
      <c r="AM90" s="106">
        <v>78221.962254749276</v>
      </c>
      <c r="AN90" s="106">
        <v>29.075526932084308</v>
      </c>
      <c r="AO90" s="106">
        <v>63884.747775175638</v>
      </c>
      <c r="AP90" s="106">
        <v>40.063487950246177</v>
      </c>
      <c r="AQ90" s="106">
        <v>88027.495724280889</v>
      </c>
      <c r="AR90" s="106">
        <v>0</v>
      </c>
      <c r="AS90" s="106">
        <v>0</v>
      </c>
      <c r="AT90" s="106">
        <v>8.8063909774436091</v>
      </c>
      <c r="AU90" s="106">
        <v>19349.402255639096</v>
      </c>
      <c r="AV90" s="106">
        <v>6.0221375862889781</v>
      </c>
      <c r="AW90" s="106">
        <v>13231.840704594142</v>
      </c>
      <c r="AX90" s="106">
        <v>6.4070297504798459</v>
      </c>
      <c r="AY90" s="106">
        <v>14077.525767754316</v>
      </c>
      <c r="AZ90" s="106">
        <v>55</v>
      </c>
      <c r="BA90" s="106">
        <v>120845.99999999999</v>
      </c>
      <c r="BB90" s="106">
        <v>54.630014858841015</v>
      </c>
      <c r="BC90" s="106">
        <v>120033.06864784547</v>
      </c>
      <c r="BD90" s="106">
        <v>39.405631986242476</v>
      </c>
      <c r="BE90" s="106">
        <v>86582.054600171963</v>
      </c>
      <c r="BF90" s="106">
        <v>26.678228388473851</v>
      </c>
      <c r="BG90" s="106">
        <v>58617.403415154738</v>
      </c>
      <c r="BH90" s="106">
        <v>11.475014755065905</v>
      </c>
      <c r="BI90" s="106">
        <v>25212.902419830803</v>
      </c>
      <c r="BJ90" s="106">
        <v>0</v>
      </c>
      <c r="BK90" s="106">
        <v>0</v>
      </c>
      <c r="BL90" s="106">
        <v>10.052040554414784</v>
      </c>
      <c r="BM90" s="106">
        <v>22086.343506160163</v>
      </c>
      <c r="BN90" s="106">
        <v>11.462698412698414</v>
      </c>
      <c r="BO90" s="106">
        <v>25185.840952380953</v>
      </c>
      <c r="BP90" s="106">
        <v>66.599909855769226</v>
      </c>
      <c r="BQ90" s="106">
        <v>146333.32193509614</v>
      </c>
      <c r="BR90" s="106">
        <v>26.355093784479589</v>
      </c>
      <c r="BS90" s="106">
        <v>57907.412063258547</v>
      </c>
      <c r="BT90" s="106">
        <v>0</v>
      </c>
      <c r="BU90" s="106">
        <v>0</v>
      </c>
      <c r="BV90" s="106">
        <v>60.913158558104364</v>
      </c>
      <c r="BW90" s="106">
        <v>133838.3919838669</v>
      </c>
      <c r="BX90" s="106">
        <v>12.977688504326329</v>
      </c>
      <c r="BY90" s="106">
        <v>28514.577181705808</v>
      </c>
      <c r="BZ90" s="106">
        <v>0</v>
      </c>
      <c r="CA90" s="106">
        <v>0</v>
      </c>
      <c r="CB90" s="106">
        <v>26.389548693586697</v>
      </c>
      <c r="CC90" s="106">
        <v>57983.116389548682</v>
      </c>
      <c r="CD90" s="106">
        <v>10.836131599378882</v>
      </c>
      <c r="CE90" s="106">
        <v>23809.148350155279</v>
      </c>
      <c r="CF90" s="106">
        <v>30.449629629629634</v>
      </c>
      <c r="CG90" s="106">
        <v>66903.926222222231</v>
      </c>
      <c r="CH90" s="106">
        <v>37.07669789227166</v>
      </c>
      <c r="CI90" s="106">
        <v>81464.92060889928</v>
      </c>
      <c r="CJ90" s="106">
        <v>30.333425261996691</v>
      </c>
      <c r="CK90" s="106">
        <v>66648.60198565913</v>
      </c>
      <c r="CL90" s="106">
        <v>0</v>
      </c>
      <c r="CM90" s="106">
        <v>0</v>
      </c>
      <c r="CN90" s="106">
        <v>11.87189113092445</v>
      </c>
      <c r="CO90" s="106">
        <v>26084.919192867197</v>
      </c>
      <c r="CP90" s="106">
        <v>11.613240418118467</v>
      </c>
      <c r="CQ90" s="106">
        <v>25516.611846689895</v>
      </c>
      <c r="CR90" s="106">
        <v>10.725252834814588</v>
      </c>
      <c r="CS90" s="106">
        <v>23565.525528654613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15.17121848739496</v>
      </c>
      <c r="M91" s="106">
        <v>34845.25462184874</v>
      </c>
      <c r="N91" s="106">
        <v>29.030323005932761</v>
      </c>
      <c r="O91" s="106">
        <v>66676.845880026362</v>
      </c>
      <c r="P91" s="106">
        <v>24.534278180619644</v>
      </c>
      <c r="Q91" s="106">
        <v>56350.330125247194</v>
      </c>
      <c r="R91" s="106">
        <v>36.168543956043955</v>
      </c>
      <c r="S91" s="106">
        <v>83071.911758241738</v>
      </c>
      <c r="T91" s="106">
        <v>0</v>
      </c>
      <c r="U91" s="106">
        <v>0</v>
      </c>
      <c r="V91" s="106">
        <v>26.204652378463145</v>
      </c>
      <c r="W91" s="106">
        <v>60186.845582854141</v>
      </c>
      <c r="X91" s="106">
        <v>20.646567401682198</v>
      </c>
      <c r="Y91" s="106">
        <v>47421.03600818367</v>
      </c>
      <c r="Z91" s="106">
        <v>27.336814270347794</v>
      </c>
      <c r="AA91" s="106">
        <v>62787.195016134807</v>
      </c>
      <c r="AB91" s="106">
        <v>20.442399999999999</v>
      </c>
      <c r="AC91" s="106">
        <v>46952.104319999991</v>
      </c>
      <c r="AD91" s="106">
        <v>0</v>
      </c>
      <c r="AE91" s="106">
        <v>0</v>
      </c>
      <c r="AF91" s="106">
        <v>53</v>
      </c>
      <c r="AG91" s="106">
        <v>121730.39999999998</v>
      </c>
      <c r="AH91" s="106">
        <v>31.53287119856887</v>
      </c>
      <c r="AI91" s="106">
        <v>72424.698568872976</v>
      </c>
      <c r="AJ91" s="106">
        <v>0</v>
      </c>
      <c r="AK91" s="106">
        <v>0</v>
      </c>
      <c r="AL91" s="106">
        <v>36.184366241046405</v>
      </c>
      <c r="AM91" s="106">
        <v>83108.25238243537</v>
      </c>
      <c r="AN91" s="106">
        <v>30.447014051522249</v>
      </c>
      <c r="AO91" s="106">
        <v>69930.701873536294</v>
      </c>
      <c r="AP91" s="106">
        <v>38.606633842964499</v>
      </c>
      <c r="AQ91" s="106">
        <v>88671.716610520845</v>
      </c>
      <c r="AR91" s="106">
        <v>0</v>
      </c>
      <c r="AS91" s="106">
        <v>0</v>
      </c>
      <c r="AT91" s="106">
        <v>9.3934837092731822</v>
      </c>
      <c r="AU91" s="106">
        <v>21574.953383458644</v>
      </c>
      <c r="AV91" s="106">
        <v>5.6875743870507023</v>
      </c>
      <c r="AW91" s="106">
        <v>13063.220852178052</v>
      </c>
      <c r="AX91" s="106">
        <v>5.6202015355086372</v>
      </c>
      <c r="AY91" s="106">
        <v>12908.478886756237</v>
      </c>
      <c r="AZ91" s="106">
        <v>54</v>
      </c>
      <c r="BA91" s="106">
        <v>124027.19999999998</v>
      </c>
      <c r="BB91" s="106">
        <v>49.343239227340263</v>
      </c>
      <c r="BC91" s="106">
        <v>113331.55185735511</v>
      </c>
      <c r="BD91" s="106">
        <v>36.539767841788475</v>
      </c>
      <c r="BE91" s="106">
        <v>83924.538779019756</v>
      </c>
      <c r="BF91" s="106">
        <v>26.233591248665952</v>
      </c>
      <c r="BG91" s="106">
        <v>60253.312379935953</v>
      </c>
      <c r="BH91" s="106">
        <v>11.311085972850679</v>
      </c>
      <c r="BI91" s="106">
        <v>25979.302262443434</v>
      </c>
      <c r="BJ91" s="106">
        <v>0</v>
      </c>
      <c r="BK91" s="106">
        <v>0</v>
      </c>
      <c r="BL91" s="106">
        <v>10.052040554414784</v>
      </c>
      <c r="BM91" s="106">
        <v>23087.526745379873</v>
      </c>
      <c r="BN91" s="106">
        <v>11.242261904761905</v>
      </c>
      <c r="BO91" s="106">
        <v>25821.22714285714</v>
      </c>
      <c r="BP91" s="106">
        <v>65.09765625</v>
      </c>
      <c r="BQ91" s="106">
        <v>149516.29687499997</v>
      </c>
      <c r="BR91" s="106">
        <v>28.50027583670467</v>
      </c>
      <c r="BS91" s="106">
        <v>65459.433541743281</v>
      </c>
      <c r="BT91" s="106">
        <v>0</v>
      </c>
      <c r="BU91" s="106">
        <v>0</v>
      </c>
      <c r="BV91" s="106">
        <v>57.5524325686917</v>
      </c>
      <c r="BW91" s="106">
        <v>132186.42712377108</v>
      </c>
      <c r="BX91" s="106">
        <v>12.977688504326329</v>
      </c>
      <c r="BY91" s="106">
        <v>29807.154956736707</v>
      </c>
      <c r="BZ91" s="106">
        <v>0</v>
      </c>
      <c r="CA91" s="106">
        <v>0</v>
      </c>
      <c r="CB91" s="106">
        <v>24.74020190023753</v>
      </c>
      <c r="CC91" s="106">
        <v>56823.295724465548</v>
      </c>
      <c r="CD91" s="106">
        <v>10.836131599378882</v>
      </c>
      <c r="CE91" s="106">
        <v>24888.427057453413</v>
      </c>
      <c r="CF91" s="106">
        <v>35.387407407407409</v>
      </c>
      <c r="CG91" s="106">
        <v>81277.797333333321</v>
      </c>
      <c r="CH91" s="106">
        <v>32.393325526932081</v>
      </c>
      <c r="CI91" s="106">
        <v>74400.990070257598</v>
      </c>
      <c r="CJ91" s="106">
        <v>28.954633204633204</v>
      </c>
      <c r="CK91" s="106">
        <v>66503.00154440153</v>
      </c>
      <c r="CL91" s="106">
        <v>0</v>
      </c>
      <c r="CM91" s="106">
        <v>0</v>
      </c>
      <c r="CN91" s="106">
        <v>10.992491787893009</v>
      </c>
      <c r="CO91" s="106">
        <v>25247.555138432661</v>
      </c>
      <c r="CP91" s="106">
        <v>13.355226480836238</v>
      </c>
      <c r="CQ91" s="106">
        <v>30674.28418118467</v>
      </c>
      <c r="CR91" s="106">
        <v>12.257431811216671</v>
      </c>
      <c r="CS91" s="106">
        <v>28152.869384002446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20.422794117647058</v>
      </c>
      <c r="M92" s="106">
        <v>29016.705882352941</v>
      </c>
      <c r="N92" s="106">
        <v>36.442320369149641</v>
      </c>
      <c r="O92" s="106">
        <v>51777.248780487811</v>
      </c>
      <c r="P92" s="106">
        <v>25.63282794990112</v>
      </c>
      <c r="Q92" s="106">
        <v>36419.121951219509</v>
      </c>
      <c r="R92" s="106">
        <v>42.120329670329674</v>
      </c>
      <c r="S92" s="106">
        <v>59844.5643956044</v>
      </c>
      <c r="T92" s="106">
        <v>0</v>
      </c>
      <c r="U92" s="106">
        <v>0</v>
      </c>
      <c r="V92" s="106">
        <v>32.8170412963931</v>
      </c>
      <c r="W92" s="106">
        <v>46626.452273915318</v>
      </c>
      <c r="X92" s="106">
        <v>28.223289383950899</v>
      </c>
      <c r="Y92" s="106">
        <v>40099.649556717435</v>
      </c>
      <c r="Z92" s="106">
        <v>35.254033703836498</v>
      </c>
      <c r="AA92" s="106">
        <v>50088.931086410892</v>
      </c>
      <c r="AB92" s="106">
        <v>27.1084</v>
      </c>
      <c r="AC92" s="106">
        <v>38515.614719999998</v>
      </c>
      <c r="AD92" s="106">
        <v>0</v>
      </c>
      <c r="AE92" s="106">
        <v>0</v>
      </c>
      <c r="AF92" s="106">
        <v>61</v>
      </c>
      <c r="AG92" s="106">
        <v>86668.800000000003</v>
      </c>
      <c r="AH92" s="106">
        <v>37.388975849731665</v>
      </c>
      <c r="AI92" s="106">
        <v>53122.256887298747</v>
      </c>
      <c r="AJ92" s="106">
        <v>0</v>
      </c>
      <c r="AK92" s="106">
        <v>0</v>
      </c>
      <c r="AL92" s="106">
        <v>51.942074120211771</v>
      </c>
      <c r="AM92" s="106">
        <v>73799.298909996884</v>
      </c>
      <c r="AN92" s="106">
        <v>35.932962529274008</v>
      </c>
      <c r="AO92" s="106">
        <v>51053.553161592507</v>
      </c>
      <c r="AP92" s="106">
        <v>47.104949468774294</v>
      </c>
      <c r="AQ92" s="106">
        <v>66926.712205234508</v>
      </c>
      <c r="AR92" s="106">
        <v>0</v>
      </c>
      <c r="AS92" s="106">
        <v>0</v>
      </c>
      <c r="AT92" s="106">
        <v>9.9805764411027571</v>
      </c>
      <c r="AU92" s="106">
        <v>14180.403007518797</v>
      </c>
      <c r="AV92" s="106">
        <v>6.5797429183527729</v>
      </c>
      <c r="AW92" s="106">
        <v>9348.4987383956195</v>
      </c>
      <c r="AX92" s="106">
        <v>6.7442418426103652</v>
      </c>
      <c r="AY92" s="106">
        <v>9582.2188099808063</v>
      </c>
      <c r="AZ92" s="106">
        <v>68</v>
      </c>
      <c r="BA92" s="106">
        <v>96614.399999999994</v>
      </c>
      <c r="BB92" s="106">
        <v>62.853888063397719</v>
      </c>
      <c r="BC92" s="106">
        <v>89302.804160475469</v>
      </c>
      <c r="BD92" s="106">
        <v>45.137360275150471</v>
      </c>
      <c r="BE92" s="106">
        <v>64131.161478933784</v>
      </c>
      <c r="BF92" s="106">
        <v>35.126334044823906</v>
      </c>
      <c r="BG92" s="106">
        <v>49907.495410885807</v>
      </c>
      <c r="BH92" s="106">
        <v>12.95037379500295</v>
      </c>
      <c r="BI92" s="106">
        <v>18399.891087940192</v>
      </c>
      <c r="BJ92" s="106">
        <v>0</v>
      </c>
      <c r="BK92" s="106">
        <v>0</v>
      </c>
      <c r="BL92" s="106">
        <v>11.549152977412732</v>
      </c>
      <c r="BM92" s="106">
        <v>16409.03655030801</v>
      </c>
      <c r="BN92" s="106">
        <v>13.667063492063491</v>
      </c>
      <c r="BO92" s="106">
        <v>19418.163809523809</v>
      </c>
      <c r="BP92" s="106">
        <v>67.100661057692307</v>
      </c>
      <c r="BQ92" s="106">
        <v>95336.619230769225</v>
      </c>
      <c r="BR92" s="106">
        <v>30.339003310040457</v>
      </c>
      <c r="BS92" s="106">
        <v>43105.655902905477</v>
      </c>
      <c r="BT92" s="106">
        <v>0</v>
      </c>
      <c r="BU92" s="106">
        <v>0</v>
      </c>
      <c r="BV92" s="106">
        <v>72.675699521048656</v>
      </c>
      <c r="BW92" s="106">
        <v>103257.63387950593</v>
      </c>
      <c r="BX92" s="106">
        <v>12.977688504326329</v>
      </c>
      <c r="BY92" s="106">
        <v>18438.699826946846</v>
      </c>
      <c r="BZ92" s="106">
        <v>0</v>
      </c>
      <c r="CA92" s="106">
        <v>0</v>
      </c>
      <c r="CB92" s="106">
        <v>29.358372921615203</v>
      </c>
      <c r="CC92" s="106">
        <v>41712.376247030879</v>
      </c>
      <c r="CD92" s="106">
        <v>12.453464673913043</v>
      </c>
      <c r="CE92" s="106">
        <v>17693.882608695651</v>
      </c>
      <c r="CF92" s="106">
        <v>37.856296296296293</v>
      </c>
      <c r="CG92" s="106">
        <v>53786.22577777777</v>
      </c>
      <c r="CH92" s="106">
        <v>38.637822014051523</v>
      </c>
      <c r="CI92" s="106">
        <v>54896.617517564402</v>
      </c>
      <c r="CJ92" s="106">
        <v>37.227385548814119</v>
      </c>
      <c r="CK92" s="106">
        <v>52892.669387755101</v>
      </c>
      <c r="CL92" s="106">
        <v>0</v>
      </c>
      <c r="CM92" s="106">
        <v>0</v>
      </c>
      <c r="CN92" s="106">
        <v>11.87189113092445</v>
      </c>
      <c r="CO92" s="106">
        <v>16867.582918817458</v>
      </c>
      <c r="CP92" s="106">
        <v>13.064895470383275</v>
      </c>
      <c r="CQ92" s="106">
        <v>18562.603484320556</v>
      </c>
      <c r="CR92" s="106">
        <v>12.768158136684033</v>
      </c>
      <c r="CS92" s="106">
        <v>18140.999080600672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20.033788515406165</v>
      </c>
      <c r="M93" s="106">
        <v>35507.886764705887</v>
      </c>
      <c r="N93" s="106">
        <v>29.95682267633487</v>
      </c>
      <c r="O93" s="106">
        <v>53095.472511535918</v>
      </c>
      <c r="P93" s="106">
        <v>26.7313777191826</v>
      </c>
      <c r="Q93" s="106">
        <v>47378.693869479233</v>
      </c>
      <c r="R93" s="106">
        <v>38.457692307692312</v>
      </c>
      <c r="S93" s="106">
        <v>68162.413846153853</v>
      </c>
      <c r="T93" s="106">
        <v>0</v>
      </c>
      <c r="U93" s="106">
        <v>0</v>
      </c>
      <c r="V93" s="106">
        <v>29.633298484056454</v>
      </c>
      <c r="W93" s="106">
        <v>52522.058233141652</v>
      </c>
      <c r="X93" s="106">
        <v>25.003182541486701</v>
      </c>
      <c r="Y93" s="106">
        <v>44315.64073653103</v>
      </c>
      <c r="Z93" s="106">
        <v>36.150322696306915</v>
      </c>
      <c r="AA93" s="106">
        <v>64072.83194693437</v>
      </c>
      <c r="AB93" s="106">
        <v>24.442</v>
      </c>
      <c r="AC93" s="106">
        <v>43321.000799999994</v>
      </c>
      <c r="AD93" s="106">
        <v>0</v>
      </c>
      <c r="AE93" s="106">
        <v>0</v>
      </c>
      <c r="AF93" s="106">
        <v>60</v>
      </c>
      <c r="AG93" s="106">
        <v>106343.99999999999</v>
      </c>
      <c r="AH93" s="106">
        <v>40.542262969588549</v>
      </c>
      <c r="AI93" s="106">
        <v>71857.106887298738</v>
      </c>
      <c r="AJ93" s="106">
        <v>0</v>
      </c>
      <c r="AK93" s="106">
        <v>0</v>
      </c>
      <c r="AL93" s="106">
        <v>38.810650887573971</v>
      </c>
      <c r="AM93" s="106">
        <v>68787.997633136096</v>
      </c>
      <c r="AN93" s="106">
        <v>34.835772833723652</v>
      </c>
      <c r="AO93" s="106">
        <v>61742.923770491798</v>
      </c>
      <c r="AP93" s="106">
        <v>43.948432236330653</v>
      </c>
      <c r="AQ93" s="106">
        <v>77894.20129567245</v>
      </c>
      <c r="AR93" s="106">
        <v>0</v>
      </c>
      <c r="AS93" s="106">
        <v>0</v>
      </c>
      <c r="AT93" s="106">
        <v>10.274122807017543</v>
      </c>
      <c r="AU93" s="106">
        <v>18209.855263157893</v>
      </c>
      <c r="AV93" s="106">
        <v>6.5797429183527729</v>
      </c>
      <c r="AW93" s="106">
        <v>11661.936348488454</v>
      </c>
      <c r="AX93" s="106">
        <v>6.5194337811900187</v>
      </c>
      <c r="AY93" s="106">
        <v>11555.044433781188</v>
      </c>
      <c r="AZ93" s="106">
        <v>59</v>
      </c>
      <c r="BA93" s="106">
        <v>104571.59999999999</v>
      </c>
      <c r="BB93" s="106">
        <v>55.217434373452207</v>
      </c>
      <c r="BC93" s="106">
        <v>97867.380683506679</v>
      </c>
      <c r="BD93" s="106">
        <v>38.330932932072223</v>
      </c>
      <c r="BE93" s="106">
        <v>67937.745528804808</v>
      </c>
      <c r="BF93" s="106">
        <v>29.790688367129132</v>
      </c>
      <c r="BG93" s="106">
        <v>52801.016061899667</v>
      </c>
      <c r="BH93" s="106">
        <v>10.983228408420224</v>
      </c>
      <c r="BI93" s="106">
        <v>19466.674031084003</v>
      </c>
      <c r="BJ93" s="106">
        <v>0</v>
      </c>
      <c r="BK93" s="106">
        <v>0</v>
      </c>
      <c r="BL93" s="106">
        <v>10.693660164271046</v>
      </c>
      <c r="BM93" s="106">
        <v>18953.443275154001</v>
      </c>
      <c r="BN93" s="106">
        <v>12.78531746031746</v>
      </c>
      <c r="BO93" s="106">
        <v>22660.696666666663</v>
      </c>
      <c r="BP93" s="106">
        <v>61.091646634615387</v>
      </c>
      <c r="BQ93" s="106">
        <v>108278.83449519231</v>
      </c>
      <c r="BR93" s="106">
        <v>28.806730415593968</v>
      </c>
      <c r="BS93" s="106">
        <v>51057.048988598748</v>
      </c>
      <c r="BT93" s="106">
        <v>0</v>
      </c>
      <c r="BU93" s="106">
        <v>0</v>
      </c>
      <c r="BV93" s="106">
        <v>63.853793798840435</v>
      </c>
      <c r="BW93" s="106">
        <v>113174.46412906479</v>
      </c>
      <c r="BX93" s="106">
        <v>13.801668726823239</v>
      </c>
      <c r="BY93" s="106">
        <v>24462.077651421507</v>
      </c>
      <c r="BZ93" s="106">
        <v>0</v>
      </c>
      <c r="CA93" s="106">
        <v>0</v>
      </c>
      <c r="CB93" s="106">
        <v>27.3791567695962</v>
      </c>
      <c r="CC93" s="106">
        <v>48526.817458432299</v>
      </c>
      <c r="CD93" s="106">
        <v>10.997864906832298</v>
      </c>
      <c r="CE93" s="106">
        <v>19492.615760869565</v>
      </c>
      <c r="CF93" s="106">
        <v>34.975925925925928</v>
      </c>
      <c r="CG93" s="106">
        <v>61991.331111111111</v>
      </c>
      <c r="CH93" s="106">
        <v>35.515573770491798</v>
      </c>
      <c r="CI93" s="106">
        <v>62947.802950819656</v>
      </c>
      <c r="CJ93" s="106">
        <v>37.227385548814119</v>
      </c>
      <c r="CK93" s="106">
        <v>65981.818146718142</v>
      </c>
      <c r="CL93" s="106">
        <v>0</v>
      </c>
      <c r="CM93" s="106">
        <v>0</v>
      </c>
      <c r="CN93" s="106">
        <v>10.113092444861566</v>
      </c>
      <c r="CO93" s="106">
        <v>17924.445049272639</v>
      </c>
      <c r="CP93" s="106">
        <v>13.064895470383275</v>
      </c>
      <c r="CQ93" s="106">
        <v>23156.220731707315</v>
      </c>
      <c r="CR93" s="106">
        <v>12.768158136684033</v>
      </c>
      <c r="CS93" s="106">
        <v>22630.283481458777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16.532738095238095</v>
      </c>
      <c r="M94" s="106">
        <v>39599.214285714283</v>
      </c>
      <c r="N94" s="106">
        <v>25.941990771259064</v>
      </c>
      <c r="O94" s="106">
        <v>62136.256295319705</v>
      </c>
      <c r="P94" s="106">
        <v>23.25263678312459</v>
      </c>
      <c r="Q94" s="106">
        <v>55694.715622940013</v>
      </c>
      <c r="R94" s="106">
        <v>33.879395604395604</v>
      </c>
      <c r="S94" s="106">
        <v>81147.928351648341</v>
      </c>
      <c r="T94" s="106">
        <v>0</v>
      </c>
      <c r="U94" s="106">
        <v>0</v>
      </c>
      <c r="V94" s="106">
        <v>23.755619445896496</v>
      </c>
      <c r="W94" s="106">
        <v>56899.459696811282</v>
      </c>
      <c r="X94" s="106">
        <v>22.91958399636281</v>
      </c>
      <c r="Y94" s="106">
        <v>54896.987588088195</v>
      </c>
      <c r="Z94" s="106">
        <v>30.921970240229474</v>
      </c>
      <c r="AA94" s="106">
        <v>74064.303119397635</v>
      </c>
      <c r="AB94" s="106">
        <v>19.998000000000001</v>
      </c>
      <c r="AC94" s="106">
        <v>47899.209600000002</v>
      </c>
      <c r="AD94" s="106">
        <v>0</v>
      </c>
      <c r="AE94" s="106">
        <v>0</v>
      </c>
      <c r="AF94" s="106">
        <v>52</v>
      </c>
      <c r="AG94" s="106">
        <v>124550.39999999999</v>
      </c>
      <c r="AH94" s="106">
        <v>34.235688729874774</v>
      </c>
      <c r="AI94" s="106">
        <v>82001.321645796052</v>
      </c>
      <c r="AJ94" s="106">
        <v>0</v>
      </c>
      <c r="AK94" s="106">
        <v>0</v>
      </c>
      <c r="AL94" s="106">
        <v>34.141700404858298</v>
      </c>
      <c r="AM94" s="106">
        <v>81776.200809716596</v>
      </c>
      <c r="AN94" s="106">
        <v>29.349824355971897</v>
      </c>
      <c r="AO94" s="106">
        <v>70298.699297423882</v>
      </c>
      <c r="AP94" s="106">
        <v>32.779217413837785</v>
      </c>
      <c r="AQ94" s="106">
        <v>78512.781549624255</v>
      </c>
      <c r="AR94" s="106">
        <v>0</v>
      </c>
      <c r="AS94" s="106">
        <v>0</v>
      </c>
      <c r="AT94" s="106">
        <v>9.0999373433583948</v>
      </c>
      <c r="AU94" s="106">
        <v>21796.169924812024</v>
      </c>
      <c r="AV94" s="106">
        <v>6.4682218519400143</v>
      </c>
      <c r="AW94" s="106">
        <v>15492.684979766722</v>
      </c>
      <c r="AX94" s="106">
        <v>6.0698176583493284</v>
      </c>
      <c r="AY94" s="106">
        <v>14538.42725527831</v>
      </c>
      <c r="AZ94" s="106">
        <v>55</v>
      </c>
      <c r="BA94" s="106">
        <v>131736</v>
      </c>
      <c r="BB94" s="106">
        <v>50.518078256562653</v>
      </c>
      <c r="BC94" s="106">
        <v>121000.90104011886</v>
      </c>
      <c r="BD94" s="106">
        <v>36.539767841788475</v>
      </c>
      <c r="BE94" s="106">
        <v>87520.051934651754</v>
      </c>
      <c r="BF94" s="106">
        <v>27.567502668089649</v>
      </c>
      <c r="BG94" s="106">
        <v>66029.682390608315</v>
      </c>
      <c r="BH94" s="106">
        <v>10.491442061774542</v>
      </c>
      <c r="BI94" s="106">
        <v>25129.10202636238</v>
      </c>
      <c r="BJ94" s="106">
        <v>0</v>
      </c>
      <c r="BK94" s="106">
        <v>0</v>
      </c>
      <c r="BL94" s="106">
        <v>10.693660164271046</v>
      </c>
      <c r="BM94" s="106">
        <v>25613.454825462006</v>
      </c>
      <c r="BN94" s="106">
        <v>11.021825396825395</v>
      </c>
      <c r="BO94" s="106">
        <v>26399.476190476184</v>
      </c>
      <c r="BP94" s="106">
        <v>55.08263221153846</v>
      </c>
      <c r="BQ94" s="106">
        <v>131933.92067307691</v>
      </c>
      <c r="BR94" s="106">
        <v>28.193821257815372</v>
      </c>
      <c r="BS94" s="106">
        <v>67529.840676719381</v>
      </c>
      <c r="BT94" s="106">
        <v>0</v>
      </c>
      <c r="BU94" s="106">
        <v>0</v>
      </c>
      <c r="BV94" s="106">
        <v>61.753340055457528</v>
      </c>
      <c r="BW94" s="106">
        <v>147911.60010083186</v>
      </c>
      <c r="BX94" s="106">
        <v>11.535723114956737</v>
      </c>
      <c r="BY94" s="106">
        <v>27630.364004944375</v>
      </c>
      <c r="BZ94" s="106">
        <v>0</v>
      </c>
      <c r="CA94" s="106">
        <v>0</v>
      </c>
      <c r="CB94" s="106">
        <v>25.729809976247029</v>
      </c>
      <c r="CC94" s="106">
        <v>61628.040855106883</v>
      </c>
      <c r="CD94" s="106">
        <v>11.159598214285714</v>
      </c>
      <c r="CE94" s="106">
        <v>26729.469642857141</v>
      </c>
      <c r="CF94" s="106">
        <v>34.15296296296296</v>
      </c>
      <c r="CG94" s="106">
        <v>81803.176888888876</v>
      </c>
      <c r="CH94" s="106">
        <v>33.954449648711943</v>
      </c>
      <c r="CI94" s="106">
        <v>81327.697798594847</v>
      </c>
      <c r="CJ94" s="106">
        <v>33.091009376723662</v>
      </c>
      <c r="CK94" s="106">
        <v>79259.585659128512</v>
      </c>
      <c r="CL94" s="106">
        <v>0</v>
      </c>
      <c r="CM94" s="106">
        <v>0</v>
      </c>
      <c r="CN94" s="106">
        <v>10.992491787893009</v>
      </c>
      <c r="CO94" s="106">
        <v>26329.216330361334</v>
      </c>
      <c r="CP94" s="106">
        <v>12.774564459930314</v>
      </c>
      <c r="CQ94" s="106">
        <v>30597.636794425085</v>
      </c>
      <c r="CR94" s="106">
        <v>10.725252834814588</v>
      </c>
      <c r="CS94" s="106">
        <v>25689.1255899479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24.701855742296917</v>
      </c>
      <c r="M95" s="106">
        <v>42803.3756302521</v>
      </c>
      <c r="N95" s="106">
        <v>26.559657218193802</v>
      </c>
      <c r="O95" s="106">
        <v>46022.57402768622</v>
      </c>
      <c r="P95" s="106">
        <v>21.238628872775216</v>
      </c>
      <c r="Q95" s="106">
        <v>36802.296110744894</v>
      </c>
      <c r="R95" s="106">
        <v>52.650412087912088</v>
      </c>
      <c r="S95" s="106">
        <v>91232.634065934064</v>
      </c>
      <c r="T95" s="106">
        <v>0</v>
      </c>
      <c r="U95" s="106">
        <v>0</v>
      </c>
      <c r="V95" s="106">
        <v>42.613173026659702</v>
      </c>
      <c r="W95" s="106">
        <v>73840.106220595932</v>
      </c>
      <c r="X95" s="106">
        <v>33.526994771538988</v>
      </c>
      <c r="Y95" s="106">
        <v>58095.576540122755</v>
      </c>
      <c r="Z95" s="106">
        <v>35.254033703836498</v>
      </c>
      <c r="AA95" s="106">
        <v>61088.189602007886</v>
      </c>
      <c r="AB95" s="106">
        <v>14.220800000000001</v>
      </c>
      <c r="AC95" s="106">
        <v>24641.802240000001</v>
      </c>
      <c r="AD95" s="106">
        <v>0</v>
      </c>
      <c r="AE95" s="106">
        <v>0</v>
      </c>
      <c r="AF95" s="106">
        <v>37</v>
      </c>
      <c r="AG95" s="106">
        <v>64113.599999999999</v>
      </c>
      <c r="AH95" s="106">
        <v>18.018783542039355</v>
      </c>
      <c r="AI95" s="106">
        <v>31222.948121645793</v>
      </c>
      <c r="AJ95" s="106">
        <v>0</v>
      </c>
      <c r="AK95" s="106">
        <v>0</v>
      </c>
      <c r="AL95" s="106">
        <v>18.675801930862661</v>
      </c>
      <c r="AM95" s="106">
        <v>32361.429585798818</v>
      </c>
      <c r="AN95" s="106">
        <v>30.721311475409838</v>
      </c>
      <c r="AO95" s="106">
        <v>53233.888524590162</v>
      </c>
      <c r="AP95" s="106">
        <v>30.108318217154704</v>
      </c>
      <c r="AQ95" s="106">
        <v>52171.693806685667</v>
      </c>
      <c r="AR95" s="106">
        <v>0</v>
      </c>
      <c r="AS95" s="106">
        <v>0</v>
      </c>
      <c r="AT95" s="106">
        <v>33.757832080200501</v>
      </c>
      <c r="AU95" s="106">
        <v>58495.571428571428</v>
      </c>
      <c r="AV95" s="106">
        <v>18.066412758866935</v>
      </c>
      <c r="AW95" s="106">
        <v>31305.480028564623</v>
      </c>
      <c r="AX95" s="106">
        <v>19.108685220729367</v>
      </c>
      <c r="AY95" s="106">
        <v>33111.529750479844</v>
      </c>
      <c r="AZ95" s="106">
        <v>48</v>
      </c>
      <c r="BA95" s="106">
        <v>83174.399999999994</v>
      </c>
      <c r="BB95" s="106">
        <v>27.608717186726103</v>
      </c>
      <c r="BC95" s="106">
        <v>47840.385141158993</v>
      </c>
      <c r="BD95" s="106">
        <v>24.001612209802236</v>
      </c>
      <c r="BE95" s="106">
        <v>41589.993637145315</v>
      </c>
      <c r="BF95" s="106">
        <v>30.679962646744929</v>
      </c>
      <c r="BG95" s="106">
        <v>53162.239274279615</v>
      </c>
      <c r="BH95" s="106">
        <v>19.835382648042494</v>
      </c>
      <c r="BI95" s="106">
        <v>34370.75105252803</v>
      </c>
      <c r="BJ95" s="106">
        <v>0</v>
      </c>
      <c r="BK95" s="106">
        <v>0</v>
      </c>
      <c r="BL95" s="106">
        <v>20.317954312114992</v>
      </c>
      <c r="BM95" s="106">
        <v>35206.951232032858</v>
      </c>
      <c r="BN95" s="106">
        <v>18.516666666666666</v>
      </c>
      <c r="BO95" s="106">
        <v>32085.679999999997</v>
      </c>
      <c r="BP95" s="106">
        <v>81.622445913461533</v>
      </c>
      <c r="BQ95" s="106">
        <v>141435.37427884614</v>
      </c>
      <c r="BR95" s="106">
        <v>27.580912100036777</v>
      </c>
      <c r="BS95" s="106">
        <v>47792.204486943723</v>
      </c>
      <c r="BT95" s="106">
        <v>0</v>
      </c>
      <c r="BU95" s="106">
        <v>0</v>
      </c>
      <c r="BV95" s="106">
        <v>70.995336526342328</v>
      </c>
      <c r="BW95" s="106">
        <v>123020.71913284599</v>
      </c>
      <c r="BX95" s="106">
        <v>35.843139678615579</v>
      </c>
      <c r="BY95" s="106">
        <v>62108.992435105072</v>
      </c>
      <c r="BZ95" s="106">
        <v>0</v>
      </c>
      <c r="CA95" s="106">
        <v>0</v>
      </c>
      <c r="CB95" s="106">
        <v>93.023159144893114</v>
      </c>
      <c r="CC95" s="106">
        <v>161190.53016627079</v>
      </c>
      <c r="CD95" s="106">
        <v>43.829726319875775</v>
      </c>
      <c r="CE95" s="106">
        <v>75948.149767080744</v>
      </c>
      <c r="CF95" s="106">
        <v>14.40185185185185</v>
      </c>
      <c r="CG95" s="106">
        <v>24955.528888888886</v>
      </c>
      <c r="CH95" s="106">
        <v>19.904332552693209</v>
      </c>
      <c r="CI95" s="106">
        <v>34490.227447306788</v>
      </c>
      <c r="CJ95" s="106">
        <v>22.060672917815772</v>
      </c>
      <c r="CK95" s="106">
        <v>38226.734031991167</v>
      </c>
      <c r="CL95" s="106">
        <v>0</v>
      </c>
      <c r="CM95" s="106">
        <v>0</v>
      </c>
      <c r="CN95" s="106">
        <v>43.969967151572035</v>
      </c>
      <c r="CO95" s="106">
        <v>76191.159080244019</v>
      </c>
      <c r="CP95" s="106">
        <v>33.388066202090592</v>
      </c>
      <c r="CQ95" s="106">
        <v>57854.841114982577</v>
      </c>
      <c r="CR95" s="106">
        <v>43.922463990193073</v>
      </c>
      <c r="CS95" s="106">
        <v>76108.845602206551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28.786414565826334</v>
      </c>
      <c r="M96" s="106">
        <v>23696.976470588237</v>
      </c>
      <c r="N96" s="106">
        <v>29.339156229400135</v>
      </c>
      <c r="O96" s="106">
        <v>24151.993408042188</v>
      </c>
      <c r="P96" s="106">
        <v>24.168094924192484</v>
      </c>
      <c r="Q96" s="106">
        <v>19895.175741595252</v>
      </c>
      <c r="R96" s="106">
        <v>62.722664835164835</v>
      </c>
      <c r="S96" s="106">
        <v>51633.297692307686</v>
      </c>
      <c r="T96" s="106">
        <v>0</v>
      </c>
      <c r="U96" s="106">
        <v>0</v>
      </c>
      <c r="V96" s="106">
        <v>57.307370622059594</v>
      </c>
      <c r="W96" s="106">
        <v>47175.42749607945</v>
      </c>
      <c r="X96" s="106">
        <v>44.134405546715165</v>
      </c>
      <c r="Y96" s="106">
        <v>36331.442646055919</v>
      </c>
      <c r="Z96" s="106">
        <v>45.262594119756187</v>
      </c>
      <c r="AA96" s="106">
        <v>37260.167479383294</v>
      </c>
      <c r="AB96" s="106">
        <v>15.554000000000002</v>
      </c>
      <c r="AC96" s="106">
        <v>12804.052800000001</v>
      </c>
      <c r="AD96" s="106">
        <v>0</v>
      </c>
      <c r="AE96" s="106">
        <v>0</v>
      </c>
      <c r="AF96" s="106">
        <v>46</v>
      </c>
      <c r="AG96" s="106">
        <v>37867.199999999997</v>
      </c>
      <c r="AH96" s="106">
        <v>21.172070661896242</v>
      </c>
      <c r="AI96" s="106">
        <v>17428.848568872985</v>
      </c>
      <c r="AJ96" s="106">
        <v>0</v>
      </c>
      <c r="AK96" s="106">
        <v>0</v>
      </c>
      <c r="AL96" s="106">
        <v>25.0956088445967</v>
      </c>
      <c r="AM96" s="106">
        <v>20658.705200872002</v>
      </c>
      <c r="AN96" s="106">
        <v>35.932962529274008</v>
      </c>
      <c r="AO96" s="106">
        <v>29580.01475409836</v>
      </c>
      <c r="AP96" s="106">
        <v>38.363824825084215</v>
      </c>
      <c r="AQ96" s="106">
        <v>31581.100596009324</v>
      </c>
      <c r="AR96" s="106">
        <v>0</v>
      </c>
      <c r="AS96" s="106">
        <v>0</v>
      </c>
      <c r="AT96" s="106">
        <v>36.986842105263158</v>
      </c>
      <c r="AU96" s="106">
        <v>30447.568421052627</v>
      </c>
      <c r="AV96" s="106">
        <v>19.627707688645561</v>
      </c>
      <c r="AW96" s="106">
        <v>16157.528969293024</v>
      </c>
      <c r="AX96" s="106">
        <v>23.604846449136275</v>
      </c>
      <c r="AY96" s="106">
        <v>19431.50959692898</v>
      </c>
      <c r="AZ96" s="106">
        <v>50</v>
      </c>
      <c r="BA96" s="106">
        <v>41160</v>
      </c>
      <c r="BB96" s="106">
        <v>29.958395245170877</v>
      </c>
      <c r="BC96" s="106">
        <v>24661.750965824664</v>
      </c>
      <c r="BD96" s="106">
        <v>26.867476354256233</v>
      </c>
      <c r="BE96" s="106">
        <v>22117.306534823729</v>
      </c>
      <c r="BF96" s="106">
        <v>42.685165421558168</v>
      </c>
      <c r="BG96" s="106">
        <v>35138.428175026682</v>
      </c>
      <c r="BH96" s="106">
        <v>23.113958292347039</v>
      </c>
      <c r="BI96" s="106">
        <v>19027.41046626008</v>
      </c>
      <c r="BJ96" s="106">
        <v>0</v>
      </c>
      <c r="BK96" s="106">
        <v>0</v>
      </c>
      <c r="BL96" s="106">
        <v>25.02316478439425</v>
      </c>
      <c r="BM96" s="106">
        <v>20599.069250513345</v>
      </c>
      <c r="BN96" s="106">
        <v>23.586706349206349</v>
      </c>
      <c r="BO96" s="106">
        <v>19416.576666666664</v>
      </c>
      <c r="BP96" s="106">
        <v>90.63596754807692</v>
      </c>
      <c r="BQ96" s="106">
        <v>74611.528485576913</v>
      </c>
      <c r="BR96" s="106">
        <v>33.403549098933432</v>
      </c>
      <c r="BS96" s="106">
        <v>27497.801618242</v>
      </c>
      <c r="BT96" s="106">
        <v>0</v>
      </c>
      <c r="BU96" s="106">
        <v>0</v>
      </c>
      <c r="BV96" s="106">
        <v>85.278421981346099</v>
      </c>
      <c r="BW96" s="106">
        <v>70201.196975044106</v>
      </c>
      <c r="BX96" s="106">
        <v>51.704758961681087</v>
      </c>
      <c r="BY96" s="106">
        <v>42563.357577255869</v>
      </c>
      <c r="BZ96" s="106">
        <v>0</v>
      </c>
      <c r="CA96" s="106">
        <v>0</v>
      </c>
      <c r="CB96" s="106">
        <v>121.72179334916864</v>
      </c>
      <c r="CC96" s="106">
        <v>100201.38028503562</v>
      </c>
      <c r="CD96" s="106">
        <v>56.283190993788821</v>
      </c>
      <c r="CE96" s="106">
        <v>46332.322826086951</v>
      </c>
      <c r="CF96" s="106">
        <v>18.105185185185185</v>
      </c>
      <c r="CG96" s="106">
        <v>14904.188444444442</v>
      </c>
      <c r="CH96" s="106">
        <v>21.075175644028104</v>
      </c>
      <c r="CI96" s="106">
        <v>17349.084590163933</v>
      </c>
      <c r="CJ96" s="106">
        <v>23.439464975179263</v>
      </c>
      <c r="CK96" s="106">
        <v>19295.367567567566</v>
      </c>
      <c r="CL96" s="106">
        <v>0</v>
      </c>
      <c r="CM96" s="106">
        <v>0</v>
      </c>
      <c r="CN96" s="106">
        <v>64.196152041295164</v>
      </c>
      <c r="CO96" s="106">
        <v>52846.272360394178</v>
      </c>
      <c r="CP96" s="106">
        <v>44.710975609756098</v>
      </c>
      <c r="CQ96" s="106">
        <v>36806.075121951217</v>
      </c>
      <c r="CR96" s="106">
        <v>50.306543058535091</v>
      </c>
      <c r="CS96" s="106">
        <v>41412.346245786081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21.395308123249301</v>
      </c>
      <c r="M97" s="106">
        <v>39127.73949579832</v>
      </c>
      <c r="N97" s="106">
        <v>25.941990771259064</v>
      </c>
      <c r="O97" s="106">
        <v>47442.712722478573</v>
      </c>
      <c r="P97" s="106">
        <v>19.590804218852998</v>
      </c>
      <c r="Q97" s="106">
        <v>35827.662755438359</v>
      </c>
      <c r="R97" s="106">
        <v>46.698626373626375</v>
      </c>
      <c r="S97" s="106">
        <v>85402.447912087911</v>
      </c>
      <c r="T97" s="106">
        <v>0</v>
      </c>
      <c r="U97" s="106">
        <v>0</v>
      </c>
      <c r="V97" s="106">
        <v>45.307109252483009</v>
      </c>
      <c r="W97" s="106">
        <v>82857.64140094092</v>
      </c>
      <c r="X97" s="106">
        <v>32.390486474198681</v>
      </c>
      <c r="Y97" s="106">
        <v>59235.721664014549</v>
      </c>
      <c r="Z97" s="106">
        <v>33.461455718895664</v>
      </c>
      <c r="AA97" s="106">
        <v>61194.310218716389</v>
      </c>
      <c r="AB97" s="106">
        <v>12.887600000000001</v>
      </c>
      <c r="AC97" s="106">
        <v>23568.84288</v>
      </c>
      <c r="AD97" s="106">
        <v>0</v>
      </c>
      <c r="AE97" s="106">
        <v>0</v>
      </c>
      <c r="AF97" s="106">
        <v>41</v>
      </c>
      <c r="AG97" s="106">
        <v>74980.800000000003</v>
      </c>
      <c r="AH97" s="106">
        <v>19.37019230769231</v>
      </c>
      <c r="AI97" s="106">
        <v>35424.207692307697</v>
      </c>
      <c r="AJ97" s="106">
        <v>0</v>
      </c>
      <c r="AK97" s="106">
        <v>0</v>
      </c>
      <c r="AL97" s="106">
        <v>21.30208657739022</v>
      </c>
      <c r="AM97" s="106">
        <v>38957.255932731234</v>
      </c>
      <c r="AN97" s="106">
        <v>28.80122950819672</v>
      </c>
      <c r="AO97" s="106">
        <v>52671.688524590158</v>
      </c>
      <c r="AP97" s="106">
        <v>31.807981342316662</v>
      </c>
      <c r="AQ97" s="106">
        <v>58170.436278828711</v>
      </c>
      <c r="AR97" s="106">
        <v>0</v>
      </c>
      <c r="AS97" s="106">
        <v>0</v>
      </c>
      <c r="AT97" s="106">
        <v>32.290100250626566</v>
      </c>
      <c r="AU97" s="106">
        <v>59052.135338345863</v>
      </c>
      <c r="AV97" s="106">
        <v>16.616638895501072</v>
      </c>
      <c r="AW97" s="106">
        <v>30388.509212092362</v>
      </c>
      <c r="AX97" s="106">
        <v>18.996281190019193</v>
      </c>
      <c r="AY97" s="106">
        <v>34740.3990403071</v>
      </c>
      <c r="AZ97" s="106">
        <v>45</v>
      </c>
      <c r="BA97" s="106">
        <v>82296</v>
      </c>
      <c r="BB97" s="106">
        <v>26.433878157503717</v>
      </c>
      <c r="BC97" s="106">
        <v>48342.276374442794</v>
      </c>
      <c r="BD97" s="106">
        <v>24.001612209802236</v>
      </c>
      <c r="BE97" s="106">
        <v>43894.148409286325</v>
      </c>
      <c r="BF97" s="106">
        <v>31.124599786552828</v>
      </c>
      <c r="BG97" s="106">
        <v>56920.668089647814</v>
      </c>
      <c r="BH97" s="106">
        <v>16.556807003737951</v>
      </c>
      <c r="BI97" s="106">
        <v>30279.088648435965</v>
      </c>
      <c r="BJ97" s="106">
        <v>0</v>
      </c>
      <c r="BK97" s="106">
        <v>0</v>
      </c>
      <c r="BL97" s="106">
        <v>23.312179158110883</v>
      </c>
      <c r="BM97" s="106">
        <v>42633.313244353179</v>
      </c>
      <c r="BN97" s="106">
        <v>20.280158730158732</v>
      </c>
      <c r="BO97" s="106">
        <v>37088.354285714289</v>
      </c>
      <c r="BP97" s="106">
        <v>75.112680288461533</v>
      </c>
      <c r="BQ97" s="106">
        <v>137366.06971153844</v>
      </c>
      <c r="BR97" s="106">
        <v>26.355093784479589</v>
      </c>
      <c r="BS97" s="106">
        <v>48198.195513056271</v>
      </c>
      <c r="BT97" s="106">
        <v>0</v>
      </c>
      <c r="BU97" s="106">
        <v>0</v>
      </c>
      <c r="BV97" s="106">
        <v>65.114066044870171</v>
      </c>
      <c r="BW97" s="106">
        <v>119080.60398285856</v>
      </c>
      <c r="BX97" s="106">
        <v>35.225154511742893</v>
      </c>
      <c r="BY97" s="106">
        <v>64419.7625710754</v>
      </c>
      <c r="BZ97" s="106">
        <v>0</v>
      </c>
      <c r="CA97" s="106">
        <v>0</v>
      </c>
      <c r="CB97" s="106">
        <v>86.095902612826606</v>
      </c>
      <c r="CC97" s="106">
        <v>157452.18669833729</v>
      </c>
      <c r="CD97" s="106">
        <v>44.153192934782609</v>
      </c>
      <c r="CE97" s="106">
        <v>80747.359239130441</v>
      </c>
      <c r="CF97" s="106">
        <v>14.813333333333333</v>
      </c>
      <c r="CG97" s="106">
        <v>27090.623999999996</v>
      </c>
      <c r="CH97" s="106">
        <v>19.904332552693209</v>
      </c>
      <c r="CI97" s="106">
        <v>36401.04337236534</v>
      </c>
      <c r="CJ97" s="106">
        <v>22.52027027027027</v>
      </c>
      <c r="CK97" s="106">
        <v>41185.070270270269</v>
      </c>
      <c r="CL97" s="106">
        <v>0</v>
      </c>
      <c r="CM97" s="106">
        <v>0</v>
      </c>
      <c r="CN97" s="106">
        <v>48.806663538244955</v>
      </c>
      <c r="CO97" s="106">
        <v>89257.626278742377</v>
      </c>
      <c r="CP97" s="106">
        <v>33.097735191637632</v>
      </c>
      <c r="CQ97" s="106">
        <v>60529.138118466901</v>
      </c>
      <c r="CR97" s="106">
        <v>41.879558688323634</v>
      </c>
      <c r="CS97" s="106">
        <v>76589.336929206256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27.813900560224088</v>
      </c>
      <c r="M98" s="106">
        <v>35145.644747899154</v>
      </c>
      <c r="N98" s="106">
        <v>32.118655240606465</v>
      </c>
      <c r="O98" s="106">
        <v>40585.132762030327</v>
      </c>
      <c r="P98" s="106">
        <v>21.238628872775216</v>
      </c>
      <c r="Q98" s="106">
        <v>26837.131443638762</v>
      </c>
      <c r="R98" s="106">
        <v>53.108241758241753</v>
      </c>
      <c r="S98" s="106">
        <v>67107.574285714276</v>
      </c>
      <c r="T98" s="106">
        <v>0</v>
      </c>
      <c r="U98" s="106">
        <v>0</v>
      </c>
      <c r="V98" s="106">
        <v>54.858337689492949</v>
      </c>
      <c r="W98" s="106">
        <v>69318.995504443286</v>
      </c>
      <c r="X98" s="106">
        <v>39.02011820868379</v>
      </c>
      <c r="Y98" s="106">
        <v>49305.821368492834</v>
      </c>
      <c r="Z98" s="106">
        <v>37.04661168877734</v>
      </c>
      <c r="AA98" s="106">
        <v>46812.098529939045</v>
      </c>
      <c r="AB98" s="106">
        <v>13.332000000000001</v>
      </c>
      <c r="AC98" s="106">
        <v>16846.315200000001</v>
      </c>
      <c r="AD98" s="106">
        <v>0</v>
      </c>
      <c r="AE98" s="106">
        <v>0</v>
      </c>
      <c r="AF98" s="106">
        <v>39</v>
      </c>
      <c r="AG98" s="106">
        <v>49280.399999999994</v>
      </c>
      <c r="AH98" s="106">
        <v>19.37019230769231</v>
      </c>
      <c r="AI98" s="106">
        <v>24476.175000000003</v>
      </c>
      <c r="AJ98" s="106">
        <v>0</v>
      </c>
      <c r="AK98" s="106">
        <v>0</v>
      </c>
      <c r="AL98" s="106">
        <v>23.636561818748053</v>
      </c>
      <c r="AM98" s="106">
        <v>29867.159514170038</v>
      </c>
      <c r="AN98" s="106">
        <v>30.721311475409838</v>
      </c>
      <c r="AO98" s="106">
        <v>38819.449180327865</v>
      </c>
      <c r="AP98" s="106">
        <v>33.022026431718068</v>
      </c>
      <c r="AQ98" s="106">
        <v>41726.632599118944</v>
      </c>
      <c r="AR98" s="106">
        <v>0</v>
      </c>
      <c r="AS98" s="106">
        <v>0</v>
      </c>
      <c r="AT98" s="106">
        <v>37.867481203007515</v>
      </c>
      <c r="AU98" s="106">
        <v>47849.349248120292</v>
      </c>
      <c r="AV98" s="106">
        <v>17.285765293977622</v>
      </c>
      <c r="AW98" s="106">
        <v>21842.29302547012</v>
      </c>
      <c r="AX98" s="106">
        <v>21.244361804222649</v>
      </c>
      <c r="AY98" s="106">
        <v>26844.375575815739</v>
      </c>
      <c r="AZ98" s="106">
        <v>51</v>
      </c>
      <c r="BA98" s="106">
        <v>64443.6</v>
      </c>
      <c r="BB98" s="106">
        <v>25.259039128281326</v>
      </c>
      <c r="BC98" s="106">
        <v>31917.321842496283</v>
      </c>
      <c r="BD98" s="106">
        <v>24.001612209802236</v>
      </c>
      <c r="BE98" s="106">
        <v>30328.437188306103</v>
      </c>
      <c r="BF98" s="106">
        <v>37.349519743863389</v>
      </c>
      <c r="BG98" s="106">
        <v>47194.853148345777</v>
      </c>
      <c r="BH98" s="106">
        <v>20.327168994688176</v>
      </c>
      <c r="BI98" s="106">
        <v>25685.410741687978</v>
      </c>
      <c r="BJ98" s="106">
        <v>0</v>
      </c>
      <c r="BK98" s="106">
        <v>0</v>
      </c>
      <c r="BL98" s="106">
        <v>25.450911190965094</v>
      </c>
      <c r="BM98" s="106">
        <v>32159.77138090349</v>
      </c>
      <c r="BN98" s="106">
        <v>19.839285714285712</v>
      </c>
      <c r="BO98" s="106">
        <v>25068.921428571422</v>
      </c>
      <c r="BP98" s="106">
        <v>80.620943509615387</v>
      </c>
      <c r="BQ98" s="106">
        <v>101872.62421874999</v>
      </c>
      <c r="BR98" s="106">
        <v>30.951912467819049</v>
      </c>
      <c r="BS98" s="106">
        <v>39110.83659433615</v>
      </c>
      <c r="BT98" s="106">
        <v>0</v>
      </c>
      <c r="BU98" s="106">
        <v>0</v>
      </c>
      <c r="BV98" s="106">
        <v>70.995336526342328</v>
      </c>
      <c r="BW98" s="106">
        <v>89709.707234686153</v>
      </c>
      <c r="BX98" s="106">
        <v>47.378862793572317</v>
      </c>
      <c r="BY98" s="106">
        <v>59867.931025957972</v>
      </c>
      <c r="BZ98" s="106">
        <v>0</v>
      </c>
      <c r="CA98" s="106">
        <v>0</v>
      </c>
      <c r="CB98" s="106">
        <v>110.5062351543943</v>
      </c>
      <c r="CC98" s="106">
        <v>139635.67874109262</v>
      </c>
      <c r="CD98" s="106">
        <v>50.622525232919251</v>
      </c>
      <c r="CE98" s="106">
        <v>63966.622884316763</v>
      </c>
      <c r="CF98" s="106">
        <v>16.459259259259259</v>
      </c>
      <c r="CG98" s="106">
        <v>20797.919999999998</v>
      </c>
      <c r="CH98" s="106">
        <v>21.075175644028104</v>
      </c>
      <c r="CI98" s="106">
        <v>26630.591943793908</v>
      </c>
      <c r="CJ98" s="106">
        <v>22.060672917815772</v>
      </c>
      <c r="CK98" s="106">
        <v>27875.866298952009</v>
      </c>
      <c r="CL98" s="106">
        <v>0</v>
      </c>
      <c r="CM98" s="106">
        <v>0</v>
      </c>
      <c r="CN98" s="106">
        <v>56.721257625527919</v>
      </c>
      <c r="CO98" s="106">
        <v>71672.981135617069</v>
      </c>
      <c r="CP98" s="106">
        <v>40.936672473867596</v>
      </c>
      <c r="CQ98" s="106">
        <v>51727.579337979092</v>
      </c>
      <c r="CR98" s="106">
        <v>43.411737664725713</v>
      </c>
      <c r="CS98" s="106">
        <v>54855.071713147408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13.031687675070028</v>
      </c>
      <c r="M99" s="106">
        <v>71434.499159663857</v>
      </c>
      <c r="N99" s="106">
        <v>13.588661832564272</v>
      </c>
      <c r="O99" s="106">
        <v>74487.608701384306</v>
      </c>
      <c r="P99" s="106">
        <v>9.7038562953197101</v>
      </c>
      <c r="Q99" s="106">
        <v>53192.658668424519</v>
      </c>
      <c r="R99" s="106">
        <v>29.3010989010989</v>
      </c>
      <c r="S99" s="106">
        <v>160616.90373626372</v>
      </c>
      <c r="T99" s="106">
        <v>0</v>
      </c>
      <c r="U99" s="106">
        <v>0</v>
      </c>
      <c r="V99" s="106">
        <v>21.061683220073185</v>
      </c>
      <c r="W99" s="106">
        <v>115451.72273915316</v>
      </c>
      <c r="X99" s="106">
        <v>12.691009320300067</v>
      </c>
      <c r="Y99" s="106">
        <v>69567.036690156834</v>
      </c>
      <c r="Z99" s="106">
        <v>14.49000537827178</v>
      </c>
      <c r="AA99" s="106">
        <v>79428.413481534575</v>
      </c>
      <c r="AB99" s="106">
        <v>8.8879999999999999</v>
      </c>
      <c r="AC99" s="106">
        <v>48720.460799999993</v>
      </c>
      <c r="AD99" s="106">
        <v>0</v>
      </c>
      <c r="AE99" s="106">
        <v>0</v>
      </c>
      <c r="AF99" s="106">
        <v>26</v>
      </c>
      <c r="AG99" s="106">
        <v>142521.59999999998</v>
      </c>
      <c r="AH99" s="106">
        <v>11.712209302325581</v>
      </c>
      <c r="AI99" s="106">
        <v>64201.6465116279</v>
      </c>
      <c r="AJ99" s="106">
        <v>0</v>
      </c>
      <c r="AK99" s="106">
        <v>0</v>
      </c>
      <c r="AL99" s="106">
        <v>11.672376206789163</v>
      </c>
      <c r="AM99" s="106">
        <v>63983.297415135472</v>
      </c>
      <c r="AN99" s="106">
        <v>17.555035128805621</v>
      </c>
      <c r="AO99" s="106">
        <v>96229.680562060879</v>
      </c>
      <c r="AP99" s="106">
        <v>18.939103394661831</v>
      </c>
      <c r="AQ99" s="106">
        <v>103816.58916817828</v>
      </c>
      <c r="AR99" s="106">
        <v>0</v>
      </c>
      <c r="AS99" s="106">
        <v>0</v>
      </c>
      <c r="AT99" s="106">
        <v>16.145050125313283</v>
      </c>
      <c r="AU99" s="106">
        <v>88500.706766917283</v>
      </c>
      <c r="AV99" s="106">
        <v>8.2525589145441565</v>
      </c>
      <c r="AW99" s="106">
        <v>45237.226945965245</v>
      </c>
      <c r="AX99" s="106">
        <v>10.116362763915546</v>
      </c>
      <c r="AY99" s="106">
        <v>55453.854126679456</v>
      </c>
      <c r="AZ99" s="106">
        <v>30</v>
      </c>
      <c r="BA99" s="106">
        <v>164447.99999999997</v>
      </c>
      <c r="BB99" s="106">
        <v>17.035165923724616</v>
      </c>
      <c r="BC99" s="106">
        <v>93379.96552748885</v>
      </c>
      <c r="BD99" s="106">
        <v>14.687553740326742</v>
      </c>
      <c r="BE99" s="106">
        <v>80511.294582975053</v>
      </c>
      <c r="BF99" s="106">
        <v>20.453308431163286</v>
      </c>
      <c r="BG99" s="106">
        <v>112116.85549626466</v>
      </c>
      <c r="BH99" s="106">
        <v>10.163584497344088</v>
      </c>
      <c r="BI99" s="106">
        <v>55712.704780641347</v>
      </c>
      <c r="BJ99" s="106">
        <v>0</v>
      </c>
      <c r="BK99" s="106">
        <v>0</v>
      </c>
      <c r="BL99" s="106">
        <v>13.260138603696099</v>
      </c>
      <c r="BM99" s="106">
        <v>72686.775770020526</v>
      </c>
      <c r="BN99" s="106">
        <v>10.801388888888889</v>
      </c>
      <c r="BO99" s="106">
        <v>59208.893333333326</v>
      </c>
      <c r="BP99" s="106">
        <v>38.057091346153847</v>
      </c>
      <c r="BQ99" s="106">
        <v>208613.7519230769</v>
      </c>
      <c r="BR99" s="106">
        <v>14.709819786686282</v>
      </c>
      <c r="BS99" s="106">
        <v>80633.348142699513</v>
      </c>
      <c r="BT99" s="106">
        <v>0</v>
      </c>
      <c r="BU99" s="106">
        <v>0</v>
      </c>
      <c r="BV99" s="106">
        <v>36.547895134862621</v>
      </c>
      <c r="BW99" s="106">
        <v>200340.94197126292</v>
      </c>
      <c r="BX99" s="106">
        <v>16.89159456118665</v>
      </c>
      <c r="BY99" s="106">
        <v>92592.96474660073</v>
      </c>
      <c r="BZ99" s="106">
        <v>0</v>
      </c>
      <c r="CA99" s="106">
        <v>0</v>
      </c>
      <c r="CB99" s="106">
        <v>40.573931116389552</v>
      </c>
      <c r="CC99" s="106">
        <v>222410.06080760094</v>
      </c>
      <c r="CD99" s="106">
        <v>20.378396739130437</v>
      </c>
      <c r="CE99" s="106">
        <v>111706.2195652174</v>
      </c>
      <c r="CF99" s="106">
        <v>10.287037037037036</v>
      </c>
      <c r="CG99" s="106">
        <v>56389.422222222216</v>
      </c>
      <c r="CH99" s="106">
        <v>14.050117096018734</v>
      </c>
      <c r="CI99" s="106">
        <v>77017.121873536293</v>
      </c>
      <c r="CJ99" s="106">
        <v>13.328323221180364</v>
      </c>
      <c r="CK99" s="106">
        <v>73060.536569222269</v>
      </c>
      <c r="CL99" s="106">
        <v>0</v>
      </c>
      <c r="CM99" s="106">
        <v>0</v>
      </c>
      <c r="CN99" s="106">
        <v>23.743782261848899</v>
      </c>
      <c r="CO99" s="106">
        <v>130153.91684655091</v>
      </c>
      <c r="CP99" s="106">
        <v>17.710191637630661</v>
      </c>
      <c r="CQ99" s="106">
        <v>97080.18648083623</v>
      </c>
      <c r="CR99" s="106">
        <v>21.195142506895493</v>
      </c>
      <c r="CS99" s="106">
        <v>116183.29316579833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24.507352941176471</v>
      </c>
      <c r="M100" s="106">
        <v>39760.729411764703</v>
      </c>
      <c r="N100" s="106">
        <v>25.324324324324326</v>
      </c>
      <c r="O100" s="106">
        <v>41086.183783783781</v>
      </c>
      <c r="P100" s="106">
        <v>22.15408701384311</v>
      </c>
      <c r="Q100" s="106">
        <v>35942.79077125906</v>
      </c>
      <c r="R100" s="106">
        <v>50.819093406593403</v>
      </c>
      <c r="S100" s="106">
        <v>82448.897142857124</v>
      </c>
      <c r="T100" s="106">
        <v>0</v>
      </c>
      <c r="U100" s="106">
        <v>0</v>
      </c>
      <c r="V100" s="106">
        <v>49.715368531102982</v>
      </c>
      <c r="W100" s="106">
        <v>80658.213904861477</v>
      </c>
      <c r="X100" s="106">
        <v>31.632814275971811</v>
      </c>
      <c r="Y100" s="106">
        <v>51321.077881336663</v>
      </c>
      <c r="Z100" s="106">
        <v>34.357744711366081</v>
      </c>
      <c r="AA100" s="106">
        <v>55742.005019720324</v>
      </c>
      <c r="AB100" s="106">
        <v>12.887600000000001</v>
      </c>
      <c r="AC100" s="106">
        <v>20908.842239999998</v>
      </c>
      <c r="AD100" s="106">
        <v>0</v>
      </c>
      <c r="AE100" s="106">
        <v>0</v>
      </c>
      <c r="AF100" s="106">
        <v>38</v>
      </c>
      <c r="AG100" s="106">
        <v>61651.199999999997</v>
      </c>
      <c r="AH100" s="106">
        <v>16.667374776386406</v>
      </c>
      <c r="AI100" s="106">
        <v>27041.148837209304</v>
      </c>
      <c r="AJ100" s="106">
        <v>0</v>
      </c>
      <c r="AK100" s="106">
        <v>0</v>
      </c>
      <c r="AL100" s="106">
        <v>22.177514792899409</v>
      </c>
      <c r="AM100" s="106">
        <v>35980.799999999996</v>
      </c>
      <c r="AN100" s="106">
        <v>33.189988290398126</v>
      </c>
      <c r="AO100" s="106">
        <v>53847.437002341918</v>
      </c>
      <c r="AP100" s="106">
        <v>29.622700181394148</v>
      </c>
      <c r="AQ100" s="106">
        <v>48059.868774293864</v>
      </c>
      <c r="AR100" s="106">
        <v>0</v>
      </c>
      <c r="AS100" s="106">
        <v>0</v>
      </c>
      <c r="AT100" s="106">
        <v>30.82236842105263</v>
      </c>
      <c r="AU100" s="106">
        <v>50006.210526315786</v>
      </c>
      <c r="AV100" s="106">
        <v>18.400975958105214</v>
      </c>
      <c r="AW100" s="106">
        <v>29853.743394429897</v>
      </c>
      <c r="AX100" s="106">
        <v>20.120321497120919</v>
      </c>
      <c r="AY100" s="106">
        <v>32643.209596928977</v>
      </c>
      <c r="AZ100" s="106">
        <v>48</v>
      </c>
      <c r="BA100" s="106">
        <v>77875.199999999997</v>
      </c>
      <c r="BB100" s="106">
        <v>26.433878157503717</v>
      </c>
      <c r="BC100" s="106">
        <v>42886.323922734024</v>
      </c>
      <c r="BD100" s="106">
        <v>22.568680137575235</v>
      </c>
      <c r="BE100" s="106">
        <v>36615.426655202056</v>
      </c>
      <c r="BF100" s="106">
        <v>37.794156883671292</v>
      </c>
      <c r="BG100" s="106">
        <v>61317.240128068297</v>
      </c>
      <c r="BH100" s="106">
        <v>17.048593350383634</v>
      </c>
      <c r="BI100" s="106">
        <v>27659.637851662406</v>
      </c>
      <c r="BJ100" s="106">
        <v>0</v>
      </c>
      <c r="BK100" s="106">
        <v>0</v>
      </c>
      <c r="BL100" s="106">
        <v>24.167671971252567</v>
      </c>
      <c r="BM100" s="106">
        <v>39209.631006160162</v>
      </c>
      <c r="BN100" s="106">
        <v>22.484523809523811</v>
      </c>
      <c r="BO100" s="106">
        <v>36478.891428571427</v>
      </c>
      <c r="BP100" s="106">
        <v>76.114182692307693</v>
      </c>
      <c r="BQ100" s="106">
        <v>123487.65</v>
      </c>
      <c r="BR100" s="106">
        <v>27.580912100036777</v>
      </c>
      <c r="BS100" s="106">
        <v>44747.271791099665</v>
      </c>
      <c r="BT100" s="106">
        <v>0</v>
      </c>
      <c r="BU100" s="106">
        <v>0</v>
      </c>
      <c r="BV100" s="106">
        <v>62.173430804134107</v>
      </c>
      <c r="BW100" s="106">
        <v>100870.17413662716</v>
      </c>
      <c r="BX100" s="106">
        <v>38.933065512978985</v>
      </c>
      <c r="BY100" s="106">
        <v>63165.005488257098</v>
      </c>
      <c r="BZ100" s="106">
        <v>0</v>
      </c>
      <c r="CA100" s="106">
        <v>0</v>
      </c>
      <c r="CB100" s="106">
        <v>87.085510688836109</v>
      </c>
      <c r="CC100" s="106">
        <v>141287.53254156769</v>
      </c>
      <c r="CD100" s="106">
        <v>44.961859472049689</v>
      </c>
      <c r="CE100" s="106">
        <v>72946.120807453408</v>
      </c>
      <c r="CF100" s="106">
        <v>16.459259259259259</v>
      </c>
      <c r="CG100" s="106">
        <v>26703.502222222218</v>
      </c>
      <c r="CH100" s="106">
        <v>23.026580796252929</v>
      </c>
      <c r="CI100" s="106">
        <v>37358.32468384075</v>
      </c>
      <c r="CJ100" s="106">
        <v>20.681880860452289</v>
      </c>
      <c r="CK100" s="106">
        <v>33554.283507997789</v>
      </c>
      <c r="CL100" s="106">
        <v>0</v>
      </c>
      <c r="CM100" s="106">
        <v>0</v>
      </c>
      <c r="CN100" s="106">
        <v>46.168465509150636</v>
      </c>
      <c r="CO100" s="106">
        <v>74903.718442045982</v>
      </c>
      <c r="CP100" s="106">
        <v>34.549390243902444</v>
      </c>
      <c r="CQ100" s="106">
        <v>56052.930731707318</v>
      </c>
      <c r="CR100" s="106">
        <v>41.368832362856267</v>
      </c>
      <c r="CS100" s="106">
        <v>67116.793625498001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24.701855742296917</v>
      </c>
      <c r="M101" s="106">
        <v>29405.089075630247</v>
      </c>
      <c r="N101" s="106">
        <v>31.192155570204353</v>
      </c>
      <c r="O101" s="106">
        <v>37131.141990771255</v>
      </c>
      <c r="P101" s="106">
        <v>21.604812129202372</v>
      </c>
      <c r="Q101" s="106">
        <v>25718.3683586025</v>
      </c>
      <c r="R101" s="106">
        <v>57.686538461538461</v>
      </c>
      <c r="S101" s="106">
        <v>68670.055384615378</v>
      </c>
      <c r="T101" s="106">
        <v>0</v>
      </c>
      <c r="U101" s="106">
        <v>0</v>
      </c>
      <c r="V101" s="106">
        <v>52.899111343439621</v>
      </c>
      <c r="W101" s="106">
        <v>62971.102143230521</v>
      </c>
      <c r="X101" s="106">
        <v>33.337576721982273</v>
      </c>
      <c r="Y101" s="106">
        <v>39685.051329847694</v>
      </c>
      <c r="Z101" s="106">
        <v>42.424345643599857</v>
      </c>
      <c r="AA101" s="106">
        <v>50501.941054141265</v>
      </c>
      <c r="AB101" s="106">
        <v>12.443199999999999</v>
      </c>
      <c r="AC101" s="106">
        <v>14812.385279999997</v>
      </c>
      <c r="AD101" s="106">
        <v>0</v>
      </c>
      <c r="AE101" s="106">
        <v>0</v>
      </c>
      <c r="AF101" s="106">
        <v>43</v>
      </c>
      <c r="AG101" s="106">
        <v>51187.199999999997</v>
      </c>
      <c r="AH101" s="106">
        <v>20.271131484794275</v>
      </c>
      <c r="AI101" s="106">
        <v>24130.754919499101</v>
      </c>
      <c r="AJ101" s="106">
        <v>0</v>
      </c>
      <c r="AK101" s="106">
        <v>0</v>
      </c>
      <c r="AL101" s="106">
        <v>22.761133603238868</v>
      </c>
      <c r="AM101" s="106">
        <v>27094.853441295545</v>
      </c>
      <c r="AN101" s="106">
        <v>30.721311475409838</v>
      </c>
      <c r="AO101" s="106">
        <v>36570.64918032787</v>
      </c>
      <c r="AP101" s="106">
        <v>34.236071521119463</v>
      </c>
      <c r="AQ101" s="106">
        <v>40754.619538740604</v>
      </c>
      <c r="AR101" s="106">
        <v>0</v>
      </c>
      <c r="AS101" s="106">
        <v>0</v>
      </c>
      <c r="AT101" s="106">
        <v>34.051378446115287</v>
      </c>
      <c r="AU101" s="106">
        <v>40534.760902255635</v>
      </c>
      <c r="AV101" s="106">
        <v>18.400975958105214</v>
      </c>
      <c r="AW101" s="106">
        <v>21904.521780528445</v>
      </c>
      <c r="AX101" s="106">
        <v>20.907149712092128</v>
      </c>
      <c r="AY101" s="106">
        <v>24887.871017274465</v>
      </c>
      <c r="AZ101" s="106">
        <v>47</v>
      </c>
      <c r="BA101" s="106">
        <v>55948.799999999996</v>
      </c>
      <c r="BB101" s="106">
        <v>28.196136701337295</v>
      </c>
      <c r="BC101" s="106">
        <v>33564.681129271914</v>
      </c>
      <c r="BD101" s="106">
        <v>21.852214101461737</v>
      </c>
      <c r="BE101" s="106">
        <v>26012.875666380049</v>
      </c>
      <c r="BF101" s="106">
        <v>34.237059765208109</v>
      </c>
      <c r="BG101" s="106">
        <v>40755.795944503727</v>
      </c>
      <c r="BH101" s="106">
        <v>20.655026559118632</v>
      </c>
      <c r="BI101" s="106">
        <v>24587.743615974818</v>
      </c>
      <c r="BJ101" s="106">
        <v>0</v>
      </c>
      <c r="BK101" s="106">
        <v>0</v>
      </c>
      <c r="BL101" s="106">
        <v>23.098305954825463</v>
      </c>
      <c r="BM101" s="106">
        <v>27496.223408624228</v>
      </c>
      <c r="BN101" s="106">
        <v>23.145833333333332</v>
      </c>
      <c r="BO101" s="106">
        <v>27552.799999999996</v>
      </c>
      <c r="BP101" s="106">
        <v>93.640474759615387</v>
      </c>
      <c r="BQ101" s="106">
        <v>111469.62115384615</v>
      </c>
      <c r="BR101" s="106">
        <v>32.177730783376241</v>
      </c>
      <c r="BS101" s="106">
        <v>38304.370724531072</v>
      </c>
      <c r="BT101" s="106">
        <v>0</v>
      </c>
      <c r="BU101" s="106">
        <v>0</v>
      </c>
      <c r="BV101" s="106">
        <v>78.556970002520799</v>
      </c>
      <c r="BW101" s="106">
        <v>93514.217091000755</v>
      </c>
      <c r="BX101" s="106">
        <v>43.876946847960447</v>
      </c>
      <c r="BY101" s="106">
        <v>52231.117527812108</v>
      </c>
      <c r="BZ101" s="106">
        <v>0</v>
      </c>
      <c r="CA101" s="106">
        <v>0</v>
      </c>
      <c r="CB101" s="106">
        <v>106.87767220902614</v>
      </c>
      <c r="CC101" s="106">
        <v>127227.1809976247</v>
      </c>
      <c r="CD101" s="106">
        <v>53.04852484472049</v>
      </c>
      <c r="CE101" s="106">
        <v>63148.96397515526</v>
      </c>
      <c r="CF101" s="106">
        <v>15.224814814814817</v>
      </c>
      <c r="CG101" s="106">
        <v>18123.619555555557</v>
      </c>
      <c r="CH101" s="106">
        <v>21.855737704918031</v>
      </c>
      <c r="CI101" s="106">
        <v>26017.070163934422</v>
      </c>
      <c r="CJ101" s="106">
        <v>24.358659680088252</v>
      </c>
      <c r="CK101" s="106">
        <v>28996.548483177052</v>
      </c>
      <c r="CL101" s="106">
        <v>0</v>
      </c>
      <c r="CM101" s="106">
        <v>0</v>
      </c>
      <c r="CN101" s="106">
        <v>50.565462224307836</v>
      </c>
      <c r="CO101" s="106">
        <v>60193.126231816044</v>
      </c>
      <c r="CP101" s="106">
        <v>40.646341463414636</v>
      </c>
      <c r="CQ101" s="106">
        <v>48385.404878048779</v>
      </c>
      <c r="CR101" s="106">
        <v>48.008274593931965</v>
      </c>
      <c r="CS101" s="106">
        <v>57149.050076616608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21.58981092436975</v>
      </c>
      <c r="M102" s="106">
        <v>41866.961344537813</v>
      </c>
      <c r="N102" s="106">
        <v>22.853658536585368</v>
      </c>
      <c r="O102" s="106">
        <v>44317.814634146343</v>
      </c>
      <c r="P102" s="106">
        <v>18.126071193144362</v>
      </c>
      <c r="Q102" s="106">
        <v>35150.077257745543</v>
      </c>
      <c r="R102" s="106">
        <v>52.650412087912088</v>
      </c>
      <c r="S102" s="106">
        <v>102099.67912087911</v>
      </c>
      <c r="T102" s="106">
        <v>0</v>
      </c>
      <c r="U102" s="106">
        <v>0</v>
      </c>
      <c r="V102" s="106">
        <v>42.613173026659702</v>
      </c>
      <c r="W102" s="106">
        <v>82635.465133298479</v>
      </c>
      <c r="X102" s="106">
        <v>28.412707433507617</v>
      </c>
      <c r="Y102" s="106">
        <v>55097.922255057965</v>
      </c>
      <c r="Z102" s="106">
        <v>32.56516672642524</v>
      </c>
      <c r="AA102" s="106">
        <v>63150.371315883822</v>
      </c>
      <c r="AB102" s="106">
        <v>12.443199999999999</v>
      </c>
      <c r="AC102" s="106">
        <v>24129.853439999995</v>
      </c>
      <c r="AD102" s="106">
        <v>0</v>
      </c>
      <c r="AE102" s="106">
        <v>0</v>
      </c>
      <c r="AF102" s="106">
        <v>38</v>
      </c>
      <c r="AG102" s="106">
        <v>73689.599999999991</v>
      </c>
      <c r="AH102" s="106">
        <v>18.469253130590339</v>
      </c>
      <c r="AI102" s="106">
        <v>35815.575670840779</v>
      </c>
      <c r="AJ102" s="106">
        <v>0</v>
      </c>
      <c r="AK102" s="106">
        <v>0</v>
      </c>
      <c r="AL102" s="106">
        <v>17.800373715353469</v>
      </c>
      <c r="AM102" s="106">
        <v>34518.484708813441</v>
      </c>
      <c r="AN102" s="106">
        <v>30.447014051522249</v>
      </c>
      <c r="AO102" s="106">
        <v>59042.849648711941</v>
      </c>
      <c r="AP102" s="106">
        <v>30.351127235034983</v>
      </c>
      <c r="AQ102" s="106">
        <v>58856.905934179835</v>
      </c>
      <c r="AR102" s="106">
        <v>0</v>
      </c>
      <c r="AS102" s="106">
        <v>0</v>
      </c>
      <c r="AT102" s="106">
        <v>31.703007518796991</v>
      </c>
      <c r="AU102" s="106">
        <v>61478.472180451121</v>
      </c>
      <c r="AV102" s="106">
        <v>16.059033563437279</v>
      </c>
      <c r="AW102" s="106">
        <v>31141.677886217567</v>
      </c>
      <c r="AX102" s="106">
        <v>17.535028790786946</v>
      </c>
      <c r="AY102" s="106">
        <v>34003.927831094043</v>
      </c>
      <c r="AZ102" s="106">
        <v>43</v>
      </c>
      <c r="BA102" s="106">
        <v>83385.599999999991</v>
      </c>
      <c r="BB102" s="106">
        <v>26.433878157503717</v>
      </c>
      <c r="BC102" s="106">
        <v>51260.576523031203</v>
      </c>
      <c r="BD102" s="106">
        <v>23.643379191745485</v>
      </c>
      <c r="BE102" s="106">
        <v>45849.24092863284</v>
      </c>
      <c r="BF102" s="106">
        <v>32.903148345784423</v>
      </c>
      <c r="BG102" s="106">
        <v>63805.785272145149</v>
      </c>
      <c r="BH102" s="106">
        <v>16.392878221522722</v>
      </c>
      <c r="BI102" s="106">
        <v>31789.069447176858</v>
      </c>
      <c r="BJ102" s="106">
        <v>0</v>
      </c>
      <c r="BK102" s="106">
        <v>0</v>
      </c>
      <c r="BL102" s="106">
        <v>22.884432751540043</v>
      </c>
      <c r="BM102" s="106">
        <v>44377.491991786446</v>
      </c>
      <c r="BN102" s="106">
        <v>19.618849206349207</v>
      </c>
      <c r="BO102" s="106">
        <v>38044.87238095238</v>
      </c>
      <c r="BP102" s="106">
        <v>77.61643629807692</v>
      </c>
      <c r="BQ102" s="106">
        <v>150513.79326923075</v>
      </c>
      <c r="BR102" s="106">
        <v>26.355093784479589</v>
      </c>
      <c r="BS102" s="106">
        <v>51107.797866862813</v>
      </c>
      <c r="BT102" s="106">
        <v>0</v>
      </c>
      <c r="BU102" s="106">
        <v>0</v>
      </c>
      <c r="BV102" s="106">
        <v>59.652886312074614</v>
      </c>
      <c r="BW102" s="106">
        <v>115678.87713637509</v>
      </c>
      <c r="BX102" s="106">
        <v>34.607169344870208</v>
      </c>
      <c r="BY102" s="106">
        <v>67110.222793572306</v>
      </c>
      <c r="BZ102" s="106">
        <v>0</v>
      </c>
      <c r="CA102" s="106">
        <v>0</v>
      </c>
      <c r="CB102" s="106">
        <v>83.786817102137761</v>
      </c>
      <c r="CC102" s="106">
        <v>162479.39572446552</v>
      </c>
      <c r="CD102" s="106">
        <v>38.654260481366464</v>
      </c>
      <c r="CE102" s="106">
        <v>74958.341925465837</v>
      </c>
      <c r="CF102" s="106">
        <v>14.40185185185185</v>
      </c>
      <c r="CG102" s="106">
        <v>27928.071111111105</v>
      </c>
      <c r="CH102" s="106">
        <v>20.684894613583136</v>
      </c>
      <c r="CI102" s="106">
        <v>40112.14763466041</v>
      </c>
      <c r="CJ102" s="106">
        <v>21.601075565361278</v>
      </c>
      <c r="CK102" s="106">
        <v>41888.805736348586</v>
      </c>
      <c r="CL102" s="106">
        <v>0</v>
      </c>
      <c r="CM102" s="106">
        <v>0</v>
      </c>
      <c r="CN102" s="106">
        <v>43.090567808540591</v>
      </c>
      <c r="CO102" s="106">
        <v>83561.229094321912</v>
      </c>
      <c r="CP102" s="106">
        <v>30.194425087108016</v>
      </c>
      <c r="CQ102" s="106">
        <v>58553.029128919858</v>
      </c>
      <c r="CR102" s="106">
        <v>38.049111247318415</v>
      </c>
      <c r="CS102" s="106">
        <v>73784.836530799861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24.896358543417367</v>
      </c>
      <c r="M103" s="106">
        <v>50489.815126050424</v>
      </c>
      <c r="N103" s="106">
        <v>24.397824653922214</v>
      </c>
      <c r="O103" s="106">
        <v>49478.788398154247</v>
      </c>
      <c r="P103" s="106">
        <v>17.576796308503624</v>
      </c>
      <c r="Q103" s="106">
        <v>35645.74291364535</v>
      </c>
      <c r="R103" s="106">
        <v>46.240796703296702</v>
      </c>
      <c r="S103" s="106">
        <v>93776.335714285713</v>
      </c>
      <c r="T103" s="106">
        <v>0</v>
      </c>
      <c r="U103" s="106">
        <v>0</v>
      </c>
      <c r="V103" s="106">
        <v>46.041819132253003</v>
      </c>
      <c r="W103" s="106">
        <v>93372.809200209085</v>
      </c>
      <c r="X103" s="106">
        <v>26.518526937940443</v>
      </c>
      <c r="Y103" s="106">
        <v>53779.572630143215</v>
      </c>
      <c r="Z103" s="106">
        <v>29.577536751523841</v>
      </c>
      <c r="AA103" s="106">
        <v>59983.24453209035</v>
      </c>
      <c r="AB103" s="106">
        <v>12.887600000000001</v>
      </c>
      <c r="AC103" s="106">
        <v>26136.052800000001</v>
      </c>
      <c r="AD103" s="106">
        <v>0</v>
      </c>
      <c r="AE103" s="106">
        <v>0</v>
      </c>
      <c r="AF103" s="106">
        <v>38</v>
      </c>
      <c r="AG103" s="106">
        <v>77064</v>
      </c>
      <c r="AH103" s="106">
        <v>18.469253130590339</v>
      </c>
      <c r="AI103" s="106">
        <v>37455.645348837206</v>
      </c>
      <c r="AJ103" s="106">
        <v>0</v>
      </c>
      <c r="AK103" s="106">
        <v>0</v>
      </c>
      <c r="AL103" s="106">
        <v>19.551230146371847</v>
      </c>
      <c r="AM103" s="106">
        <v>39649.894736842107</v>
      </c>
      <c r="AN103" s="106">
        <v>26.058255269320842</v>
      </c>
      <c r="AO103" s="106">
        <v>52846.141686182666</v>
      </c>
      <c r="AP103" s="106">
        <v>28.894273127753305</v>
      </c>
      <c r="AQ103" s="106">
        <v>58597.585903083702</v>
      </c>
      <c r="AR103" s="106">
        <v>0</v>
      </c>
      <c r="AS103" s="106">
        <v>0</v>
      </c>
      <c r="AT103" s="106">
        <v>29.64818295739348</v>
      </c>
      <c r="AU103" s="106">
        <v>60126.515037593977</v>
      </c>
      <c r="AV103" s="106">
        <v>14.943822899309689</v>
      </c>
      <c r="AW103" s="106">
        <v>30306.07283980005</v>
      </c>
      <c r="AX103" s="106">
        <v>17.085412667946258</v>
      </c>
      <c r="AY103" s="106">
        <v>34649.216890595009</v>
      </c>
      <c r="AZ103" s="106">
        <v>39</v>
      </c>
      <c r="BA103" s="106">
        <v>79092</v>
      </c>
      <c r="BB103" s="106">
        <v>24.671619613670131</v>
      </c>
      <c r="BC103" s="106">
        <v>50034.044576523025</v>
      </c>
      <c r="BD103" s="106">
        <v>23.285146173688737</v>
      </c>
      <c r="BE103" s="106">
        <v>47222.276440240756</v>
      </c>
      <c r="BF103" s="106">
        <v>30.679962646744929</v>
      </c>
      <c r="BG103" s="106">
        <v>62218.96424759872</v>
      </c>
      <c r="BH103" s="106">
        <v>17.540379697029316</v>
      </c>
      <c r="BI103" s="106">
        <v>35571.890025575449</v>
      </c>
      <c r="BJ103" s="106">
        <v>0</v>
      </c>
      <c r="BK103" s="106">
        <v>0</v>
      </c>
      <c r="BL103" s="106">
        <v>22.670559548254619</v>
      </c>
      <c r="BM103" s="106">
        <v>45975.894763860371</v>
      </c>
      <c r="BN103" s="106">
        <v>20.280158730158732</v>
      </c>
      <c r="BO103" s="106">
        <v>41128.16190476191</v>
      </c>
      <c r="BP103" s="106">
        <v>68.602914663461533</v>
      </c>
      <c r="BQ103" s="106">
        <v>139126.7109375</v>
      </c>
      <c r="BR103" s="106">
        <v>26.355093784479589</v>
      </c>
      <c r="BS103" s="106">
        <v>53448.130194924604</v>
      </c>
      <c r="BT103" s="106">
        <v>0</v>
      </c>
      <c r="BU103" s="106">
        <v>0</v>
      </c>
      <c r="BV103" s="106">
        <v>61.753340055457528</v>
      </c>
      <c r="BW103" s="106">
        <v>125235.77363246787</v>
      </c>
      <c r="BX103" s="106">
        <v>38.933065512978985</v>
      </c>
      <c r="BY103" s="106">
        <v>78956.256860321388</v>
      </c>
      <c r="BZ103" s="106">
        <v>0</v>
      </c>
      <c r="CA103" s="106">
        <v>0</v>
      </c>
      <c r="CB103" s="106">
        <v>75.540083135391924</v>
      </c>
      <c r="CC103" s="106">
        <v>153195.28859857481</v>
      </c>
      <c r="CD103" s="106">
        <v>39.624660326086961</v>
      </c>
      <c r="CE103" s="106">
        <v>80358.811141304352</v>
      </c>
      <c r="CF103" s="106">
        <v>16.047777777777778</v>
      </c>
      <c r="CG103" s="106">
        <v>32544.893333333333</v>
      </c>
      <c r="CH103" s="106">
        <v>21.855737704918031</v>
      </c>
      <c r="CI103" s="106">
        <v>44323.436065573769</v>
      </c>
      <c r="CJ103" s="106">
        <v>18.843491450634307</v>
      </c>
      <c r="CK103" s="106">
        <v>38214.600661886376</v>
      </c>
      <c r="CL103" s="106">
        <v>0</v>
      </c>
      <c r="CM103" s="106">
        <v>0</v>
      </c>
      <c r="CN103" s="106">
        <v>40.892069450961991</v>
      </c>
      <c r="CO103" s="106">
        <v>82929.116846550911</v>
      </c>
      <c r="CP103" s="106">
        <v>32.226742160278746</v>
      </c>
      <c r="CQ103" s="106">
        <v>65355.833101045297</v>
      </c>
      <c r="CR103" s="106">
        <v>36.772295433650015</v>
      </c>
      <c r="CS103" s="106">
        <v>74574.215139442225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21.006302521008404</v>
      </c>
      <c r="M104" s="106">
        <v>43533.46134453782</v>
      </c>
      <c r="N104" s="106">
        <v>23.780158206987476</v>
      </c>
      <c r="O104" s="106">
        <v>49281.999868160849</v>
      </c>
      <c r="P104" s="106">
        <v>20.140079103493736</v>
      </c>
      <c r="Q104" s="106">
        <v>41738.299934080424</v>
      </c>
      <c r="R104" s="106">
        <v>50.819093406593403</v>
      </c>
      <c r="S104" s="106">
        <v>105317.48917582417</v>
      </c>
      <c r="T104" s="106">
        <v>0</v>
      </c>
      <c r="U104" s="106">
        <v>0</v>
      </c>
      <c r="V104" s="106">
        <v>44.817302665969677</v>
      </c>
      <c r="W104" s="106">
        <v>92879.378044955563</v>
      </c>
      <c r="X104" s="106">
        <v>30.117469879518072</v>
      </c>
      <c r="Y104" s="106">
        <v>62415.444578313254</v>
      </c>
      <c r="Z104" s="106">
        <v>34.507126210111146</v>
      </c>
      <c r="AA104" s="106">
        <v>71512.568357834345</v>
      </c>
      <c r="AB104" s="106">
        <v>12.887600000000001</v>
      </c>
      <c r="AC104" s="106">
        <v>26708.262240000004</v>
      </c>
      <c r="AD104" s="106">
        <v>0</v>
      </c>
      <c r="AE104" s="106">
        <v>0</v>
      </c>
      <c r="AF104" s="106">
        <v>41</v>
      </c>
      <c r="AG104" s="106">
        <v>84968.400000000009</v>
      </c>
      <c r="AH104" s="106">
        <v>15.766435599284435</v>
      </c>
      <c r="AI104" s="106">
        <v>32674.361135957064</v>
      </c>
      <c r="AJ104" s="106">
        <v>0</v>
      </c>
      <c r="AK104" s="106">
        <v>0</v>
      </c>
      <c r="AL104" s="106">
        <v>18.967611336032387</v>
      </c>
      <c r="AM104" s="106">
        <v>39308.477732793523</v>
      </c>
      <c r="AN104" s="106">
        <v>28.252634660421545</v>
      </c>
      <c r="AO104" s="106">
        <v>58550.760070257616</v>
      </c>
      <c r="AP104" s="106">
        <v>29.137082145633581</v>
      </c>
      <c r="AQ104" s="106">
        <v>60383.689038611039</v>
      </c>
      <c r="AR104" s="106">
        <v>0</v>
      </c>
      <c r="AS104" s="106">
        <v>0</v>
      </c>
      <c r="AT104" s="106">
        <v>31.703007518796991</v>
      </c>
      <c r="AU104" s="106">
        <v>65701.312781954883</v>
      </c>
      <c r="AV104" s="106">
        <v>15.501428231373483</v>
      </c>
      <c r="AW104" s="106">
        <v>32125.159866698406</v>
      </c>
      <c r="AX104" s="106">
        <v>17.759836852207293</v>
      </c>
      <c r="AY104" s="106">
        <v>36805.485892514393</v>
      </c>
      <c r="AZ104" s="106">
        <v>45</v>
      </c>
      <c r="BA104" s="106">
        <v>93258</v>
      </c>
      <c r="BB104" s="106">
        <v>22.909361069836553</v>
      </c>
      <c r="BC104" s="106">
        <v>47477.359881129276</v>
      </c>
      <c r="BD104" s="106">
        <v>19.702815993121238</v>
      </c>
      <c r="BE104" s="106">
        <v>40832.115864144456</v>
      </c>
      <c r="BF104" s="106">
        <v>35.570971184631802</v>
      </c>
      <c r="BG104" s="106">
        <v>73717.280683030942</v>
      </c>
      <c r="BH104" s="106">
        <v>17.704308479244542</v>
      </c>
      <c r="BI104" s="106">
        <v>36690.408892386389</v>
      </c>
      <c r="BJ104" s="106">
        <v>0</v>
      </c>
      <c r="BK104" s="106">
        <v>0</v>
      </c>
      <c r="BL104" s="106">
        <v>22.028939938398356</v>
      </c>
      <c r="BM104" s="106">
        <v>45652.775128336754</v>
      </c>
      <c r="BN104" s="106">
        <v>18.957539682539682</v>
      </c>
      <c r="BO104" s="106">
        <v>39287.605238095239</v>
      </c>
      <c r="BP104" s="106">
        <v>76.114182692307693</v>
      </c>
      <c r="BQ104" s="106">
        <v>157739.03221153846</v>
      </c>
      <c r="BR104" s="106">
        <v>27.580912100036777</v>
      </c>
      <c r="BS104" s="106">
        <v>57158.682236116219</v>
      </c>
      <c r="BT104" s="106">
        <v>0</v>
      </c>
      <c r="BU104" s="106">
        <v>0</v>
      </c>
      <c r="BV104" s="106">
        <v>61.753340055457528</v>
      </c>
      <c r="BW104" s="106">
        <v>127977.62193093018</v>
      </c>
      <c r="BX104" s="106">
        <v>36.461124845488257</v>
      </c>
      <c r="BY104" s="106">
        <v>75562.035129789874</v>
      </c>
      <c r="BZ104" s="106">
        <v>0</v>
      </c>
      <c r="CA104" s="106">
        <v>0</v>
      </c>
      <c r="CB104" s="106">
        <v>79.828384798099762</v>
      </c>
      <c r="CC104" s="106">
        <v>165436.34465558195</v>
      </c>
      <c r="CD104" s="106">
        <v>42.697593167701861</v>
      </c>
      <c r="CE104" s="106">
        <v>88486.492080745345</v>
      </c>
      <c r="CF104" s="106">
        <v>15.224814814814817</v>
      </c>
      <c r="CG104" s="106">
        <v>31551.906222222227</v>
      </c>
      <c r="CH104" s="106">
        <v>20.294613583138172</v>
      </c>
      <c r="CI104" s="106">
        <v>42058.557189695552</v>
      </c>
      <c r="CJ104" s="106">
        <v>18.383894098179812</v>
      </c>
      <c r="CK104" s="106">
        <v>38098.782129067848</v>
      </c>
      <c r="CL104" s="106">
        <v>0</v>
      </c>
      <c r="CM104" s="106">
        <v>0</v>
      </c>
      <c r="CN104" s="106">
        <v>41.331769122477709</v>
      </c>
      <c r="CO104" s="106">
        <v>85655.958329422807</v>
      </c>
      <c r="CP104" s="106">
        <v>29.32343205574913</v>
      </c>
      <c r="CQ104" s="106">
        <v>60769.880592334499</v>
      </c>
      <c r="CR104" s="106">
        <v>38.304474410052102</v>
      </c>
      <c r="CS104" s="106">
        <v>79382.192767391985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24.312850140056021</v>
      </c>
      <c r="M105" s="106">
        <v>48577.074579831933</v>
      </c>
      <c r="N105" s="106">
        <v>24.088991430454847</v>
      </c>
      <c r="O105" s="106">
        <v>48129.804878048781</v>
      </c>
      <c r="P105" s="106">
        <v>20.689353988134474</v>
      </c>
      <c r="Q105" s="106">
        <v>41337.329268292677</v>
      </c>
      <c r="R105" s="106">
        <v>54.939560439560438</v>
      </c>
      <c r="S105" s="106">
        <v>109769.24175824175</v>
      </c>
      <c r="T105" s="106">
        <v>0</v>
      </c>
      <c r="U105" s="106">
        <v>0</v>
      </c>
      <c r="V105" s="106">
        <v>42.368269733403032</v>
      </c>
      <c r="W105" s="106">
        <v>84651.80292733926</v>
      </c>
      <c r="X105" s="106">
        <v>27.086781086610593</v>
      </c>
      <c r="Y105" s="106">
        <v>54119.388611047965</v>
      </c>
      <c r="Z105" s="106">
        <v>33.013311222660448</v>
      </c>
      <c r="AA105" s="106">
        <v>65960.595822875577</v>
      </c>
      <c r="AB105" s="106">
        <v>13.776400000000001</v>
      </c>
      <c r="AC105" s="106">
        <v>27525.247200000002</v>
      </c>
      <c r="AD105" s="106">
        <v>0</v>
      </c>
      <c r="AE105" s="106">
        <v>0</v>
      </c>
      <c r="AF105" s="106">
        <v>38</v>
      </c>
      <c r="AG105" s="106">
        <v>75924</v>
      </c>
      <c r="AH105" s="106">
        <v>18.919722719141326</v>
      </c>
      <c r="AI105" s="106">
        <v>37801.605992844372</v>
      </c>
      <c r="AJ105" s="106">
        <v>0</v>
      </c>
      <c r="AK105" s="106">
        <v>0</v>
      </c>
      <c r="AL105" s="106">
        <v>21.010277172220494</v>
      </c>
      <c r="AM105" s="106">
        <v>41978.533790096546</v>
      </c>
      <c r="AN105" s="106">
        <v>25.509660421545668</v>
      </c>
      <c r="AO105" s="106">
        <v>50968.301522248243</v>
      </c>
      <c r="AP105" s="106">
        <v>31.079554288675823</v>
      </c>
      <c r="AQ105" s="106">
        <v>62096.949468774292</v>
      </c>
      <c r="AR105" s="106">
        <v>0</v>
      </c>
      <c r="AS105" s="106">
        <v>0</v>
      </c>
      <c r="AT105" s="106">
        <v>29.354636591478695</v>
      </c>
      <c r="AU105" s="106">
        <v>58650.563909774435</v>
      </c>
      <c r="AV105" s="106">
        <v>14.832301832896931</v>
      </c>
      <c r="AW105" s="106">
        <v>29634.939062128069</v>
      </c>
      <c r="AX105" s="106">
        <v>15.736564299424185</v>
      </c>
      <c r="AY105" s="106">
        <v>31441.65547024952</v>
      </c>
      <c r="AZ105" s="106">
        <v>45</v>
      </c>
      <c r="BA105" s="106">
        <v>89910</v>
      </c>
      <c r="BB105" s="106">
        <v>22.321941555225358</v>
      </c>
      <c r="BC105" s="106">
        <v>44599.239227340266</v>
      </c>
      <c r="BD105" s="106">
        <v>22.210447119518488</v>
      </c>
      <c r="BE105" s="106">
        <v>44376.473344797938</v>
      </c>
      <c r="BF105" s="106">
        <v>30.679962646744929</v>
      </c>
      <c r="BG105" s="106">
        <v>61298.565368196367</v>
      </c>
      <c r="BH105" s="106">
        <v>18.196094825890224</v>
      </c>
      <c r="BI105" s="106">
        <v>36355.79746212867</v>
      </c>
      <c r="BJ105" s="106">
        <v>0</v>
      </c>
      <c r="BK105" s="106">
        <v>0</v>
      </c>
      <c r="BL105" s="106">
        <v>23.098305954825463</v>
      </c>
      <c r="BM105" s="106">
        <v>46150.415297741274</v>
      </c>
      <c r="BN105" s="106">
        <v>19.177976190476191</v>
      </c>
      <c r="BO105" s="106">
        <v>38317.596428571429</v>
      </c>
      <c r="BP105" s="106">
        <v>72.10817307692308</v>
      </c>
      <c r="BQ105" s="106">
        <v>144072.12980769231</v>
      </c>
      <c r="BR105" s="106">
        <v>23.903457153365206</v>
      </c>
      <c r="BS105" s="106">
        <v>47759.107392423684</v>
      </c>
      <c r="BT105" s="106">
        <v>0</v>
      </c>
      <c r="BU105" s="106">
        <v>0</v>
      </c>
      <c r="BV105" s="106">
        <v>63.013612301487271</v>
      </c>
      <c r="BW105" s="106">
        <v>125901.19737837157</v>
      </c>
      <c r="BX105" s="106">
        <v>32.753213844252159</v>
      </c>
      <c r="BY105" s="106">
        <v>65440.921260815812</v>
      </c>
      <c r="BZ105" s="106">
        <v>0</v>
      </c>
      <c r="CA105" s="106">
        <v>0</v>
      </c>
      <c r="CB105" s="106">
        <v>86.75564133016627</v>
      </c>
      <c r="CC105" s="106">
        <v>173337.77137767221</v>
      </c>
      <c r="CD105" s="106">
        <v>40.59506017080745</v>
      </c>
      <c r="CE105" s="106">
        <v>81108.930221273287</v>
      </c>
      <c r="CF105" s="106">
        <v>14.40185185185185</v>
      </c>
      <c r="CG105" s="106">
        <v>28774.899999999998</v>
      </c>
      <c r="CH105" s="106">
        <v>18.34320843091335</v>
      </c>
      <c r="CI105" s="106">
        <v>36649.730444964873</v>
      </c>
      <c r="CJ105" s="106">
        <v>21.141478212906783</v>
      </c>
      <c r="CK105" s="106">
        <v>42240.673469387752</v>
      </c>
      <c r="CL105" s="106">
        <v>0</v>
      </c>
      <c r="CM105" s="106">
        <v>0</v>
      </c>
      <c r="CN105" s="106">
        <v>42.211168465509154</v>
      </c>
      <c r="CO105" s="106">
        <v>84337.914594087284</v>
      </c>
      <c r="CP105" s="106">
        <v>34.259059233449477</v>
      </c>
      <c r="CQ105" s="106">
        <v>68449.600348432054</v>
      </c>
      <c r="CR105" s="106">
        <v>38.815200735519461</v>
      </c>
      <c r="CS105" s="106">
        <v>77552.771069567883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1809.3648317238878</v>
      </c>
      <c r="F109" s="106">
        <f>SUM(T$6:T$19)+SUM(V$6:V$19)+SUM(X$6:X$19)+SUM(Z$6:Z$19)</f>
        <v>161.80318152012629</v>
      </c>
      <c r="G109" s="106">
        <f>SUM(AB$6:AB$19)+SUM(AD$6:AD$19)+SUM(AF$6:AF$19)+SUM(AH$6:AH$19)</f>
        <v>1193.9606195949095</v>
      </c>
      <c r="H109" s="106">
        <f>SUM(AJ$6:AJ$19)+SUM(AL$6:AL$19)+SUM(AN$6:AN$19)+SUM(AP$6:AP$19)</f>
        <v>487.7096566322017</v>
      </c>
      <c r="I109" s="106">
        <f>SUM(AR$6:AR$19)+SUM(AT$6:AT$19)+SUM(AV$6:AV$19)+SUM(AX$6:AX$19)</f>
        <v>1035.9378722192359</v>
      </c>
      <c r="J109" s="106">
        <f>SUM(AZ$6:AZ$19)+SUM(BB$6:BB$19)+SUM(BD$6:BD$19)+SUM(BF$6:BF$19)</f>
        <v>261.89291798077164</v>
      </c>
      <c r="K109" s="106">
        <f>SUM(BH$6:BH$19)+SUM(BJ$6:BJ$19)+SUM(BL$6:BL$19)+SUM(BN$6:BN$19)</f>
        <v>1376.2972707295437</v>
      </c>
      <c r="L109" s="106">
        <f>SUM(BP$6:BP$19)+SUM(BR$6:BR$19)+SUM(BT$6:BT$19)+SUM(BV$6:BV$19)</f>
        <v>1867.5856138924441</v>
      </c>
      <c r="M109" s="106">
        <f>SUM(BX$6:BX$19)+SUM(BZ$6:BZ$19)+SUM(CB$6:CB$19)+SUM(CD$6:CD$19)</f>
        <v>679.22984569996106</v>
      </c>
      <c r="N109" s="106">
        <f>SUM(CF$6:CF$19)+SUM(CH$6:CH$19)+SUM(CJ$6:CJ$19)+SUM(CL$6:CL$19)</f>
        <v>241.95753803976976</v>
      </c>
      <c r="O109" s="106">
        <f>SUM(CN$6:CN$19)+SUM(CP$6:CP$19)+SUM(CR$6:CR$19)+SUM(CT$6:CT$19)</f>
        <v>290.49951259138544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1057.8543814275865</v>
      </c>
      <c r="F110" s="106">
        <f>SUM(T$20:T$36)+SUM(V$20:V$36)+SUM(X$20:X$36)+SUM(Z$20:Z$36)</f>
        <v>1007.2312476973673</v>
      </c>
      <c r="G110" s="106">
        <f>SUM(AB$20:AB$36)+SUM(AD$20:AD$36)+SUM(AF$20:AF$36)+SUM(AH$20:AH$36)</f>
        <v>1022.6588643642003</v>
      </c>
      <c r="H110" s="106">
        <f>SUM(AJ$20:AJ$36)+SUM(AL$20:AL$36)+SUM(AN$20:AN$36)+SUM(AP$20:AP$36)</f>
        <v>1347.0731343606362</v>
      </c>
      <c r="I110" s="106">
        <f>SUM(AR$20:AR$36)+SUM(AT$20:AT$36)+SUM(AV$20:AV$36)+SUM(AX$20:AX$36)</f>
        <v>679.61136928389783</v>
      </c>
      <c r="J110" s="106">
        <f>SUM(AZ$20:AZ$36)+SUM(BB$20:BB$36)+SUM(BD$20:BD$36)+SUM(BF$20:BF$36)</f>
        <v>2651.0536018884486</v>
      </c>
      <c r="K110" s="106">
        <f>SUM(BH$20:BH$36)+SUM(BJ$20:BJ$36)+SUM(BL$20:BL$36)+SUM(BN$20:BN$36)</f>
        <v>415.01274736009134</v>
      </c>
      <c r="L110" s="106">
        <f>SUM(BP$20:BP$36)+SUM(BR$20:BR$36)+SUM(BT$20:BT$36)+SUM(BV$20:BV$36)</f>
        <v>476.17450907034709</v>
      </c>
      <c r="M110" s="106">
        <f>SUM(BX$20:BX$36)+SUM(BZ$20:BZ$36)+SUM(CB$20:CB$36)+SUM(CD$20:CD$36)</f>
        <v>768.62954161002551</v>
      </c>
      <c r="N110" s="106">
        <f>SUM(CF$20:CF$36)+SUM(CH$20:CH$36)+SUM(CJ$20:CJ$36)+SUM(CL$20:CL$36)</f>
        <v>2300.0376534992565</v>
      </c>
      <c r="O110" s="106">
        <f>SUM(CN$20:CN$36)+SUM(CP$20:CP$36)+SUM(CR$20:CR$36)+SUM(CT$20:CT$36)</f>
        <v>2613.7976679376316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831.27524713079515</v>
      </c>
      <c r="F111" s="106">
        <f>SUM(T$37:T$48)+SUM(V$37:V$48)+SUM(X$37:X$48)+SUM(Z$37:Z$48)</f>
        <v>257.85795671557543</v>
      </c>
      <c r="G111" s="106">
        <f>SUM(AB$37:AB$48)+SUM(AD$37:AD$48)+SUM(AF$37:AF$48)+SUM(AH$37:AH$48)</f>
        <v>690.37714981406293</v>
      </c>
      <c r="H111" s="106">
        <f>SUM(AJ$37:AJ$48)+SUM(AL$37:AL$48)+SUM(AN$37:AN$48)+SUM(AP$37:AP$48)</f>
        <v>557.18484530641024</v>
      </c>
      <c r="I111" s="106">
        <f>SUM(AR$37:AR$48)+SUM(AT$37:AT$48)+SUM(AV$37:AV$48)+SUM(AX$37:AX$48)</f>
        <v>2049.8861103774675</v>
      </c>
      <c r="J111" s="106">
        <f>SUM(AZ$37:AZ$48)+SUM(BB$37:BB$48)+SUM(BD$37:BD$48)+SUM(BF$37:BF$48)</f>
        <v>314.8175545740109</v>
      </c>
      <c r="K111" s="106">
        <f>SUM(BH$37:BH$48)+SUM(BJ$37:BJ$48)+SUM(BL$37:BL$48)+SUM(BN$37:BN$48)</f>
        <v>255.86013437651647</v>
      </c>
      <c r="L111" s="106">
        <f>SUM(BP$37:BP$48)+SUM(BR$37:BR$48)+SUM(BT$37:BT$48)+SUM(BV$37:BV$48)</f>
        <v>468.8665240168981</v>
      </c>
      <c r="M111" s="106">
        <f>SUM(BX$37:BX$48)+SUM(BZ$37:BZ$48)+SUM(CB$37:CB$48)+SUM(CD$37:CD$48)</f>
        <v>632.44218869779831</v>
      </c>
      <c r="N111" s="106">
        <f>SUM(CF$37:CF$48)+SUM(CH$37:CH$48)+SUM(CJ$37:CJ$48)+SUM(CL$37:CL$48)</f>
        <v>495.43341615515004</v>
      </c>
      <c r="O111" s="106">
        <f>SUM(CN$37:CN$48)+SUM(CP$37:CP$48)+SUM(CR$37:CR$48)+SUM(CT$37:CT$48)</f>
        <v>241.56044901326567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729.40974324311446</v>
      </c>
      <c r="F112" s="106">
        <f>SUM(T$49:T$70)+SUM(V$49:V$70)+SUM(X$49:X$70)+SUM(Z$49:Z$70)</f>
        <v>405.19053634479235</v>
      </c>
      <c r="G112" s="106">
        <f>SUM(AB$49:AB$70)+SUM(AD$49:AD$70)+SUM(AF$49:AF$70)+SUM(AH$49:AH$70)</f>
        <v>693.41731577960013</v>
      </c>
      <c r="H112" s="106">
        <f>SUM(AJ$49:AJ$70)+SUM(AL$49:AL$70)+SUM(AN$49:AN$70)+SUM(AP$49:AP$70)</f>
        <v>1552.2023961839841</v>
      </c>
      <c r="I112" s="106">
        <f>SUM(AR$49:AR$70)+SUM(AT$49:AT$70)+SUM(AV$49:AV$70)+SUM(AX$49:AX$70)</f>
        <v>1037.2300561341513</v>
      </c>
      <c r="J112" s="106">
        <f>SUM(AZ$49:AZ$70)+SUM(BB$49:BB$70)+SUM(BD$49:BD$70)+SUM(BF$49:BF$70)</f>
        <v>644.77371336768033</v>
      </c>
      <c r="K112" s="106">
        <f>SUM(BH$49:BH$70)+SUM(BJ$49:BJ$70)+SUM(BL$49:BL$70)+SUM(BN$49:BN$70)</f>
        <v>567.41369853517881</v>
      </c>
      <c r="L112" s="106">
        <f>SUM(BP$49:BP$70)+SUM(BR$49:BR$70)+SUM(BT$49:BT$70)+SUM(BV$49:BV$70)</f>
        <v>739.99125466516762</v>
      </c>
      <c r="M112" s="106">
        <f>SUM(BX$49:BX$70)+SUM(BZ$49:BZ$70)+SUM(CB$49:CB$70)+SUM(CD$49:CD$70)</f>
        <v>1470.7767098506313</v>
      </c>
      <c r="N112" s="106">
        <f>SUM(CF$49:CF$70)+SUM(CH$49:CH$70)+SUM(CJ$49:CJ$70)+SUM(CL$49:CL$70)</f>
        <v>572.29227746666197</v>
      </c>
      <c r="O112" s="106">
        <f>SUM(CN$49:CN$70)+SUM(CP$49:CP$70)+SUM(CR$49:CR$70)+SUM(CT$49:CT$70)</f>
        <v>453.65250888171909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1940.9833842466553</v>
      </c>
      <c r="F113" s="106">
        <f>SUM(T$71:T$86)+SUM(V$71:V$86)+SUM(X$71:X$86)+SUM(Z$71:Z$86)</f>
        <v>662.0490421543351</v>
      </c>
      <c r="G113" s="106">
        <f>SUM(AB$71:AB$86)+SUM(AD$71:AD$86)+SUM(AF$71:AF$86)+SUM(AH$71:AH$86)</f>
        <v>1677.8481819320214</v>
      </c>
      <c r="H113" s="106">
        <f>SUM(AJ$71:AJ$86)+SUM(AL$71:AL$86)+SUM(AN$71:AN$86)+SUM(AP$71:AP$86)</f>
        <v>848.78328291200648</v>
      </c>
      <c r="I113" s="106">
        <f>SUM(AR$71:AR$86)+SUM(AT$71:AT$86)+SUM(AV$71:AV$86)+SUM(AX$71:AX$86)</f>
        <v>2726.6964921987137</v>
      </c>
      <c r="J113" s="106">
        <f>SUM(AZ$71:AZ$86)+SUM(BB$71:BB$86)+SUM(BD$71:BD$86)+SUM(BF$71:BF$86)</f>
        <v>1322.7498098222106</v>
      </c>
      <c r="K113" s="106">
        <f>SUM(BH$71:BH$86)+SUM(BJ$71:BJ$86)+SUM(BL$71:BL$86)+SUM(BN$71:BN$86)</f>
        <v>1455.5100291049657</v>
      </c>
      <c r="L113" s="106">
        <f>SUM(BP$71:BP$86)+SUM(BR$71:BR$86)+SUM(BT$71:BT$86)+SUM(BV$71:BV$86)</f>
        <v>870.03657034827665</v>
      </c>
      <c r="M113" s="106">
        <f>SUM(BX$71:BX$86)+SUM(BZ$71:BZ$86)+SUM(CB$71:CB$86)+SUM(CD$71:CD$86)</f>
        <v>854.33428494560792</v>
      </c>
      <c r="N113" s="106">
        <f>SUM(CF$71:CF$86)+SUM(CH$71:CH$86)+SUM(CJ$71:CJ$86)+SUM(CL$71:CL$86)</f>
        <v>776.6518613092851</v>
      </c>
      <c r="O113" s="106">
        <f>SUM(CN$71:CN$86)+SUM(CP$71:CP$86)+SUM(CR$71:CR$86)+SUM(CT$71:CT$86)</f>
        <v>837.96598154934895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861.31572935269128</v>
      </c>
      <c r="F114" s="106">
        <f>SUM(T$87:T$94)+SUM(V$87:V$94)+SUM(X$87:X$94)+SUM(Z$87:Z$94)</f>
        <v>669.18649479201565</v>
      </c>
      <c r="G114" s="106">
        <f>SUM(AB$87:AB$94)+SUM(AD$87:AD$94)+SUM(AF$87:AF$94)+SUM(AH$87:AH$94)</f>
        <v>933.57324955277272</v>
      </c>
      <c r="H114" s="106">
        <f>SUM(AJ$87:AJ$94)+SUM(AL$87:AL$94)+SUM(AN$87:AN$94)+SUM(AP$87:AP$94)</f>
        <v>889.92333146399665</v>
      </c>
      <c r="I114" s="106">
        <f>SUM(AR$87:AR$94)+SUM(AT$87:AT$94)+SUM(AV$87:AV$94)+SUM(AX$87:AX$94)</f>
        <v>179.10573932612485</v>
      </c>
      <c r="J114" s="106">
        <f>SUM(AZ$87:AZ$94)+SUM(BB$87:BB$94)+SUM(BD$87:BD$94)+SUM(BF$87:BF$94)</f>
        <v>1443.470024526626</v>
      </c>
      <c r="K114" s="106">
        <f>SUM(BH$87:BH$94)+SUM(BJ$87:BJ$94)+SUM(BL$87:BL$94)+SUM(BN$87:BN$94)</f>
        <v>269.8702858543902</v>
      </c>
      <c r="L114" s="106">
        <f>SUM(BP$87:BP$94)+SUM(BR$87:BR$94)+SUM(BT$87:BT$94)+SUM(BV$87:BV$94)</f>
        <v>1233.5609125297804</v>
      </c>
      <c r="M114" s="106">
        <f>SUM(BX$87:BX$94)+SUM(BZ$87:BZ$94)+SUM(CB$87:CB$94)+SUM(CD$87:CD$94)</f>
        <v>401.33521145608813</v>
      </c>
      <c r="N114" s="106">
        <f>SUM(CF$87:CF$94)+SUM(CH$87:CH$94)+SUM(CJ$87:CJ$94)+SUM(CL$87:CL$94)</f>
        <v>830.06042599977025</v>
      </c>
      <c r="O114" s="106">
        <f>SUM(CN$87:CN$94)+SUM(CP$87:CP$94)+SUM(CR$87:CR$94)+SUM(CT$87:CT$94)</f>
        <v>287.99988877632615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1309.7966828752697</v>
      </c>
      <c r="F115" s="106">
        <f>SUM(T$95:T$105)+SUM(V$95:V$105)+SUM(X$95:X$105)+SUM(Z$95:Z$105)</f>
        <v>1210.4315407757881</v>
      </c>
      <c r="G115" s="106">
        <f>SUM(AB$95:AB$105)+SUM(AD$95:AD$105)+SUM(AF$95:AF$105)+SUM(AH$95:AH$105)</f>
        <v>765.414618962433</v>
      </c>
      <c r="H115" s="106">
        <f>SUM(AJ$95:AJ$105)+SUM(AL$95:AL$105)+SUM(AN$95:AN$105)+SUM(AP$95:AP$105)</f>
        <v>876.12335314076438</v>
      </c>
      <c r="I115" s="106">
        <f>SUM(AR$95:AR$105)+SUM(AT$95:AT$105)+SUM(AV$95:AV$105)+SUM(AX$95:AX$105)</f>
        <v>724.53236046040911</v>
      </c>
      <c r="J115" s="106">
        <f>SUM(AZ$95:AZ$105)+SUM(BB$95:BB$105)+SUM(BD$95:BD$105)+SUM(BF$95:BF$105)</f>
        <v>1379.2423778402519</v>
      </c>
      <c r="K115" s="106">
        <f>SUM(BH$95:BH$105)+SUM(BJ$95:BJ$105)+SUM(BL$95:BL$105)+SUM(BN$95:BN$105)</f>
        <v>659.53583403931395</v>
      </c>
      <c r="L115" s="106">
        <f>SUM(BP$95:BP$105)+SUM(BR$95:BR$105)+SUM(BT$95:BT$105)+SUM(BV$95:BV$105)</f>
        <v>1843.0346154770862</v>
      </c>
      <c r="M115" s="106">
        <f>SUM(BX$95:BX$105)+SUM(BZ$95:BZ$105)+SUM(CB$95:CB$105)+SUM(CD$95:CD$105)</f>
        <v>1859.2522177398876</v>
      </c>
      <c r="N115" s="106">
        <f>SUM(CF$95:CF$105)+SUM(CH$95:CH$105)+SUM(CJ$95:CJ$105)+SUM(CL$95:CL$105)</f>
        <v>616.31682753010614</v>
      </c>
      <c r="O115" s="106">
        <f>SUM(CN$95:CN$105)+SUM(CP$95:CP$105)+SUM(CR$95:CR$105)+SUM(CT$95:CT$105)</f>
        <v>1314.7739912503232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8540</v>
      </c>
      <c r="F116" s="106">
        <f t="shared" si="0"/>
        <v>4373.75</v>
      </c>
      <c r="G116" s="106">
        <f t="shared" si="0"/>
        <v>6977.25</v>
      </c>
      <c r="H116" s="106">
        <f t="shared" si="0"/>
        <v>6559</v>
      </c>
      <c r="I116" s="106">
        <f t="shared" si="0"/>
        <v>8433</v>
      </c>
      <c r="J116" s="106">
        <f t="shared" si="0"/>
        <v>8017.9999999999991</v>
      </c>
      <c r="K116" s="106">
        <f t="shared" si="0"/>
        <v>4999.5</v>
      </c>
      <c r="L116" s="106">
        <f t="shared" si="0"/>
        <v>7499.25</v>
      </c>
      <c r="M116" s="106">
        <f t="shared" si="0"/>
        <v>6666</v>
      </c>
      <c r="N116" s="106">
        <f t="shared" si="0"/>
        <v>5832.7499999999991</v>
      </c>
      <c r="O116" s="106">
        <f t="shared" si="0"/>
        <v>6040.2499999999991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2344889.2503766739</v>
      </c>
      <c r="F120" s="106">
        <f>F109*pricing!F15*2000</f>
        <v>567819.23409239366</v>
      </c>
      <c r="G120" s="106">
        <f>G109*pricing!G15*2000</f>
        <v>2255783.8619176387</v>
      </c>
      <c r="H120" s="106">
        <f>H109*pricing!H15*2000</f>
        <v>1550951.7627268333</v>
      </c>
      <c r="I120" s="106">
        <f>I109*pricing!I15*2000</f>
        <v>1582579.4983822694</v>
      </c>
      <c r="J120" s="106">
        <f>J109*pricing!J15*2000</f>
        <v>767590.5843900718</v>
      </c>
      <c r="K120" s="106">
        <f>K109*pricing!K15*2000</f>
        <v>1748183.0603725112</v>
      </c>
      <c r="L120" s="106">
        <f>L109*pricing!L15*2000</f>
        <v>2132089.8323237486</v>
      </c>
      <c r="M120" s="106">
        <f>M109*pricing!M15*2000</f>
        <v>1699433.4544250588</v>
      </c>
      <c r="N120" s="106">
        <f>N109*pricing!N15*2000</f>
        <v>542794.29826341942</v>
      </c>
      <c r="O120" s="106">
        <f>O109*pricing!O15*2000</f>
        <v>720620.18912143959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3254162.1483576149</v>
      </c>
      <c r="F121" s="106">
        <f>F110*pricing!F16*2000</f>
        <v>2514137.330048346</v>
      </c>
      <c r="G121" s="106">
        <f>G110*pricing!G16*2000</f>
        <v>3271592.1060164236</v>
      </c>
      <c r="H121" s="106">
        <f>H110*pricing!H16*2000</f>
        <v>3887339.649693605</v>
      </c>
      <c r="I121" s="106">
        <f>I110*pricing!I16*2000</f>
        <v>2068972.4409337777</v>
      </c>
      <c r="J121" s="106">
        <f>J110*pricing!J16*2000</f>
        <v>3567314.353194701</v>
      </c>
      <c r="K121" s="106">
        <f>K110*pricing!K16*2000</f>
        <v>1407711.8212389736</v>
      </c>
      <c r="L121" s="106">
        <f>L110*pricing!L16*2000</f>
        <v>1609038.7866825627</v>
      </c>
      <c r="M121" s="106">
        <f>M110*pricing!M16*2000</f>
        <v>2752569.984940459</v>
      </c>
      <c r="N121" s="106">
        <f>N110*pricing!N16*2000</f>
        <v>2551844.5587616488</v>
      </c>
      <c r="O121" s="106">
        <f>O110*pricing!O16*2000</f>
        <v>2794863.3317400911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1888801.2651117221</v>
      </c>
      <c r="F122" s="106">
        <f>F111*pricing!F17*2000</f>
        <v>788395.50315153308</v>
      </c>
      <c r="G122" s="106">
        <f>G111*pricing!G17*2000</f>
        <v>1584993.0848088032</v>
      </c>
      <c r="H122" s="106">
        <f>H111*pricing!H17*2000</f>
        <v>1536209.4796763326</v>
      </c>
      <c r="I122" s="106">
        <f>I111*pricing!I17*2000</f>
        <v>2186992.3026611693</v>
      </c>
      <c r="J122" s="106">
        <f>J111*pricing!J17*2000</f>
        <v>711538.154150852</v>
      </c>
      <c r="K122" s="106">
        <f>K111*pricing!K17*2000</f>
        <v>683040.68359058944</v>
      </c>
      <c r="L122" s="106">
        <f>L111*pricing!L17*2000</f>
        <v>1005725.0848375324</v>
      </c>
      <c r="M122" s="106">
        <f>M111*pricing!M17*2000</f>
        <v>1568038.6590946917</v>
      </c>
      <c r="N122" s="106">
        <f>N111*pricing!N17*2000</f>
        <v>703725.53170961526</v>
      </c>
      <c r="O122" s="106">
        <f>O111*pricing!O17*2000</f>
        <v>655267.43188371602</v>
      </c>
    </row>
    <row r="123" spans="2:15" x14ac:dyDescent="0.2">
      <c r="C123" s="105" t="s">
        <v>129</v>
      </c>
      <c r="D123" s="106">
        <f>D112*pricing!D18*2000</f>
        <v>0</v>
      </c>
      <c r="E123" s="106">
        <f>E112*pricing!E18*2000</f>
        <v>1971500.2423694453</v>
      </c>
      <c r="F123" s="106">
        <f>F112*pricing!F18*2000</f>
        <v>1256107.0916388393</v>
      </c>
      <c r="G123" s="106">
        <f>G112*pricing!G18*2000</f>
        <v>2423473.2248078515</v>
      </c>
      <c r="H123" s="106">
        <f>H112*pricing!H18*2000</f>
        <v>2910373.6851694975</v>
      </c>
      <c r="I123" s="106">
        <f>I112*pricing!I18*2000</f>
        <v>1990319.9955908058</v>
      </c>
      <c r="J123" s="106">
        <f>J112*pricing!J18*2000</f>
        <v>1613210.8375805197</v>
      </c>
      <c r="K123" s="106">
        <f>K112*pricing!K18*2000</f>
        <v>1143432.4465110453</v>
      </c>
      <c r="L123" s="106">
        <f>L112*pricing!L18*2000</f>
        <v>1690603.3720224691</v>
      </c>
      <c r="M123" s="106">
        <f>M112*pricing!M18*2000</f>
        <v>2526877.8344866442</v>
      </c>
      <c r="N123" s="106">
        <f>N112*pricing!N18*2000</f>
        <v>1173948.6435716602</v>
      </c>
      <c r="O123" s="106">
        <f>O112*pricing!O18*2000</f>
        <v>1137075.3338857512</v>
      </c>
    </row>
    <row r="124" spans="2:15" x14ac:dyDescent="0.2">
      <c r="C124" s="105" t="s">
        <v>130</v>
      </c>
      <c r="D124" s="106">
        <f>D113*pricing!D19*2000</f>
        <v>0</v>
      </c>
      <c r="E124" s="106">
        <f>E113*pricing!E19*2000</f>
        <v>4036412.0203912123</v>
      </c>
      <c r="F124" s="106">
        <f>F113*pricing!F19*2000</f>
        <v>1698290.6149060805</v>
      </c>
      <c r="G124" s="106">
        <f>G113*pricing!G19*2000</f>
        <v>4892328.1007965291</v>
      </c>
      <c r="H124" s="106">
        <f>H113*pricing!H19*2000</f>
        <v>2606674.4525514436</v>
      </c>
      <c r="I124" s="106">
        <f>I113*pricing!I19*2000</f>
        <v>3272306.7351565328</v>
      </c>
      <c r="J124" s="106">
        <f>J113*pricing!J19*2000</f>
        <v>4751627.4914940074</v>
      </c>
      <c r="K124" s="106">
        <f>K113*pricing!K19*2000</f>
        <v>2456757.0721828546</v>
      </c>
      <c r="L124" s="106">
        <f>L113*pricing!L19*2000</f>
        <v>2963355.6545102843</v>
      </c>
      <c r="M124" s="106">
        <f>M113*pricing!M19*2000</f>
        <v>2343644.0254420419</v>
      </c>
      <c r="N124" s="106">
        <f>N113*pricing!N19*2000</f>
        <v>2584110.0317451153</v>
      </c>
      <c r="O124" s="106">
        <f>O113*pricing!O19*2000</f>
        <v>2463555.0579007929</v>
      </c>
    </row>
    <row r="125" spans="2:15" x14ac:dyDescent="0.2">
      <c r="C125" s="105" t="s">
        <v>131</v>
      </c>
      <c r="D125" s="106">
        <f>D114*pricing!D20*2000</f>
        <v>0</v>
      </c>
      <c r="E125" s="106">
        <f>E114*pricing!E20*2000</f>
        <v>1189342.6499688432</v>
      </c>
      <c r="F125" s="106">
        <f>F114*pricing!F20*2000</f>
        <v>736856.63718035072</v>
      </c>
      <c r="G125" s="106">
        <f>G114*pricing!G20*2000</f>
        <v>1822591.2447963115</v>
      </c>
      <c r="H125" s="106">
        <f>H114*pricing!H20*2000</f>
        <v>963699.75119250768</v>
      </c>
      <c r="I125" s="106">
        <f>I114*pricing!I20*2000</f>
        <v>457329.29183339595</v>
      </c>
      <c r="J125" s="106">
        <f>J114*pricing!J20*2000</f>
        <v>2654116.0143227065</v>
      </c>
      <c r="K125" s="106">
        <f>K114*pricing!K20*2000</f>
        <v>531689.04885976308</v>
      </c>
      <c r="L125" s="106">
        <f>L114*pricing!L20*2000</f>
        <v>1657015.6670637571</v>
      </c>
      <c r="M125" s="106">
        <f>M114*pricing!M20*2000</f>
        <v>916343.02377234621</v>
      </c>
      <c r="N125" s="106">
        <f>N114*pricing!N20*2000</f>
        <v>1306401.2212342541</v>
      </c>
      <c r="O125" s="106">
        <f>O114*pricing!O20*2000</f>
        <v>865022.02616164763</v>
      </c>
    </row>
    <row r="126" spans="2:15" x14ac:dyDescent="0.2">
      <c r="C126" s="105" t="s">
        <v>132</v>
      </c>
      <c r="D126" s="106">
        <f>D115*pricing!D21*2000</f>
        <v>0</v>
      </c>
      <c r="E126" s="106">
        <f>E115*pricing!E21*2000</f>
        <v>2064954.6468763391</v>
      </c>
      <c r="F126" s="106">
        <f>F115*pricing!F21*2000</f>
        <v>1362402.7985877313</v>
      </c>
      <c r="G126" s="106">
        <f>G115*pricing!G21*2000</f>
        <v>2406820.7552682064</v>
      </c>
      <c r="H126" s="106">
        <f>H115*pricing!H21*2000</f>
        <v>1560371.2290665694</v>
      </c>
      <c r="I126" s="106">
        <f>I115*pricing!I21*2000</f>
        <v>1146506.4999701518</v>
      </c>
      <c r="J126" s="106">
        <f>J115*pricing!J21*2000</f>
        <v>3406495.9661475644</v>
      </c>
      <c r="K126" s="106">
        <f>K115*pricing!K21*2000</f>
        <v>1318391.9281814287</v>
      </c>
      <c r="L126" s="106">
        <f>L115*pricing!L21*2000</f>
        <v>2980322.2526508663</v>
      </c>
      <c r="M126" s="106">
        <f>M115*pricing!M21*2000</f>
        <v>2065801.4389613564</v>
      </c>
      <c r="N126" s="106">
        <f>N115*pricing!N21*2000</f>
        <v>1756999.2151641964</v>
      </c>
      <c r="O126" s="106">
        <f>O115*pricing!O21*2000</f>
        <v>2104037.3770315312</v>
      </c>
    </row>
    <row r="127" spans="2:15" x14ac:dyDescent="0.2">
      <c r="C127" s="105" t="s">
        <v>277</v>
      </c>
      <c r="D127" s="106">
        <f t="shared" ref="D127:O127" si="1">SUM(D$120:D$126)</f>
        <v>0</v>
      </c>
      <c r="E127" s="106">
        <f t="shared" si="1"/>
        <v>16750062.223451851</v>
      </c>
      <c r="F127" s="106">
        <f t="shared" si="1"/>
        <v>8924009.2096052747</v>
      </c>
      <c r="G127" s="106">
        <f t="shared" si="1"/>
        <v>18657582.378411766</v>
      </c>
      <c r="H127" s="106">
        <f t="shared" si="1"/>
        <v>15015620.010076789</v>
      </c>
      <c r="I127" s="106">
        <f t="shared" si="1"/>
        <v>12705006.764528101</v>
      </c>
      <c r="J127" s="106">
        <f t="shared" si="1"/>
        <v>17471893.401280422</v>
      </c>
      <c r="K127" s="106">
        <f t="shared" si="1"/>
        <v>9289206.0609371662</v>
      </c>
      <c r="L127" s="106">
        <f t="shared" si="1"/>
        <v>14038150.650091222</v>
      </c>
      <c r="M127" s="106">
        <f t="shared" si="1"/>
        <v>13872708.421122598</v>
      </c>
      <c r="N127" s="106">
        <f t="shared" si="1"/>
        <v>10619823.500449909</v>
      </c>
      <c r="O127" s="106">
        <f t="shared" si="1"/>
        <v>10740440.747724969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901388.20631966775</v>
      </c>
      <c r="F131" s="112">
        <f>SUM(U$6:U$19)+SUM(W$6:W$19)+SUM(Y$6:Y$19)+SUM(AA$6:AA$19)</f>
        <v>81398.85987385796</v>
      </c>
      <c r="G131" s="112">
        <f>SUM(AC$6:AC$19)+SUM(AE$6:AE$19)+SUM(AG$6:AG$19)+SUM(AI$6:AI$19)</f>
        <v>594222.1829937906</v>
      </c>
      <c r="H131" s="112">
        <f>SUM(AK$6:AK$19)+SUM(AM$6:AM$19)+SUM(AO$6:AO$19)+SUM(AQ$6:AQ$19)</f>
        <v>244895.7052229995</v>
      </c>
      <c r="I131" s="112">
        <f>SUM(AS$6:AS$19)+SUM(AU$6:AU$19)+SUM(AW$6:AW$19)+SUM(AY$6:AY$19)</f>
        <v>514091.73623030301</v>
      </c>
      <c r="J131" s="112">
        <f>SUM(BA$6:BA$19)+SUM(BC$6:BC$19)+SUM(BE$6:BE$19)+SUM(BG$6:BG$19)</f>
        <v>131551.54853922594</v>
      </c>
      <c r="K131" s="112">
        <f>SUM(BI$6:BI$19)+SUM(BK$6:BK$19)+SUM(BM$6:BM$19)+SUM(BO$6:BO$19)</f>
        <v>685171.99154367403</v>
      </c>
      <c r="L131" s="112">
        <f>SUM(BQ$6:BQ$19)+SUM(BS$6:BS$19)+SUM(BU$6:BU$19)+SUM(BW$6:BW$19)</f>
        <v>918216.7059660136</v>
      </c>
      <c r="M131" s="112">
        <f>SUM(BY$6:BY$19)+SUM(CA$6:CA$19)+SUM(CC$6:CC$19)+SUM(CE$6:CE$19)</f>
        <v>341640.80854482413</v>
      </c>
      <c r="N131" s="112">
        <f>SUM(CG$6:CG$19)+SUM(CI$6:CI$19)+SUM(CK$6:CK$19)+SUM(CM$6:CM$19)</f>
        <v>121955.40351072884</v>
      </c>
      <c r="O131" s="112">
        <f>SUM(CO$6:CO$19)+SUM(CQ$6:CQ$19)+SUM(CS$6:CS$19)+SUM(CU$6:CU$19)</f>
        <v>146371.07119946473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450422.47915927198</v>
      </c>
      <c r="F132" s="112">
        <f>SUM(U$20:U$36)+SUM(W$20:W$36)+SUM(Y$20:Y$36)+SUM(AA$20:AA$36)</f>
        <v>428975.73850829963</v>
      </c>
      <c r="G132" s="112">
        <f>SUM(AC$20:AC$36)+SUM(AE$20:AE$36)+SUM(AG$20:AG$36)+SUM(AI$20:AI$36)</f>
        <v>434132.18077303458</v>
      </c>
      <c r="H132" s="112">
        <f>SUM(AK$20:AK$36)+SUM(AM$20:AM$36)+SUM(AO$20:AO$36)+SUM(AQ$20:AQ$36)</f>
        <v>568712.73547183245</v>
      </c>
      <c r="I132" s="112">
        <f>SUM(AS$20:AS$36)+SUM(AU$20:AU$36)+SUM(AW$20:AW$36)+SUM(AY$20:AY$36)</f>
        <v>288108.63686355844</v>
      </c>
      <c r="J132" s="112">
        <f>SUM(BA$20:BA$36)+SUM(BC$20:BC$36)+SUM(BE$20:BE$36)+SUM(BG$20:BG$36)</f>
        <v>1110785.3275594092</v>
      </c>
      <c r="K132" s="112">
        <f>SUM(BI$20:BI$36)+SUM(BK$20:BK$36)+SUM(BM$20:BM$36)+SUM(BO$20:BO$36)</f>
        <v>176668.00251468876</v>
      </c>
      <c r="L132" s="112">
        <f>SUM(BQ$20:BQ$36)+SUM(BS$20:BS$36)+SUM(BU$20:BU$36)+SUM(BW$20:BW$36)</f>
        <v>204075.05220004634</v>
      </c>
      <c r="M132" s="112">
        <f>SUM(BY$20:BY$36)+SUM(CA$20:CA$36)+SUM(CC$20:CC$36)+SUM(CE$20:CE$36)</f>
        <v>325590.33471628069</v>
      </c>
      <c r="N132" s="112">
        <f>SUM(CG$20:CG$36)+SUM(CI$20:CI$36)+SUM(CK$20:CK$36)+SUM(CM$20:CM$36)</f>
        <v>956734.13141934888</v>
      </c>
      <c r="O132" s="112">
        <f>SUM(CO$20:CO$36)+SUM(CQ$20:CQ$36)+SUM(CS$20:CS$36)+SUM(CU$20:CU$36)</f>
        <v>1092584.0220250301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865991.27991846157</v>
      </c>
      <c r="F133" s="112">
        <f>SUM(U$37:U$48)+SUM(W$37:W$48)+SUM(Y$37:Y$48)+SUM(AA$37:AA$48)</f>
        <v>269381.25916101359</v>
      </c>
      <c r="G133" s="112">
        <f>SUM(AC$37:AC$48)+SUM(AE$37:AE$48)+SUM(AG$37:AG$48)+SUM(AI$37:AI$48)</f>
        <v>716869.51160133572</v>
      </c>
      <c r="H133" s="112">
        <f>SUM(AK$37:AK$48)+SUM(AM$37:AM$48)+SUM(AO$37:AO$48)+SUM(AQ$37:AQ$48)</f>
        <v>581344.9357623033</v>
      </c>
      <c r="I133" s="112">
        <f>SUM(AS$37:AS$48)+SUM(AU$37:AU$48)+SUM(AW$37:AW$48)+SUM(AY$37:AY$48)</f>
        <v>2115610.7778955814</v>
      </c>
      <c r="J133" s="112">
        <f>SUM(BA$37:BA$48)+SUM(BC$37:BC$48)+SUM(BE$37:BE$48)+SUM(BG$37:BG$48)</f>
        <v>329023.72758949595</v>
      </c>
      <c r="K133" s="112">
        <f>SUM(BI$37:BI$48)+SUM(BK$37:BK$48)+SUM(BM$37:BM$48)+SUM(BO$37:BO$48)</f>
        <v>268387.32661193237</v>
      </c>
      <c r="L133" s="112">
        <f>SUM(BQ$37:BQ$48)+SUM(BS$37:BS$48)+SUM(BU$37:BU$48)+SUM(BW$37:BW$48)</f>
        <v>488833.7024660781</v>
      </c>
      <c r="M133" s="112">
        <f>SUM(BY$37:BY$48)+SUM(CA$37:CA$48)+SUM(CC$37:CC$48)+SUM(CE$37:CE$48)</f>
        <v>660146.16762638884</v>
      </c>
      <c r="N133" s="112">
        <f>SUM(CG$37:CG$48)+SUM(CI$37:CI$48)+SUM(CK$37:CK$48)+SUM(CM$37:CM$48)</f>
        <v>515106.46640516038</v>
      </c>
      <c r="O133" s="112">
        <f>SUM(CO$37:CO$48)+SUM(CQ$37:CQ$48)+SUM(CS$37:CS$48)+SUM(CU$37:CU$48)</f>
        <v>252423.09650754058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631927.36386832385</v>
      </c>
      <c r="F134" s="112">
        <f>SUM(U$49:U$70)+SUM(W$49:W$70)+SUM(Y$49:Y$70)+SUM(AA$49:AA$70)</f>
        <v>343190.27553776762</v>
      </c>
      <c r="G134" s="112">
        <f>SUM(AC$49:AC$70)+SUM(AE$49:AE$70)+SUM(AG$49:AG$70)+SUM(AI$49:AI$70)</f>
        <v>607854.69971722551</v>
      </c>
      <c r="H134" s="112">
        <f>SUM(AK$49:AK$70)+SUM(AM$49:AM$70)+SUM(AO$49:AO$70)+SUM(AQ$49:AQ$70)</f>
        <v>1285149.1355126454</v>
      </c>
      <c r="I134" s="112">
        <f>SUM(AS$49:AS$70)+SUM(AU$49:AU$70)+SUM(AW$49:AW$70)+SUM(AY$49:AY$70)</f>
        <v>862895.72164210002</v>
      </c>
      <c r="J134" s="112">
        <f>SUM(BA$49:BA$70)+SUM(BC$49:BC$70)+SUM(BE$49:BE$70)+SUM(BG$49:BG$70)</f>
        <v>615960.45704064984</v>
      </c>
      <c r="K134" s="112">
        <f>SUM(BI$49:BI$70)+SUM(BK$49:BK$70)+SUM(BM$49:BM$70)+SUM(BO$49:BO$70)</f>
        <v>485227.48367075983</v>
      </c>
      <c r="L134" s="112">
        <f>SUM(BQ$49:BQ$70)+SUM(BS$49:BS$70)+SUM(BU$49:BU$70)+SUM(BW$49:BW$70)</f>
        <v>657409.7633006298</v>
      </c>
      <c r="M134" s="112">
        <f>SUM(BY$49:BY$70)+SUM(CA$49:CA$70)+SUM(CC$49:CC$70)+SUM(CE$49:CE$70)</f>
        <v>1231589.8935044145</v>
      </c>
      <c r="N134" s="112">
        <f>SUM(CG$49:CG$70)+SUM(CI$49:CI$70)+SUM(CK$49:CK$70)+SUM(CM$49:CM$70)</f>
        <v>539120.65191949334</v>
      </c>
      <c r="O134" s="112">
        <f>SUM(CO$49:CO$70)+SUM(CQ$49:CQ$70)+SUM(CS$49:CS$70)+SUM(CU$49:CU$70)</f>
        <v>409880.05104923382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1079878.0577529776</v>
      </c>
      <c r="F135" s="112">
        <f>SUM(U$71:U$86)+SUM(W$71:W$86)+SUM(Y$71:Y$86)+SUM(AA$71:AA$86)</f>
        <v>367084.96900087036</v>
      </c>
      <c r="G135" s="112">
        <f>SUM(AC$71:AC$86)+SUM(AE$71:AE$86)+SUM(AG$71:AG$86)+SUM(AI$71:AI$86)</f>
        <v>936263.33559305896</v>
      </c>
      <c r="H135" s="112">
        <f>SUM(AK$71:AK$86)+SUM(AM$71:AM$86)+SUM(AO$71:AO$86)+SUM(AQ$71:AQ$86)</f>
        <v>471234.82601927256</v>
      </c>
      <c r="I135" s="112">
        <f>SUM(AS$71:AS$86)+SUM(AU$71:AU$86)+SUM(AW$71:AW$86)+SUM(AY$71:AY$86)</f>
        <v>1506511.4058659589</v>
      </c>
      <c r="J135" s="112">
        <f>SUM(BA$71:BA$86)+SUM(BC$71:BC$86)+SUM(BE$71:BE$86)+SUM(BG$71:BG$86)</f>
        <v>738302.55114957492</v>
      </c>
      <c r="K135" s="112">
        <f>SUM(BI$71:BI$86)+SUM(BK$71:BK$86)+SUM(BM$71:BM$86)+SUM(BO$71:BO$86)</f>
        <v>801455.46847881947</v>
      </c>
      <c r="L135" s="112">
        <f>SUM(BQ$71:BQ$86)+SUM(BS$71:BS$86)+SUM(BU$71:BU$86)+SUM(BW$71:BW$86)</f>
        <v>483391.23792052397</v>
      </c>
      <c r="M135" s="112">
        <f>SUM(BY$71:BY$86)+SUM(CA$71:CA$86)+SUM(CC$71:CC$86)+SUM(CE$71:CE$86)</f>
        <v>476998.30032333534</v>
      </c>
      <c r="N135" s="112">
        <f>SUM(CG$71:CG$86)+SUM(CI$71:CI$86)+SUM(CK$71:CK$86)+SUM(CM$71:CM$86)</f>
        <v>432459.33760174096</v>
      </c>
      <c r="O135" s="112">
        <f>SUM(CO$71:CO$86)+SUM(CQ$71:CQ$86)+SUM(CS$71:CS$86)+SUM(CU$71:CU$86)</f>
        <v>466530.88222548342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1735732.8712984216</v>
      </c>
      <c r="F136" s="112">
        <f>SUM(U$87:U$94)+SUM(W$87:W$94)+SUM(Y$87:Y$94)+SUM(AA$87:AA$94)</f>
        <v>1346006.4674007306</v>
      </c>
      <c r="G136" s="112">
        <f>SUM(AC$87:AC$94)+SUM(AE$87:AE$94)+SUM(AG$87:AG$94)+SUM(AI$87:AI$94)</f>
        <v>1886005.1114844366</v>
      </c>
      <c r="H136" s="112">
        <f>SUM(AK$87:AK$94)+SUM(AM$87:AM$94)+SUM(AO$87:AO$94)+SUM(AQ$87:AQ$94)</f>
        <v>1787519.1791463592</v>
      </c>
      <c r="I136" s="112">
        <f>SUM(AS$87:AS$94)+SUM(AU$87:AU$94)+SUM(AW$87:AW$94)+SUM(AY$87:AY$94)</f>
        <v>363310.06700871105</v>
      </c>
      <c r="J136" s="112">
        <f>SUM(BA$87:BA$94)+SUM(BC$87:BC$94)+SUM(BE$87:BE$94)+SUM(BG$87:BG$94)</f>
        <v>2913066.1596267782</v>
      </c>
      <c r="K136" s="112">
        <f>SUM(BI$87:BI$94)+SUM(BK$87:BK$94)+SUM(BM$87:BM$94)+SUM(BO$87:BO$94)</f>
        <v>545672.53546945914</v>
      </c>
      <c r="L136" s="112">
        <f>SUM(BQ$87:BQ$94)+SUM(BS$87:BS$94)+SUM(BU$87:BU$94)+SUM(BW$87:BW$94)</f>
        <v>2496547.8863296071</v>
      </c>
      <c r="M136" s="112">
        <f>SUM(BY$87:BY$94)+SUM(CA$87:CA$94)+SUM(CC$87:CC$94)+SUM(CE$87:CE$94)</f>
        <v>811958.26430017198</v>
      </c>
      <c r="N136" s="112">
        <f>SUM(CG$87:CG$94)+SUM(CI$87:CI$94)+SUM(CK$87:CK$94)+SUM(CM$87:CM$94)</f>
        <v>1679230.034114962</v>
      </c>
      <c r="O136" s="112">
        <f>SUM(CO$87:CO$94)+SUM(CQ$87:CQ$94)+SUM(CS$87:CS$94)+SUM(CU$87:CU$94)</f>
        <v>585161.22826212877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2374119.2107737195</v>
      </c>
      <c r="F137" s="112">
        <f>SUM(U$95:U$105)+SUM(W$95:W$105)+SUM(Y$95:Y$105)+SUM(AA$95:AA$105)</f>
        <v>2127400.6263238238</v>
      </c>
      <c r="G137" s="112">
        <f>SUM(AC$95:AC$105)+SUM(AE$95:AE$105)+SUM(AG$95:AG$105)+SUM(AI$95:AI$105)</f>
        <v>1427723.0349196424</v>
      </c>
      <c r="H137" s="112">
        <f>SUM(AK$95:AK$105)+SUM(AM$95:AM$105)+SUM(AO$95:AO$105)+SUM(AQ$95:AQ$105)</f>
        <v>1602935.8238207905</v>
      </c>
      <c r="I137" s="112">
        <f>SUM(AS$95:AS$105)+SUM(AU$95:AU$105)+SUM(AW$95:AW$105)+SUM(AY$95:AY$105)</f>
        <v>1304753.3543414087</v>
      </c>
      <c r="J137" s="112">
        <f>SUM(BA$95:BA$105)+SUM(BC$95:BC$105)+SUM(BE$95:BE$105)+SUM(BG$95:BG$105)</f>
        <v>2557951.7901904834</v>
      </c>
      <c r="K137" s="112">
        <f>SUM(BI$95:BI$105)+SUM(BK$95:BK$105)+SUM(BM$95:BM$105)+SUM(BO$95:BO$105)</f>
        <v>1203556.5785540286</v>
      </c>
      <c r="L137" s="112">
        <f>SUM(BQ$95:BQ$105)+SUM(BS$95:BS$105)+SUM(BU$95:BU$105)+SUM(BW$95:BW$105)</f>
        <v>3317597.0631613014</v>
      </c>
      <c r="M137" s="112">
        <f>SUM(BY$95:BY$105)+SUM(CA$95:CA$105)+SUM(CC$95:CC$105)+SUM(CE$95:CE$105)</f>
        <v>3267580.2524436181</v>
      </c>
      <c r="N137" s="112">
        <f>SUM(CG$95:CG$105)+SUM(CI$95:CI$105)+SUM(CK$95:CK$105)+SUM(CM$95:CM$105)</f>
        <v>1150809.1801357046</v>
      </c>
      <c r="O137" s="112">
        <f>SUM(CO$95:CO$105)+SUM(CQ$95:CQ$105)+SUM(CS$95:CS$105)+SUM(CU$95:CU$105)</f>
        <v>2347976.2710599587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8039459.4690908436</v>
      </c>
      <c r="F138" s="106">
        <f t="shared" si="2"/>
        <v>4963438.1958063636</v>
      </c>
      <c r="G138" s="106">
        <f t="shared" si="2"/>
        <v>6603070.0570825245</v>
      </c>
      <c r="H138" s="106">
        <f t="shared" si="2"/>
        <v>6541792.3409562027</v>
      </c>
      <c r="I138" s="106">
        <f t="shared" si="2"/>
        <v>6955281.6998476218</v>
      </c>
      <c r="J138" s="106">
        <f t="shared" si="2"/>
        <v>8396641.5616956167</v>
      </c>
      <c r="K138" s="106">
        <f t="shared" si="2"/>
        <v>4166139.3868433619</v>
      </c>
      <c r="L138" s="106">
        <f t="shared" si="2"/>
        <v>8566071.4113442004</v>
      </c>
      <c r="M138" s="106">
        <f t="shared" si="2"/>
        <v>7115504.0214590337</v>
      </c>
      <c r="N138" s="106">
        <f t="shared" si="2"/>
        <v>5395415.2051071394</v>
      </c>
      <c r="O138" s="106">
        <f t="shared" si="2"/>
        <v>5300926.6223288402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280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13.493748798048717</v>
      </c>
      <c r="O6" s="106">
        <v>7804.7843047913775</v>
      </c>
      <c r="P6" s="106">
        <v>3.9804104246498602</v>
      </c>
      <c r="Q6" s="106">
        <v>2302.2693896174792</v>
      </c>
      <c r="R6" s="106">
        <v>6.2861757542874059</v>
      </c>
      <c r="S6" s="106">
        <v>3635.9240562798354</v>
      </c>
      <c r="T6" s="106">
        <v>2.4423224188011621</v>
      </c>
      <c r="U6" s="106">
        <v>1412.6392870345921</v>
      </c>
      <c r="V6" s="106">
        <v>0</v>
      </c>
      <c r="W6" s="106">
        <v>0</v>
      </c>
      <c r="X6" s="106">
        <v>4.8804677119319697</v>
      </c>
      <c r="Y6" s="106">
        <v>2822.862524581451</v>
      </c>
      <c r="Z6" s="106">
        <v>0</v>
      </c>
      <c r="AA6" s="106">
        <v>0</v>
      </c>
      <c r="AB6" s="106">
        <v>5.6436159616494113</v>
      </c>
      <c r="AC6" s="106">
        <v>3264.2674722180195</v>
      </c>
      <c r="AD6" s="106">
        <v>3.1169229611392</v>
      </c>
      <c r="AE6" s="106">
        <v>1802.8282407229133</v>
      </c>
      <c r="AF6" s="106">
        <v>4.4320158481613463</v>
      </c>
      <c r="AG6" s="106">
        <v>2563.4779665765227</v>
      </c>
      <c r="AH6" s="106">
        <v>3.5687333923826396</v>
      </c>
      <c r="AI6" s="106">
        <v>2064.1553941541188</v>
      </c>
      <c r="AJ6" s="106">
        <v>0</v>
      </c>
      <c r="AK6" s="106">
        <v>0</v>
      </c>
      <c r="AL6" s="106">
        <v>7.433230498016747</v>
      </c>
      <c r="AM6" s="106">
        <v>4299.3805200528859</v>
      </c>
      <c r="AN6" s="106">
        <v>0</v>
      </c>
      <c r="AO6" s="106">
        <v>0</v>
      </c>
      <c r="AP6" s="106">
        <v>6.2709020368574198</v>
      </c>
      <c r="AQ6" s="106">
        <v>3627.0897381183313</v>
      </c>
      <c r="AR6" s="106">
        <v>0</v>
      </c>
      <c r="AS6" s="106">
        <v>0</v>
      </c>
      <c r="AT6" s="106">
        <v>8.2280090840272528</v>
      </c>
      <c r="AU6" s="106">
        <v>4759.080454201363</v>
      </c>
      <c r="AV6" s="106">
        <v>0</v>
      </c>
      <c r="AW6" s="106">
        <v>0</v>
      </c>
      <c r="AX6" s="106">
        <v>7.8311166859366583</v>
      </c>
      <c r="AY6" s="106">
        <v>4529.5178911457633</v>
      </c>
      <c r="AZ6" s="106">
        <v>18.972682403705679</v>
      </c>
      <c r="BA6" s="106">
        <v>10973.799502303364</v>
      </c>
      <c r="BB6" s="106">
        <v>4.688178205656973</v>
      </c>
      <c r="BC6" s="106">
        <v>2711.6422741519932</v>
      </c>
      <c r="BD6" s="106">
        <v>5.691106290672451</v>
      </c>
      <c r="BE6" s="106">
        <v>3291.7358785249457</v>
      </c>
      <c r="BF6" s="106">
        <v>0</v>
      </c>
      <c r="BG6" s="106">
        <v>0</v>
      </c>
      <c r="BH6" s="106">
        <v>9.0215248743798302</v>
      </c>
      <c r="BI6" s="106">
        <v>5218.0499873412937</v>
      </c>
      <c r="BJ6" s="106">
        <v>4.8787918279019777</v>
      </c>
      <c r="BK6" s="106">
        <v>2821.8931932585037</v>
      </c>
      <c r="BL6" s="106">
        <v>5.0684067103761574</v>
      </c>
      <c r="BM6" s="106">
        <v>2931.5664412815695</v>
      </c>
      <c r="BN6" s="106">
        <v>5.2606231599607449</v>
      </c>
      <c r="BO6" s="106">
        <v>3042.7444357212948</v>
      </c>
      <c r="BP6" s="106">
        <v>0</v>
      </c>
      <c r="BQ6" s="106">
        <v>0</v>
      </c>
      <c r="BR6" s="106">
        <v>3.6780362648790086</v>
      </c>
      <c r="BS6" s="106">
        <v>2127.3761756060185</v>
      </c>
      <c r="BT6" s="106">
        <v>6.3266609145815362</v>
      </c>
      <c r="BU6" s="106">
        <v>3659.3406729939602</v>
      </c>
      <c r="BV6" s="106">
        <v>0</v>
      </c>
      <c r="BW6" s="106">
        <v>0</v>
      </c>
      <c r="BX6" s="106">
        <v>12.408006217332776</v>
      </c>
      <c r="BY6" s="106">
        <v>7176.790796105277</v>
      </c>
      <c r="BZ6" s="106">
        <v>16.08236670072532</v>
      </c>
      <c r="CA6" s="106">
        <v>9302.0408996995247</v>
      </c>
      <c r="CB6" s="106">
        <v>6.3905810200129114</v>
      </c>
      <c r="CC6" s="106">
        <v>3696.3120619754677</v>
      </c>
      <c r="CD6" s="106">
        <v>0</v>
      </c>
      <c r="CE6" s="106">
        <v>0</v>
      </c>
      <c r="CF6" s="106">
        <v>1.5669649467433291</v>
      </c>
      <c r="CG6" s="106">
        <v>906.33252519634152</v>
      </c>
      <c r="CH6" s="106">
        <v>3.3752821951346617</v>
      </c>
      <c r="CI6" s="106">
        <v>1952.2632216658883</v>
      </c>
      <c r="CJ6" s="106">
        <v>1.4764208946553059</v>
      </c>
      <c r="CK6" s="106">
        <v>853.96184546862889</v>
      </c>
      <c r="CL6" s="106">
        <v>0</v>
      </c>
      <c r="CM6" s="106">
        <v>0</v>
      </c>
      <c r="CN6" s="106">
        <v>1.3488830131664149</v>
      </c>
      <c r="CO6" s="106">
        <v>780.19393481545433</v>
      </c>
      <c r="CP6" s="106">
        <v>0</v>
      </c>
      <c r="CQ6" s="106">
        <v>0</v>
      </c>
      <c r="CR6" s="106">
        <v>1.7890491870131313</v>
      </c>
      <c r="CS6" s="106">
        <v>1034.7860497683951</v>
      </c>
      <c r="CT6" s="106">
        <v>2.5843825152948727</v>
      </c>
      <c r="CU6" s="106">
        <v>1494.8068468465544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11.807030198292628</v>
      </c>
      <c r="O7" s="106">
        <v>9308.662608333907</v>
      </c>
      <c r="P7" s="106">
        <v>3.9804104246498602</v>
      </c>
      <c r="Q7" s="106">
        <v>3138.1555787939496</v>
      </c>
      <c r="R7" s="106">
        <v>5.707185882181987</v>
      </c>
      <c r="S7" s="106">
        <v>4499.5453495122783</v>
      </c>
      <c r="T7" s="106">
        <v>2.3103049907578561</v>
      </c>
      <c r="U7" s="106">
        <v>1821.4444547134938</v>
      </c>
      <c r="V7" s="106">
        <v>0</v>
      </c>
      <c r="W7" s="106">
        <v>0</v>
      </c>
      <c r="X7" s="106">
        <v>5.1792718575604573</v>
      </c>
      <c r="Y7" s="106">
        <v>4083.3379325006645</v>
      </c>
      <c r="Z7" s="106">
        <v>0</v>
      </c>
      <c r="AA7" s="106">
        <v>0</v>
      </c>
      <c r="AB7" s="106">
        <v>5.4511617160592127</v>
      </c>
      <c r="AC7" s="106">
        <v>4297.6958969410834</v>
      </c>
      <c r="AD7" s="106">
        <v>3.106781931112502</v>
      </c>
      <c r="AE7" s="106">
        <v>2449.3868744890965</v>
      </c>
      <c r="AF7" s="106">
        <v>3.8091740204380256</v>
      </c>
      <c r="AG7" s="106">
        <v>3003.1527977133392</v>
      </c>
      <c r="AH7" s="106">
        <v>3.4857395925597876</v>
      </c>
      <c r="AI7" s="106">
        <v>2748.1570947741366</v>
      </c>
      <c r="AJ7" s="106">
        <v>0</v>
      </c>
      <c r="AK7" s="106">
        <v>0</v>
      </c>
      <c r="AL7" s="106">
        <v>7.1854561480828547</v>
      </c>
      <c r="AM7" s="106">
        <v>5665.0136271485226</v>
      </c>
      <c r="AN7" s="106">
        <v>0</v>
      </c>
      <c r="AO7" s="106">
        <v>0</v>
      </c>
      <c r="AP7" s="106">
        <v>6.5435499515033939</v>
      </c>
      <c r="AQ7" s="106">
        <v>5158.9347817652761</v>
      </c>
      <c r="AR7" s="106">
        <v>0</v>
      </c>
      <c r="AS7" s="106">
        <v>0</v>
      </c>
      <c r="AT7" s="106">
        <v>9.0791824375473134</v>
      </c>
      <c r="AU7" s="106">
        <v>7158.0274337623014</v>
      </c>
      <c r="AV7" s="106">
        <v>0</v>
      </c>
      <c r="AW7" s="106">
        <v>0</v>
      </c>
      <c r="AX7" s="106">
        <v>7.0419670109642514</v>
      </c>
      <c r="AY7" s="106">
        <v>5551.8867914442153</v>
      </c>
      <c r="AZ7" s="106">
        <v>18.132380394372102</v>
      </c>
      <c r="BA7" s="106">
        <v>14295.568702922965</v>
      </c>
      <c r="BB7" s="106">
        <v>4.7323418494959988</v>
      </c>
      <c r="BC7" s="106">
        <v>3730.9783141426456</v>
      </c>
      <c r="BD7" s="106">
        <v>4.771115424135175</v>
      </c>
      <c r="BE7" s="106">
        <v>3761.5474003881718</v>
      </c>
      <c r="BF7" s="106">
        <v>0</v>
      </c>
      <c r="BG7" s="106">
        <v>0</v>
      </c>
      <c r="BH7" s="106">
        <v>8.7767658600112739</v>
      </c>
      <c r="BI7" s="106">
        <v>6919.602204032888</v>
      </c>
      <c r="BJ7" s="106">
        <v>4.8210106164516429</v>
      </c>
      <c r="BK7" s="106">
        <v>3800.8847700104752</v>
      </c>
      <c r="BL7" s="106">
        <v>4.6088639672184772</v>
      </c>
      <c r="BM7" s="106">
        <v>3633.6283517550473</v>
      </c>
      <c r="BN7" s="106">
        <v>5.2061089303238468</v>
      </c>
      <c r="BO7" s="106">
        <v>4104.4962806673211</v>
      </c>
      <c r="BP7" s="106">
        <v>0</v>
      </c>
      <c r="BQ7" s="106">
        <v>0</v>
      </c>
      <c r="BR7" s="106">
        <v>3.4733575495486946</v>
      </c>
      <c r="BS7" s="106">
        <v>2738.3950920641905</v>
      </c>
      <c r="BT7" s="106">
        <v>6.518377911993098</v>
      </c>
      <c r="BU7" s="106">
        <v>5139.0891458153583</v>
      </c>
      <c r="BV7" s="106">
        <v>0</v>
      </c>
      <c r="BW7" s="106">
        <v>0</v>
      </c>
      <c r="BX7" s="106">
        <v>13.397992723277246</v>
      </c>
      <c r="BY7" s="106">
        <v>10562.977463031781</v>
      </c>
      <c r="BZ7" s="106">
        <v>15.100329436049712</v>
      </c>
      <c r="CA7" s="106">
        <v>11905.099727381592</v>
      </c>
      <c r="CB7" s="106">
        <v>5.5514138153647519</v>
      </c>
      <c r="CC7" s="106">
        <v>4376.7346520335705</v>
      </c>
      <c r="CD7" s="106">
        <v>0</v>
      </c>
      <c r="CE7" s="106">
        <v>0</v>
      </c>
      <c r="CF7" s="106">
        <v>1.5669649467433291</v>
      </c>
      <c r="CG7" s="106">
        <v>1235.3951640124405</v>
      </c>
      <c r="CH7" s="106">
        <v>3.6052694117743629</v>
      </c>
      <c r="CI7" s="106">
        <v>2842.3944042429075</v>
      </c>
      <c r="CJ7" s="106">
        <v>1.3311991673121613</v>
      </c>
      <c r="CK7" s="106">
        <v>1049.517423508908</v>
      </c>
      <c r="CL7" s="106">
        <v>0</v>
      </c>
      <c r="CM7" s="106">
        <v>0</v>
      </c>
      <c r="CN7" s="106">
        <v>1.3758606734297432</v>
      </c>
      <c r="CO7" s="106">
        <v>1084.7285549320095</v>
      </c>
      <c r="CP7" s="106">
        <v>0</v>
      </c>
      <c r="CQ7" s="106">
        <v>0</v>
      </c>
      <c r="CR7" s="106">
        <v>1.8459108190202018</v>
      </c>
      <c r="CS7" s="106">
        <v>1455.3160897155271</v>
      </c>
      <c r="CT7" s="106">
        <v>2.5328864139951723</v>
      </c>
      <c r="CU7" s="106">
        <v>1996.9276487937939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15.017236565570345</v>
      </c>
      <c r="O8" s="106">
        <v>4649.3364407005784</v>
      </c>
      <c r="P8" s="106">
        <v>4.8967639037059429</v>
      </c>
      <c r="Q8" s="106">
        <v>1516.0381045873598</v>
      </c>
      <c r="R8" s="106">
        <v>6.4240304857410768</v>
      </c>
      <c r="S8" s="106">
        <v>1988.8798383854371</v>
      </c>
      <c r="T8" s="106">
        <v>2.772365988909427</v>
      </c>
      <c r="U8" s="106">
        <v>858.32451016635855</v>
      </c>
      <c r="V8" s="106">
        <v>0</v>
      </c>
      <c r="W8" s="106">
        <v>0</v>
      </c>
      <c r="X8" s="106">
        <v>4.7808663300558063</v>
      </c>
      <c r="Y8" s="106">
        <v>1480.1562157852775</v>
      </c>
      <c r="Z8" s="106">
        <v>0</v>
      </c>
      <c r="AA8" s="106">
        <v>0</v>
      </c>
      <c r="AB8" s="106">
        <v>5.9375843497450775</v>
      </c>
      <c r="AC8" s="106">
        <v>1838.2761146810758</v>
      </c>
      <c r="AD8" s="106">
        <v>3.5132573091191293</v>
      </c>
      <c r="AE8" s="106">
        <v>1087.7044629032823</v>
      </c>
      <c r="AF8" s="106">
        <v>4.1937834962037064</v>
      </c>
      <c r="AG8" s="106">
        <v>1298.3953704246674</v>
      </c>
      <c r="AH8" s="106">
        <v>3.9837023914968999</v>
      </c>
      <c r="AI8" s="106">
        <v>1233.3542604074401</v>
      </c>
      <c r="AJ8" s="106">
        <v>0</v>
      </c>
      <c r="AK8" s="106">
        <v>0</v>
      </c>
      <c r="AL8" s="106">
        <v>7.433230498016747</v>
      </c>
      <c r="AM8" s="106">
        <v>2301.3281621859846</v>
      </c>
      <c r="AN8" s="106">
        <v>0</v>
      </c>
      <c r="AO8" s="106">
        <v>0</v>
      </c>
      <c r="AP8" s="106">
        <v>6.8161978661493681</v>
      </c>
      <c r="AQ8" s="106">
        <v>2110.2948593598439</v>
      </c>
      <c r="AR8" s="106">
        <v>0</v>
      </c>
      <c r="AS8" s="106">
        <v>0</v>
      </c>
      <c r="AT8" s="106">
        <v>9.6466313398940198</v>
      </c>
      <c r="AU8" s="106">
        <v>2986.5970628311884</v>
      </c>
      <c r="AV8" s="106">
        <v>0</v>
      </c>
      <c r="AW8" s="106">
        <v>0</v>
      </c>
      <c r="AX8" s="106">
        <v>8.2561821871548577</v>
      </c>
      <c r="AY8" s="106">
        <v>2556.1140051431435</v>
      </c>
      <c r="AZ8" s="106">
        <v>20.661498292619683</v>
      </c>
      <c r="BA8" s="106">
        <v>6396.7998713950528</v>
      </c>
      <c r="BB8" s="106">
        <v>5.2021189382281277</v>
      </c>
      <c r="BC8" s="106">
        <v>1610.576023275428</v>
      </c>
      <c r="BD8" s="106">
        <v>5.9478479278456442</v>
      </c>
      <c r="BE8" s="106">
        <v>1841.4537184610112</v>
      </c>
      <c r="BF8" s="106">
        <v>0</v>
      </c>
      <c r="BG8" s="106">
        <v>0</v>
      </c>
      <c r="BH8" s="106">
        <v>9.999504756545079</v>
      </c>
      <c r="BI8" s="106">
        <v>3095.8466726263559</v>
      </c>
      <c r="BJ8" s="106">
        <v>4.8437835333756336</v>
      </c>
      <c r="BK8" s="106">
        <v>1499.6353819330959</v>
      </c>
      <c r="BL8" s="106">
        <v>5.6955290410333408</v>
      </c>
      <c r="BM8" s="106">
        <v>1763.335791103922</v>
      </c>
      <c r="BN8" s="106">
        <v>6.1601079489695785</v>
      </c>
      <c r="BO8" s="106">
        <v>1907.1694210009812</v>
      </c>
      <c r="BP8" s="106">
        <v>0</v>
      </c>
      <c r="BQ8" s="106">
        <v>0</v>
      </c>
      <c r="BR8" s="106">
        <v>3.9508899267931854</v>
      </c>
      <c r="BS8" s="106">
        <v>1223.19552133517</v>
      </c>
      <c r="BT8" s="106">
        <v>6.1349439171699736</v>
      </c>
      <c r="BU8" s="106">
        <v>1899.3786367558237</v>
      </c>
      <c r="BV8" s="106">
        <v>0</v>
      </c>
      <c r="BW8" s="106">
        <v>0</v>
      </c>
      <c r="BX8" s="106">
        <v>15.441678441062606</v>
      </c>
      <c r="BY8" s="106">
        <v>4780.7436453529826</v>
      </c>
      <c r="BZ8" s="106">
        <v>16.875155785929763</v>
      </c>
      <c r="CA8" s="106">
        <v>5224.5482313238545</v>
      </c>
      <c r="CB8" s="106">
        <v>7.0576113621691423</v>
      </c>
      <c r="CC8" s="106">
        <v>2185.0364777275663</v>
      </c>
      <c r="CD8" s="106">
        <v>0</v>
      </c>
      <c r="CE8" s="106">
        <v>0</v>
      </c>
      <c r="CF8" s="106">
        <v>1.8308748325106265</v>
      </c>
      <c r="CG8" s="106">
        <v>566.83884814528994</v>
      </c>
      <c r="CH8" s="106">
        <v>4.0639718427094671</v>
      </c>
      <c r="CI8" s="106">
        <v>1258.2056825028508</v>
      </c>
      <c r="CJ8" s="106">
        <v>1.5490317583268784</v>
      </c>
      <c r="CK8" s="106">
        <v>479.58023237800154</v>
      </c>
      <c r="CL8" s="106">
        <v>0</v>
      </c>
      <c r="CM8" s="106">
        <v>0</v>
      </c>
      <c r="CN8" s="106">
        <v>1.3758606734297432</v>
      </c>
      <c r="CO8" s="106">
        <v>425.96646449384843</v>
      </c>
      <c r="CP8" s="106">
        <v>0</v>
      </c>
      <c r="CQ8" s="106">
        <v>0</v>
      </c>
      <c r="CR8" s="106">
        <v>1.9958874816004391</v>
      </c>
      <c r="CS8" s="106">
        <v>617.92676430349582</v>
      </c>
      <c r="CT8" s="106">
        <v>2.7459153242759555</v>
      </c>
      <c r="CU8" s="106">
        <v>850.13538439583579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12.677594636876414</v>
      </c>
      <c r="O9" s="106">
        <v>8899.6714350872426</v>
      </c>
      <c r="P9" s="106">
        <v>4.2094987944138804</v>
      </c>
      <c r="Q9" s="106">
        <v>2955.0681536785441</v>
      </c>
      <c r="R9" s="106">
        <v>5.7347568284727215</v>
      </c>
      <c r="S9" s="106">
        <v>4025.7992935878506</v>
      </c>
      <c r="T9" s="106">
        <v>2.3103049907578561</v>
      </c>
      <c r="U9" s="106">
        <v>1621.834103512015</v>
      </c>
      <c r="V9" s="106">
        <v>0</v>
      </c>
      <c r="W9" s="106">
        <v>0</v>
      </c>
      <c r="X9" s="106">
        <v>4.5816635663034813</v>
      </c>
      <c r="Y9" s="106">
        <v>3216.3278235450439</v>
      </c>
      <c r="Z9" s="106">
        <v>0</v>
      </c>
      <c r="AA9" s="106">
        <v>0</v>
      </c>
      <c r="AB9" s="106">
        <v>5.1476206855335747</v>
      </c>
      <c r="AC9" s="106">
        <v>3613.6297212445693</v>
      </c>
      <c r="AD9" s="106">
        <v>2.910221511099782</v>
      </c>
      <c r="AE9" s="106">
        <v>2042.9755007920469</v>
      </c>
      <c r="AF9" s="106">
        <v>4.2395048126423163</v>
      </c>
      <c r="AG9" s="106">
        <v>2976.1323784749061</v>
      </c>
      <c r="AH9" s="106">
        <v>3.9007085916740483</v>
      </c>
      <c r="AI9" s="106">
        <v>2738.2974313551817</v>
      </c>
      <c r="AJ9" s="106">
        <v>0</v>
      </c>
      <c r="AK9" s="106">
        <v>0</v>
      </c>
      <c r="AL9" s="106">
        <v>6.4421330982811797</v>
      </c>
      <c r="AM9" s="106">
        <v>4522.3774349933883</v>
      </c>
      <c r="AN9" s="106">
        <v>0</v>
      </c>
      <c r="AO9" s="106">
        <v>0</v>
      </c>
      <c r="AP9" s="106">
        <v>5.7256062075654697</v>
      </c>
      <c r="AQ9" s="106">
        <v>4019.3755577109596</v>
      </c>
      <c r="AR9" s="106">
        <v>0</v>
      </c>
      <c r="AS9" s="106">
        <v>0</v>
      </c>
      <c r="AT9" s="106">
        <v>9.3629068887206675</v>
      </c>
      <c r="AU9" s="106">
        <v>6572.7606358819085</v>
      </c>
      <c r="AV9" s="106">
        <v>0</v>
      </c>
      <c r="AW9" s="106">
        <v>0</v>
      </c>
      <c r="AX9" s="106">
        <v>8.2407865393697151</v>
      </c>
      <c r="AY9" s="106">
        <v>5785.0321506375403</v>
      </c>
      <c r="AZ9" s="106">
        <v>19.823249250847816</v>
      </c>
      <c r="BA9" s="106">
        <v>13915.920974095166</v>
      </c>
      <c r="BB9" s="106">
        <v>5.4927466399008296</v>
      </c>
      <c r="BC9" s="106">
        <v>3855.9081412103824</v>
      </c>
      <c r="BD9" s="106">
        <v>5.263203562050462</v>
      </c>
      <c r="BE9" s="106">
        <v>3694.7689005594243</v>
      </c>
      <c r="BF9" s="106">
        <v>0</v>
      </c>
      <c r="BG9" s="106">
        <v>0</v>
      </c>
      <c r="BH9" s="106">
        <v>9.5284204125145511</v>
      </c>
      <c r="BI9" s="106">
        <v>6688.9511295852144</v>
      </c>
      <c r="BJ9" s="106">
        <v>4.3939440470926057</v>
      </c>
      <c r="BK9" s="106">
        <v>3084.548721059009</v>
      </c>
      <c r="BL9" s="106">
        <v>4.7290757875778304</v>
      </c>
      <c r="BM9" s="106">
        <v>3319.8112028796368</v>
      </c>
      <c r="BN9" s="106">
        <v>5.2333660451422963</v>
      </c>
      <c r="BO9" s="106">
        <v>3673.8229636898918</v>
      </c>
      <c r="BP9" s="106">
        <v>0</v>
      </c>
      <c r="BQ9" s="106">
        <v>0</v>
      </c>
      <c r="BR9" s="106">
        <v>3.7300030998614697</v>
      </c>
      <c r="BS9" s="106">
        <v>2618.4621761027515</v>
      </c>
      <c r="BT9" s="106">
        <v>6.1349439171699736</v>
      </c>
      <c r="BU9" s="106">
        <v>4306.7306298533213</v>
      </c>
      <c r="BV9" s="106">
        <v>0</v>
      </c>
      <c r="BW9" s="106">
        <v>0</v>
      </c>
      <c r="BX9" s="106">
        <v>13.39068790507954</v>
      </c>
      <c r="BY9" s="106">
        <v>9400.2629093658379</v>
      </c>
      <c r="BZ9" s="106">
        <v>14.215986390431189</v>
      </c>
      <c r="CA9" s="106">
        <v>9979.6224460826943</v>
      </c>
      <c r="CB9" s="106">
        <v>6.2399612653324734</v>
      </c>
      <c r="CC9" s="106">
        <v>4380.452808263396</v>
      </c>
      <c r="CD9" s="106">
        <v>0</v>
      </c>
      <c r="CE9" s="106">
        <v>0</v>
      </c>
      <c r="CF9" s="106">
        <v>1.4185156359992244</v>
      </c>
      <c r="CG9" s="106">
        <v>995.79797647145551</v>
      </c>
      <c r="CH9" s="106">
        <v>3.4710082886671492</v>
      </c>
      <c r="CI9" s="106">
        <v>2436.6478186443387</v>
      </c>
      <c r="CJ9" s="106">
        <v>1.524828137103021</v>
      </c>
      <c r="CK9" s="106">
        <v>1070.4293522463208</v>
      </c>
      <c r="CL9" s="106">
        <v>0</v>
      </c>
      <c r="CM9" s="106">
        <v>0</v>
      </c>
      <c r="CN9" s="106">
        <v>1.5107489747463845</v>
      </c>
      <c r="CO9" s="106">
        <v>1060.5457802719618</v>
      </c>
      <c r="CP9" s="106">
        <v>0</v>
      </c>
      <c r="CQ9" s="106">
        <v>0</v>
      </c>
      <c r="CR9" s="106">
        <v>1.7975767318852589</v>
      </c>
      <c r="CS9" s="106">
        <v>1261.8988657834518</v>
      </c>
      <c r="CT9" s="106">
        <v>2.5843825152948727</v>
      </c>
      <c r="CU9" s="106">
        <v>1814.2365257370006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12.459953527230468</v>
      </c>
      <c r="O10" s="106">
        <v>6788.1826816351586</v>
      </c>
      <c r="P10" s="106">
        <v>4.7822197188239324</v>
      </c>
      <c r="Q10" s="106">
        <v>2605.3533028152783</v>
      </c>
      <c r="R10" s="106">
        <v>6.1483210228337351</v>
      </c>
      <c r="S10" s="106">
        <v>3349.6052932398184</v>
      </c>
      <c r="T10" s="106">
        <v>2.4423224188011621</v>
      </c>
      <c r="U10" s="106">
        <v>1330.5772537628729</v>
      </c>
      <c r="V10" s="106">
        <v>0</v>
      </c>
      <c r="W10" s="106">
        <v>0</v>
      </c>
      <c r="X10" s="106">
        <v>5.0796704756842948</v>
      </c>
      <c r="Y10" s="106">
        <v>2767.4044751528036</v>
      </c>
      <c r="Z10" s="106">
        <v>0</v>
      </c>
      <c r="AA10" s="106">
        <v>0</v>
      </c>
      <c r="AB10" s="106">
        <v>5.0269612581681642</v>
      </c>
      <c r="AC10" s="106">
        <v>2738.6884934500158</v>
      </c>
      <c r="AD10" s="106">
        <v>3.0050379600700374</v>
      </c>
      <c r="AE10" s="106">
        <v>1637.1446806461563</v>
      </c>
      <c r="AF10" s="106">
        <v>4.2436988046160433</v>
      </c>
      <c r="AG10" s="106">
        <v>2311.9671087548204</v>
      </c>
      <c r="AH10" s="106">
        <v>3.4857395925597876</v>
      </c>
      <c r="AI10" s="106">
        <v>1899.0309300265722</v>
      </c>
      <c r="AJ10" s="106">
        <v>0</v>
      </c>
      <c r="AK10" s="106">
        <v>0</v>
      </c>
      <c r="AL10" s="106">
        <v>7.1854561480828547</v>
      </c>
      <c r="AM10" s="106">
        <v>3914.6365094755388</v>
      </c>
      <c r="AN10" s="106">
        <v>0</v>
      </c>
      <c r="AO10" s="106">
        <v>0</v>
      </c>
      <c r="AP10" s="106">
        <v>5.9982541222114447</v>
      </c>
      <c r="AQ10" s="106">
        <v>3267.8488457807948</v>
      </c>
      <c r="AR10" s="106">
        <v>0</v>
      </c>
      <c r="AS10" s="106">
        <v>0</v>
      </c>
      <c r="AT10" s="106">
        <v>8.2280090840272528</v>
      </c>
      <c r="AU10" s="106">
        <v>4482.6193489780471</v>
      </c>
      <c r="AV10" s="106">
        <v>0</v>
      </c>
      <c r="AW10" s="106">
        <v>0</v>
      </c>
      <c r="AX10" s="106">
        <v>8.4837097430980482</v>
      </c>
      <c r="AY10" s="106">
        <v>4621.9250680398163</v>
      </c>
      <c r="AZ10" s="106">
        <v>20.764531134156019</v>
      </c>
      <c r="BA10" s="106">
        <v>11312.516561888198</v>
      </c>
      <c r="BB10" s="106">
        <v>5.0692716050391491</v>
      </c>
      <c r="BC10" s="106">
        <v>2761.7391704253282</v>
      </c>
      <c r="BD10" s="106">
        <v>5.455759789930358</v>
      </c>
      <c r="BE10" s="106">
        <v>2972.297933554059</v>
      </c>
      <c r="BF10" s="106">
        <v>0</v>
      </c>
      <c r="BG10" s="106">
        <v>0</v>
      </c>
      <c r="BH10" s="106">
        <v>9.8182504540291156</v>
      </c>
      <c r="BI10" s="106">
        <v>5348.9828473550615</v>
      </c>
      <c r="BJ10" s="106">
        <v>4.5404945812245989</v>
      </c>
      <c r="BK10" s="106">
        <v>2473.6614478511615</v>
      </c>
      <c r="BL10" s="106">
        <v>4.8533962074067487</v>
      </c>
      <c r="BM10" s="106">
        <v>2644.1302537951965</v>
      </c>
      <c r="BN10" s="106">
        <v>5.5331943081452399</v>
      </c>
      <c r="BO10" s="106">
        <v>3014.4842590775265</v>
      </c>
      <c r="BP10" s="106">
        <v>0</v>
      </c>
      <c r="BQ10" s="106">
        <v>0</v>
      </c>
      <c r="BR10" s="106">
        <v>3.7053062435125534</v>
      </c>
      <c r="BS10" s="106">
        <v>2018.6508414656389</v>
      </c>
      <c r="BT10" s="106">
        <v>6.3266609145815362</v>
      </c>
      <c r="BU10" s="106">
        <v>3446.7648662640208</v>
      </c>
      <c r="BV10" s="106">
        <v>0</v>
      </c>
      <c r="BW10" s="106">
        <v>0</v>
      </c>
      <c r="BX10" s="106">
        <v>14.930757011616267</v>
      </c>
      <c r="BY10" s="106">
        <v>8134.2764199285411</v>
      </c>
      <c r="BZ10" s="106">
        <v>16.209755125790519</v>
      </c>
      <c r="CA10" s="106">
        <v>8831.0745925306746</v>
      </c>
      <c r="CB10" s="106">
        <v>6.2184441575209819</v>
      </c>
      <c r="CC10" s="106">
        <v>3387.8083770174308</v>
      </c>
      <c r="CD10" s="106">
        <v>0</v>
      </c>
      <c r="CE10" s="106">
        <v>0</v>
      </c>
      <c r="CF10" s="106">
        <v>1.5339762110224169</v>
      </c>
      <c r="CG10" s="106">
        <v>835.7102397650126</v>
      </c>
      <c r="CH10" s="106">
        <v>4.0195008021946839</v>
      </c>
      <c r="CI10" s="106">
        <v>2189.8240370356634</v>
      </c>
      <c r="CJ10" s="106">
        <v>1.5490317583268784</v>
      </c>
      <c r="CK10" s="106">
        <v>843.9125019364833</v>
      </c>
      <c r="CL10" s="106">
        <v>0</v>
      </c>
      <c r="CM10" s="106">
        <v>0</v>
      </c>
      <c r="CN10" s="106">
        <v>1.4298159939563997</v>
      </c>
      <c r="CO10" s="106">
        <v>778.96375350744654</v>
      </c>
      <c r="CP10" s="106">
        <v>0</v>
      </c>
      <c r="CQ10" s="106">
        <v>0</v>
      </c>
      <c r="CR10" s="106">
        <v>1.7904704444918194</v>
      </c>
      <c r="CS10" s="106">
        <v>975.44829815914306</v>
      </c>
      <c r="CT10" s="106">
        <v>2.7600043344399205</v>
      </c>
      <c r="CU10" s="106">
        <v>1503.6503614028686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13.11287685616831</v>
      </c>
      <c r="O11" s="106">
        <v>6986.5407889664748</v>
      </c>
      <c r="P11" s="106">
        <v>4.4672232103984042</v>
      </c>
      <c r="Q11" s="106">
        <v>2380.1365265002696</v>
      </c>
      <c r="R11" s="106">
        <v>7.0857331967186985</v>
      </c>
      <c r="S11" s="106">
        <v>3775.2786472117223</v>
      </c>
      <c r="T11" s="106">
        <v>2.4423224188011621</v>
      </c>
      <c r="U11" s="106">
        <v>1301.2693847372591</v>
      </c>
      <c r="V11" s="106">
        <v>0</v>
      </c>
      <c r="W11" s="106">
        <v>0</v>
      </c>
      <c r="X11" s="106">
        <v>5.2788732394366198</v>
      </c>
      <c r="Y11" s="106">
        <v>2812.5836619718307</v>
      </c>
      <c r="Z11" s="106">
        <v>0</v>
      </c>
      <c r="AA11" s="106">
        <v>0</v>
      </c>
      <c r="AB11" s="106">
        <v>5.7259848192949354</v>
      </c>
      <c r="AC11" s="106">
        <v>3050.8047117203414</v>
      </c>
      <c r="AD11" s="106">
        <v>2.8458281522096196</v>
      </c>
      <c r="AE11" s="106">
        <v>1516.2572394972851</v>
      </c>
      <c r="AF11" s="106">
        <v>3.9303871924037086</v>
      </c>
      <c r="AG11" s="106">
        <v>2094.1102961126958</v>
      </c>
      <c r="AH11" s="106">
        <v>3.6517271922054912</v>
      </c>
      <c r="AI11" s="106">
        <v>1945.6402480070856</v>
      </c>
      <c r="AJ11" s="106">
        <v>0</v>
      </c>
      <c r="AK11" s="106">
        <v>0</v>
      </c>
      <c r="AL11" s="106">
        <v>7.433230498016747</v>
      </c>
      <c r="AM11" s="106">
        <v>3960.4252093433224</v>
      </c>
      <c r="AN11" s="106">
        <v>0</v>
      </c>
      <c r="AO11" s="106">
        <v>0</v>
      </c>
      <c r="AP11" s="106">
        <v>6.8161978661493681</v>
      </c>
      <c r="AQ11" s="106">
        <v>3631.670223084383</v>
      </c>
      <c r="AR11" s="106">
        <v>0</v>
      </c>
      <c r="AS11" s="106">
        <v>0</v>
      </c>
      <c r="AT11" s="106">
        <v>8.5117335352006069</v>
      </c>
      <c r="AU11" s="106">
        <v>4535.0516275548825</v>
      </c>
      <c r="AV11" s="106">
        <v>0</v>
      </c>
      <c r="AW11" s="106">
        <v>0</v>
      </c>
      <c r="AX11" s="106">
        <v>7.6540394639666625</v>
      </c>
      <c r="AY11" s="106">
        <v>4078.0722264014375</v>
      </c>
      <c r="AZ11" s="106">
        <v>19.448455764264061</v>
      </c>
      <c r="BA11" s="106">
        <v>10362.137231199891</v>
      </c>
      <c r="BB11" s="106">
        <v>5.270502814018089</v>
      </c>
      <c r="BC11" s="106">
        <v>2808.1238993088377</v>
      </c>
      <c r="BD11" s="106">
        <v>5.9264527914145448</v>
      </c>
      <c r="BE11" s="106">
        <v>3157.6140472656693</v>
      </c>
      <c r="BF11" s="106">
        <v>0</v>
      </c>
      <c r="BG11" s="106">
        <v>0</v>
      </c>
      <c r="BH11" s="106">
        <v>9.720346848281693</v>
      </c>
      <c r="BI11" s="106">
        <v>5179.0008007644856</v>
      </c>
      <c r="BJ11" s="106">
        <v>4.5816705763429715</v>
      </c>
      <c r="BK11" s="106">
        <v>2441.1140830755348</v>
      </c>
      <c r="BL11" s="106">
        <v>5.6965283284455372</v>
      </c>
      <c r="BM11" s="106">
        <v>3035.1102933957818</v>
      </c>
      <c r="BN11" s="106">
        <v>5.3969087340529933</v>
      </c>
      <c r="BO11" s="106">
        <v>2875.4729735034348</v>
      </c>
      <c r="BP11" s="106">
        <v>0</v>
      </c>
      <c r="BQ11" s="106">
        <v>0</v>
      </c>
      <c r="BR11" s="106">
        <v>3.8992308429681746</v>
      </c>
      <c r="BS11" s="106">
        <v>2077.5101931334434</v>
      </c>
      <c r="BT11" s="106">
        <v>5.9432269197584127</v>
      </c>
      <c r="BU11" s="106">
        <v>3166.5513028472819</v>
      </c>
      <c r="BV11" s="106">
        <v>0</v>
      </c>
      <c r="BW11" s="106">
        <v>0</v>
      </c>
      <c r="BX11" s="106">
        <v>13.937118096572943</v>
      </c>
      <c r="BY11" s="106">
        <v>7425.6965218540636</v>
      </c>
      <c r="BZ11" s="106">
        <v>16.452175263972254</v>
      </c>
      <c r="CA11" s="106">
        <v>8765.7189806444167</v>
      </c>
      <c r="CB11" s="106">
        <v>5.8526533247256296</v>
      </c>
      <c r="CC11" s="106">
        <v>3118.2936914138154</v>
      </c>
      <c r="CD11" s="106">
        <v>0</v>
      </c>
      <c r="CE11" s="106">
        <v>0</v>
      </c>
      <c r="CF11" s="106">
        <v>1.5009874753015047</v>
      </c>
      <c r="CG11" s="106">
        <v>799.72612684064165</v>
      </c>
      <c r="CH11" s="106">
        <v>3.6988755013996872</v>
      </c>
      <c r="CI11" s="106">
        <v>1970.7608671457531</v>
      </c>
      <c r="CJ11" s="106">
        <v>1.6216426219984508</v>
      </c>
      <c r="CK11" s="106">
        <v>864.01118900077449</v>
      </c>
      <c r="CL11" s="106">
        <v>0</v>
      </c>
      <c r="CM11" s="106">
        <v>0</v>
      </c>
      <c r="CN11" s="106">
        <v>1.3488830131664149</v>
      </c>
      <c r="CO11" s="106">
        <v>718.6848694150658</v>
      </c>
      <c r="CP11" s="106">
        <v>0</v>
      </c>
      <c r="CQ11" s="106">
        <v>0</v>
      </c>
      <c r="CR11" s="106">
        <v>1.8395151603661062</v>
      </c>
      <c r="CS11" s="106">
        <v>980.09367744306132</v>
      </c>
      <c r="CT11" s="106">
        <v>2.752959829357938</v>
      </c>
      <c r="CU11" s="106">
        <v>1466.7769970819093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12.296722694996006</v>
      </c>
      <c r="O12" s="106">
        <v>6920.5955327437523</v>
      </c>
      <c r="P12" s="106">
        <v>3.9804104246498602</v>
      </c>
      <c r="Q12" s="106">
        <v>2240.1749869929413</v>
      </c>
      <c r="R12" s="106">
        <v>6.2861757542874059</v>
      </c>
      <c r="S12" s="106">
        <v>3537.859714512952</v>
      </c>
      <c r="T12" s="106">
        <v>2.4423224188011621</v>
      </c>
      <c r="U12" s="106">
        <v>1374.539057301294</v>
      </c>
      <c r="V12" s="106">
        <v>0</v>
      </c>
      <c r="W12" s="106">
        <v>0</v>
      </c>
      <c r="X12" s="106">
        <v>4.7808663300558063</v>
      </c>
      <c r="Y12" s="106">
        <v>2690.6715705554075</v>
      </c>
      <c r="Z12" s="106">
        <v>0</v>
      </c>
      <c r="AA12" s="106">
        <v>0</v>
      </c>
      <c r="AB12" s="106">
        <v>5.6005390707145386</v>
      </c>
      <c r="AC12" s="106">
        <v>3151.9833889981419</v>
      </c>
      <c r="AD12" s="106">
        <v>2.9136018544420144</v>
      </c>
      <c r="AE12" s="106">
        <v>1639.7751236799656</v>
      </c>
      <c r="AF12" s="106">
        <v>4.4152398802664408</v>
      </c>
      <c r="AG12" s="106">
        <v>2484.8970046139525</v>
      </c>
      <c r="AH12" s="106">
        <v>3.6517271922054912</v>
      </c>
      <c r="AI12" s="106">
        <v>2055.1920637732501</v>
      </c>
      <c r="AJ12" s="106">
        <v>0</v>
      </c>
      <c r="AK12" s="106">
        <v>0</v>
      </c>
      <c r="AL12" s="106">
        <v>6.4421330982811797</v>
      </c>
      <c r="AM12" s="106">
        <v>3625.6325077126476</v>
      </c>
      <c r="AN12" s="106">
        <v>0</v>
      </c>
      <c r="AO12" s="106">
        <v>0</v>
      </c>
      <c r="AP12" s="106">
        <v>5.9982541222114447</v>
      </c>
      <c r="AQ12" s="106">
        <v>3375.8174199806008</v>
      </c>
      <c r="AR12" s="106">
        <v>0</v>
      </c>
      <c r="AS12" s="106">
        <v>0</v>
      </c>
      <c r="AT12" s="106">
        <v>8.7954579863739593</v>
      </c>
      <c r="AU12" s="106">
        <v>4950.083754731264</v>
      </c>
      <c r="AV12" s="106">
        <v>0</v>
      </c>
      <c r="AW12" s="106">
        <v>0</v>
      </c>
      <c r="AX12" s="106">
        <v>7.8817674411353797</v>
      </c>
      <c r="AY12" s="106">
        <v>4435.8587158709915</v>
      </c>
      <c r="AZ12" s="106">
        <v>17.302343222847075</v>
      </c>
      <c r="BA12" s="106">
        <v>9737.7587658183329</v>
      </c>
      <c r="BB12" s="106">
        <v>5.0902842219429489</v>
      </c>
      <c r="BC12" s="106">
        <v>2864.8119601094913</v>
      </c>
      <c r="BD12" s="106">
        <v>5.819477109259048</v>
      </c>
      <c r="BE12" s="106">
        <v>3275.2017170909921</v>
      </c>
      <c r="BF12" s="106">
        <v>0</v>
      </c>
      <c r="BG12" s="106">
        <v>0</v>
      </c>
      <c r="BH12" s="106">
        <v>8.5698444089878105</v>
      </c>
      <c r="BI12" s="106">
        <v>4823.1084333783392</v>
      </c>
      <c r="BJ12" s="106">
        <v>4.8102234452771215</v>
      </c>
      <c r="BK12" s="106">
        <v>2707.1937550019638</v>
      </c>
      <c r="BL12" s="106">
        <v>5.2923959532166007</v>
      </c>
      <c r="BM12" s="106">
        <v>2978.5604424703029</v>
      </c>
      <c r="BN12" s="106">
        <v>6.2963935230618251</v>
      </c>
      <c r="BO12" s="106">
        <v>3543.6102747791947</v>
      </c>
      <c r="BP12" s="106">
        <v>0</v>
      </c>
      <c r="BQ12" s="106">
        <v>0</v>
      </c>
      <c r="BR12" s="106">
        <v>4.1205792966360653</v>
      </c>
      <c r="BS12" s="106">
        <v>2319.0620281467773</v>
      </c>
      <c r="BT12" s="106">
        <v>5.9432269197584127</v>
      </c>
      <c r="BU12" s="106">
        <v>3344.8481104400344</v>
      </c>
      <c r="BV12" s="106">
        <v>0</v>
      </c>
      <c r="BW12" s="106">
        <v>0</v>
      </c>
      <c r="BX12" s="106">
        <v>14.28774243233676</v>
      </c>
      <c r="BY12" s="106">
        <v>8041.1414409191275</v>
      </c>
      <c r="BZ12" s="106">
        <v>14.214750719236322</v>
      </c>
      <c r="CA12" s="106">
        <v>8000.0617047862015</v>
      </c>
      <c r="CB12" s="106">
        <v>6.6487863137508079</v>
      </c>
      <c r="CC12" s="106">
        <v>3741.9369373789546</v>
      </c>
      <c r="CD12" s="106">
        <v>0</v>
      </c>
      <c r="CE12" s="106">
        <v>0</v>
      </c>
      <c r="CF12" s="106">
        <v>1.4679987395805927</v>
      </c>
      <c r="CG12" s="106">
        <v>826.1896906359575</v>
      </c>
      <c r="CH12" s="106">
        <v>3.333355159308474</v>
      </c>
      <c r="CI12" s="106">
        <v>1876.0122836588091</v>
      </c>
      <c r="CJ12" s="106">
        <v>1.3796064097598759</v>
      </c>
      <c r="CK12" s="106">
        <v>776.4424874128581</v>
      </c>
      <c r="CL12" s="106">
        <v>0</v>
      </c>
      <c r="CM12" s="106">
        <v>0</v>
      </c>
      <c r="CN12" s="106">
        <v>1.4837713144830564</v>
      </c>
      <c r="CO12" s="106">
        <v>835.06649579106409</v>
      </c>
      <c r="CP12" s="106">
        <v>0</v>
      </c>
      <c r="CQ12" s="106">
        <v>0</v>
      </c>
      <c r="CR12" s="106">
        <v>1.945421508247464</v>
      </c>
      <c r="CS12" s="106">
        <v>1094.8832248416727</v>
      </c>
      <c r="CT12" s="106">
        <v>2.7430975222431631</v>
      </c>
      <c r="CU12" s="106">
        <v>1543.8152855184521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14.09226184957507</v>
      </c>
      <c r="O13" s="106">
        <v>1200.660709583796</v>
      </c>
      <c r="P13" s="106">
        <v>5.0685801810289579</v>
      </c>
      <c r="Q13" s="106">
        <v>431.84303142366724</v>
      </c>
      <c r="R13" s="106">
        <v>7.3890136059167757</v>
      </c>
      <c r="S13" s="106">
        <v>629.54395922410936</v>
      </c>
      <c r="T13" s="106">
        <v>2.640348560866121</v>
      </c>
      <c r="U13" s="106">
        <v>224.95769738579352</v>
      </c>
      <c r="V13" s="106">
        <v>0</v>
      </c>
      <c r="W13" s="106">
        <v>0</v>
      </c>
      <c r="X13" s="106">
        <v>5.2788732394366198</v>
      </c>
      <c r="Y13" s="106">
        <v>449.76000000000005</v>
      </c>
      <c r="Z13" s="106">
        <v>0</v>
      </c>
      <c r="AA13" s="106">
        <v>0</v>
      </c>
      <c r="AB13" s="106">
        <v>6.0045928467548793</v>
      </c>
      <c r="AC13" s="106">
        <v>511.5913105435157</v>
      </c>
      <c r="AD13" s="106">
        <v>3.2286411268206185</v>
      </c>
      <c r="AE13" s="106">
        <v>275.08022400511669</v>
      </c>
      <c r="AF13" s="106">
        <v>4.7121881198562479</v>
      </c>
      <c r="AG13" s="106">
        <v>401.47842781175234</v>
      </c>
      <c r="AH13" s="106">
        <v>4.0666961913197524</v>
      </c>
      <c r="AI13" s="106">
        <v>346.4825155004429</v>
      </c>
      <c r="AJ13" s="106">
        <v>0</v>
      </c>
      <c r="AK13" s="106">
        <v>0</v>
      </c>
      <c r="AL13" s="106">
        <v>7.1854561480828547</v>
      </c>
      <c r="AM13" s="106">
        <v>612.20086381665919</v>
      </c>
      <c r="AN13" s="106">
        <v>0</v>
      </c>
      <c r="AO13" s="106">
        <v>0</v>
      </c>
      <c r="AP13" s="106">
        <v>7.3614936954413182</v>
      </c>
      <c r="AQ13" s="106">
        <v>627.19926285160034</v>
      </c>
      <c r="AR13" s="106">
        <v>0</v>
      </c>
      <c r="AS13" s="106">
        <v>0</v>
      </c>
      <c r="AT13" s="106">
        <v>10.214080242240726</v>
      </c>
      <c r="AU13" s="106">
        <v>870.23963663890993</v>
      </c>
      <c r="AV13" s="106">
        <v>0</v>
      </c>
      <c r="AW13" s="106">
        <v>0</v>
      </c>
      <c r="AX13" s="106">
        <v>8.4332594091248545</v>
      </c>
      <c r="AY13" s="106">
        <v>718.51370165743765</v>
      </c>
      <c r="AZ13" s="106">
        <v>20.890146618871174</v>
      </c>
      <c r="BA13" s="106">
        <v>1779.8404919278241</v>
      </c>
      <c r="BB13" s="106">
        <v>5.4272139774861001</v>
      </c>
      <c r="BC13" s="106">
        <v>462.39863088181573</v>
      </c>
      <c r="BD13" s="106">
        <v>6.5255166114853296</v>
      </c>
      <c r="BE13" s="106">
        <v>555.97401529855006</v>
      </c>
      <c r="BF13" s="106">
        <v>0</v>
      </c>
      <c r="BG13" s="106">
        <v>0</v>
      </c>
      <c r="BH13" s="106">
        <v>9.6171501665972059</v>
      </c>
      <c r="BI13" s="106">
        <v>819.38119419408201</v>
      </c>
      <c r="BJ13" s="106">
        <v>6.0634314785602772</v>
      </c>
      <c r="BK13" s="106">
        <v>516.60436197333559</v>
      </c>
      <c r="BL13" s="106">
        <v>5.8290659472135875</v>
      </c>
      <c r="BM13" s="106">
        <v>496.63641870259767</v>
      </c>
      <c r="BN13" s="106">
        <v>6.0510794896957796</v>
      </c>
      <c r="BO13" s="106">
        <v>515.5519725220804</v>
      </c>
      <c r="BP13" s="106">
        <v>0</v>
      </c>
      <c r="BQ13" s="106">
        <v>0</v>
      </c>
      <c r="BR13" s="106">
        <v>4.2431403249082944</v>
      </c>
      <c r="BS13" s="106">
        <v>361.51555568218669</v>
      </c>
      <c r="BT13" s="106">
        <v>6.7100949094046598</v>
      </c>
      <c r="BU13" s="106">
        <v>571.70008628127698</v>
      </c>
      <c r="BV13" s="106">
        <v>0</v>
      </c>
      <c r="BW13" s="106">
        <v>0</v>
      </c>
      <c r="BX13" s="106">
        <v>16.954354479357928</v>
      </c>
      <c r="BY13" s="106">
        <v>1444.5110016412955</v>
      </c>
      <c r="BZ13" s="106">
        <v>16.87639145712463</v>
      </c>
      <c r="CA13" s="106">
        <v>1437.8685521470186</v>
      </c>
      <c r="CB13" s="106">
        <v>7.6170561652679147</v>
      </c>
      <c r="CC13" s="106">
        <v>648.97318528082633</v>
      </c>
      <c r="CD13" s="106">
        <v>0</v>
      </c>
      <c r="CE13" s="106">
        <v>0</v>
      </c>
      <c r="CF13" s="106">
        <v>1.6329424181851535</v>
      </c>
      <c r="CG13" s="106">
        <v>139.12669402937507</v>
      </c>
      <c r="CH13" s="106">
        <v>3.6514364554148764</v>
      </c>
      <c r="CI13" s="106">
        <v>311.1023860013475</v>
      </c>
      <c r="CJ13" s="106">
        <v>1.7668643493415956</v>
      </c>
      <c r="CK13" s="106">
        <v>150.53684256390395</v>
      </c>
      <c r="CL13" s="106">
        <v>0</v>
      </c>
      <c r="CM13" s="106">
        <v>0</v>
      </c>
      <c r="CN13" s="106">
        <v>1.3488830131664149</v>
      </c>
      <c r="CO13" s="106">
        <v>114.92483272177856</v>
      </c>
      <c r="CP13" s="106">
        <v>0</v>
      </c>
      <c r="CQ13" s="106">
        <v>0</v>
      </c>
      <c r="CR13" s="106">
        <v>1.8970874211125206</v>
      </c>
      <c r="CS13" s="106">
        <v>161.63184827878675</v>
      </c>
      <c r="CT13" s="106">
        <v>2.7543687303743343</v>
      </c>
      <c r="CU13" s="106">
        <v>234.6722158278933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13.330517965814256</v>
      </c>
      <c r="O14" s="106">
        <v>6510.6249745036821</v>
      </c>
      <c r="P14" s="106">
        <v>4.7249476263829271</v>
      </c>
      <c r="Q14" s="106">
        <v>2307.6644207254217</v>
      </c>
      <c r="R14" s="106">
        <v>6.341317646868875</v>
      </c>
      <c r="S14" s="106">
        <v>3097.0995387307585</v>
      </c>
      <c r="T14" s="106">
        <v>2.640348560866121</v>
      </c>
      <c r="U14" s="106">
        <v>1289.5462371270135</v>
      </c>
      <c r="V14" s="106">
        <v>0</v>
      </c>
      <c r="W14" s="106">
        <v>0</v>
      </c>
      <c r="X14" s="106">
        <v>4.8804677119319697</v>
      </c>
      <c r="Y14" s="106">
        <v>2383.6204305075739</v>
      </c>
      <c r="Z14" s="106">
        <v>0</v>
      </c>
      <c r="AA14" s="106">
        <v>0</v>
      </c>
      <c r="AB14" s="106">
        <v>5.6579749252943685</v>
      </c>
      <c r="AC14" s="106">
        <v>2763.3549535137695</v>
      </c>
      <c r="AD14" s="106">
        <v>2.8525888388940848</v>
      </c>
      <c r="AE14" s="106">
        <v>1393.2043889158708</v>
      </c>
      <c r="AF14" s="106">
        <v>4.6702482001189862</v>
      </c>
      <c r="AG14" s="106">
        <v>2280.9492209381128</v>
      </c>
      <c r="AH14" s="106">
        <v>3.7347209920283437</v>
      </c>
      <c r="AI14" s="106">
        <v>1824.0377325066429</v>
      </c>
      <c r="AJ14" s="106">
        <v>0</v>
      </c>
      <c r="AK14" s="106">
        <v>0</v>
      </c>
      <c r="AL14" s="106">
        <v>7.6810048479506383</v>
      </c>
      <c r="AM14" s="106">
        <v>3751.4027677390914</v>
      </c>
      <c r="AN14" s="106">
        <v>0</v>
      </c>
      <c r="AO14" s="106">
        <v>0</v>
      </c>
      <c r="AP14" s="106">
        <v>7.0888457807953431</v>
      </c>
      <c r="AQ14" s="106">
        <v>3462.1922793404456</v>
      </c>
      <c r="AR14" s="106">
        <v>0</v>
      </c>
      <c r="AS14" s="106">
        <v>0</v>
      </c>
      <c r="AT14" s="106">
        <v>8.5117335352006069</v>
      </c>
      <c r="AU14" s="106">
        <v>4157.1306585919765</v>
      </c>
      <c r="AV14" s="106">
        <v>0</v>
      </c>
      <c r="AW14" s="106">
        <v>0</v>
      </c>
      <c r="AX14" s="106">
        <v>8.3775435784062591</v>
      </c>
      <c r="AY14" s="106">
        <v>4091.5922836936165</v>
      </c>
      <c r="AZ14" s="106">
        <v>19.946811768001261</v>
      </c>
      <c r="BA14" s="106">
        <v>9742.0228674918162</v>
      </c>
      <c r="BB14" s="106">
        <v>4.865901986028784</v>
      </c>
      <c r="BC14" s="106">
        <v>2376.5065299764578</v>
      </c>
      <c r="BD14" s="106">
        <v>5.455759789930358</v>
      </c>
      <c r="BE14" s="106">
        <v>2664.5930814019866</v>
      </c>
      <c r="BF14" s="106">
        <v>0</v>
      </c>
      <c r="BG14" s="106">
        <v>0</v>
      </c>
      <c r="BH14" s="106">
        <v>9.4402187460863836</v>
      </c>
      <c r="BI14" s="106">
        <v>4610.6028355885892</v>
      </c>
      <c r="BJ14" s="106">
        <v>5.0647204952899241</v>
      </c>
      <c r="BK14" s="106">
        <v>2473.6094898995989</v>
      </c>
      <c r="BL14" s="106">
        <v>4.9162622333427208</v>
      </c>
      <c r="BM14" s="106">
        <v>2401.1024747645847</v>
      </c>
      <c r="BN14" s="106">
        <v>6.3509077526987241</v>
      </c>
      <c r="BO14" s="106">
        <v>3101.7833464180567</v>
      </c>
      <c r="BP14" s="106">
        <v>0</v>
      </c>
      <c r="BQ14" s="106">
        <v>0</v>
      </c>
      <c r="BR14" s="106">
        <v>4.0002836394910162</v>
      </c>
      <c r="BS14" s="106">
        <v>1953.7385295274123</v>
      </c>
      <c r="BT14" s="106">
        <v>6.9018119068162207</v>
      </c>
      <c r="BU14" s="106">
        <v>3370.844935289042</v>
      </c>
      <c r="BV14" s="106">
        <v>0</v>
      </c>
      <c r="BW14" s="106">
        <v>0</v>
      </c>
      <c r="BX14" s="106">
        <v>12.835126690839003</v>
      </c>
      <c r="BY14" s="106">
        <v>6268.6758758057686</v>
      </c>
      <c r="BZ14" s="106">
        <v>14.245680596439305</v>
      </c>
      <c r="CA14" s="106">
        <v>6957.5904033009565</v>
      </c>
      <c r="CB14" s="106">
        <v>5.8311362169141381</v>
      </c>
      <c r="CC14" s="106">
        <v>2847.9269283408648</v>
      </c>
      <c r="CD14" s="106">
        <v>0</v>
      </c>
      <c r="CE14" s="106">
        <v>0</v>
      </c>
      <c r="CF14" s="106">
        <v>1.5834593146037852</v>
      </c>
      <c r="CG14" s="106">
        <v>773.36152925248871</v>
      </c>
      <c r="CH14" s="106">
        <v>3.7865455800849546</v>
      </c>
      <c r="CI14" s="106">
        <v>1849.3488613134916</v>
      </c>
      <c r="CJ14" s="106">
        <v>1.5006245158791633</v>
      </c>
      <c r="CK14" s="106">
        <v>732.90501355538333</v>
      </c>
      <c r="CL14" s="106">
        <v>0</v>
      </c>
      <c r="CM14" s="106">
        <v>0</v>
      </c>
      <c r="CN14" s="106">
        <v>1.5377266350097127</v>
      </c>
      <c r="CO14" s="106">
        <v>751.02568853874368</v>
      </c>
      <c r="CP14" s="106">
        <v>0</v>
      </c>
      <c r="CQ14" s="106">
        <v>0</v>
      </c>
      <c r="CR14" s="106">
        <v>1.9390258495933683</v>
      </c>
      <c r="CS14" s="106">
        <v>947.02022494140101</v>
      </c>
      <c r="CT14" s="106">
        <v>2.6485587257421415</v>
      </c>
      <c r="CU14" s="106">
        <v>1293.5560816524619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13.11287685616831</v>
      </c>
      <c r="O15" s="106">
        <v>10007.747616627654</v>
      </c>
      <c r="P15" s="106">
        <v>4.3526790255163936</v>
      </c>
      <c r="Q15" s="106">
        <v>3321.9646322741114</v>
      </c>
      <c r="R15" s="106">
        <v>6.6445980560669513</v>
      </c>
      <c r="S15" s="106">
        <v>5071.1572363902969</v>
      </c>
      <c r="T15" s="106">
        <v>2.706357274887774</v>
      </c>
      <c r="U15" s="106">
        <v>2065.4918721943491</v>
      </c>
      <c r="V15" s="106">
        <v>0</v>
      </c>
      <c r="W15" s="106">
        <v>0</v>
      </c>
      <c r="X15" s="106">
        <v>4.5816635663034813</v>
      </c>
      <c r="Y15" s="106">
        <v>3496.7256338028164</v>
      </c>
      <c r="Z15" s="106">
        <v>0</v>
      </c>
      <c r="AA15" s="106">
        <v>0</v>
      </c>
      <c r="AB15" s="106">
        <v>5.6244706767894685</v>
      </c>
      <c r="AC15" s="106">
        <v>4292.5960205257225</v>
      </c>
      <c r="AD15" s="106">
        <v>3.1813163200293624</v>
      </c>
      <c r="AE15" s="106">
        <v>2427.980615446409</v>
      </c>
      <c r="AF15" s="106">
        <v>4.0222424205533081</v>
      </c>
      <c r="AG15" s="106">
        <v>3069.7754153662845</v>
      </c>
      <c r="AH15" s="106">
        <v>3.3197519929140835</v>
      </c>
      <c r="AI15" s="106">
        <v>2533.6347209920282</v>
      </c>
      <c r="AJ15" s="106">
        <v>0</v>
      </c>
      <c r="AK15" s="106">
        <v>0</v>
      </c>
      <c r="AL15" s="106">
        <v>7.433230498016747</v>
      </c>
      <c r="AM15" s="106">
        <v>5673.0415160863804</v>
      </c>
      <c r="AN15" s="106">
        <v>0</v>
      </c>
      <c r="AO15" s="106">
        <v>0</v>
      </c>
      <c r="AP15" s="106">
        <v>6.8161978661493681</v>
      </c>
      <c r="AQ15" s="106">
        <v>5202.1222114451975</v>
      </c>
      <c r="AR15" s="106">
        <v>0</v>
      </c>
      <c r="AS15" s="106">
        <v>0</v>
      </c>
      <c r="AT15" s="106">
        <v>7.9442846328538987</v>
      </c>
      <c r="AU15" s="106">
        <v>6063.0780317940953</v>
      </c>
      <c r="AV15" s="106">
        <v>0</v>
      </c>
      <c r="AW15" s="106">
        <v>0</v>
      </c>
      <c r="AX15" s="106">
        <v>8.1802060543567769</v>
      </c>
      <c r="AY15" s="106">
        <v>6243.133260685092</v>
      </c>
      <c r="AZ15" s="106">
        <v>18.385664331364122</v>
      </c>
      <c r="BA15" s="106">
        <v>14031.939017697097</v>
      </c>
      <c r="BB15" s="106">
        <v>5.3581172983523304</v>
      </c>
      <c r="BC15" s="106">
        <v>4089.3151221024982</v>
      </c>
      <c r="BD15" s="106">
        <v>4.7497202877040756</v>
      </c>
      <c r="BE15" s="106">
        <v>3624.9865235757502</v>
      </c>
      <c r="BF15" s="106">
        <v>0</v>
      </c>
      <c r="BG15" s="106">
        <v>0</v>
      </c>
      <c r="BH15" s="106">
        <v>8.5669338271920346</v>
      </c>
      <c r="BI15" s="106">
        <v>6538.2838969129598</v>
      </c>
      <c r="BJ15" s="106">
        <v>5.0687406785849438</v>
      </c>
      <c r="BK15" s="106">
        <v>3868.4628858960286</v>
      </c>
      <c r="BL15" s="106">
        <v>4.6076900816557442</v>
      </c>
      <c r="BM15" s="106">
        <v>3516.5890703196637</v>
      </c>
      <c r="BN15" s="106">
        <v>5.0698233562315993</v>
      </c>
      <c r="BO15" s="106">
        <v>3869.2891854759564</v>
      </c>
      <c r="BP15" s="106">
        <v>0</v>
      </c>
      <c r="BQ15" s="106">
        <v>0</v>
      </c>
      <c r="BR15" s="106">
        <v>3.7054601190912786</v>
      </c>
      <c r="BS15" s="106">
        <v>2828.0071628904634</v>
      </c>
      <c r="BT15" s="106">
        <v>6.1349439171699736</v>
      </c>
      <c r="BU15" s="106">
        <v>4682.1891975841236</v>
      </c>
      <c r="BV15" s="106">
        <v>0</v>
      </c>
      <c r="BW15" s="106">
        <v>0</v>
      </c>
      <c r="BX15" s="106">
        <v>12.130225610212507</v>
      </c>
      <c r="BY15" s="106">
        <v>9257.7881857141856</v>
      </c>
      <c r="BZ15" s="106">
        <v>14.903667229409352</v>
      </c>
      <c r="CA15" s="106">
        <v>11374.478829485217</v>
      </c>
      <c r="CB15" s="106">
        <v>5.3792769528728215</v>
      </c>
      <c r="CC15" s="106">
        <v>4105.4641704325368</v>
      </c>
      <c r="CD15" s="106">
        <v>0</v>
      </c>
      <c r="CE15" s="106">
        <v>0</v>
      </c>
      <c r="CF15" s="106">
        <v>1.5339762110224169</v>
      </c>
      <c r="CG15" s="106">
        <v>1170.7306442523084</v>
      </c>
      <c r="CH15" s="106">
        <v>3.3265711468055521</v>
      </c>
      <c r="CI15" s="106">
        <v>2538.8390992419972</v>
      </c>
      <c r="CJ15" s="106">
        <v>1.4764208946553059</v>
      </c>
      <c r="CK15" s="106">
        <v>1126.8044268009294</v>
      </c>
      <c r="CL15" s="106">
        <v>0</v>
      </c>
      <c r="CM15" s="106">
        <v>0</v>
      </c>
      <c r="CN15" s="106">
        <v>1.2409723721131016</v>
      </c>
      <c r="CO15" s="106">
        <v>947.11011439671904</v>
      </c>
      <c r="CP15" s="106">
        <v>0</v>
      </c>
      <c r="CQ15" s="106">
        <v>0</v>
      </c>
      <c r="CR15" s="106">
        <v>1.643336296868958</v>
      </c>
      <c r="CS15" s="106">
        <v>1254.1942617703887</v>
      </c>
      <c r="CT15" s="106">
        <v>2.2542723922507242</v>
      </c>
      <c r="CU15" s="106">
        <v>1720.4606897657525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12.677594636876414</v>
      </c>
      <c r="O16" s="106">
        <v>4320.5242522474819</v>
      </c>
      <c r="P16" s="106">
        <v>4.4099511179573989</v>
      </c>
      <c r="Q16" s="106">
        <v>1502.9113409998815</v>
      </c>
      <c r="R16" s="106">
        <v>7.6095811762426493</v>
      </c>
      <c r="S16" s="106">
        <v>2593.3452648634948</v>
      </c>
      <c r="T16" s="106">
        <v>2.5083311328228146</v>
      </c>
      <c r="U16" s="106">
        <v>854.83925006601521</v>
      </c>
      <c r="V16" s="106">
        <v>0</v>
      </c>
      <c r="W16" s="106">
        <v>0</v>
      </c>
      <c r="X16" s="106">
        <v>5.6772787669412708</v>
      </c>
      <c r="Y16" s="106">
        <v>1934.816603773585</v>
      </c>
      <c r="Z16" s="106">
        <v>0</v>
      </c>
      <c r="AA16" s="106">
        <v>0</v>
      </c>
      <c r="AB16" s="106">
        <v>6.0630300983254752</v>
      </c>
      <c r="AC16" s="106">
        <v>2066.2806575093218</v>
      </c>
      <c r="AD16" s="106">
        <v>3.2455428435317817</v>
      </c>
      <c r="AE16" s="106">
        <v>1106.0810010756313</v>
      </c>
      <c r="AF16" s="106">
        <v>4.1853955122562532</v>
      </c>
      <c r="AG16" s="106">
        <v>1426.382790576931</v>
      </c>
      <c r="AH16" s="106">
        <v>4.0666961913197524</v>
      </c>
      <c r="AI16" s="106">
        <v>1385.9300620017716</v>
      </c>
      <c r="AJ16" s="106">
        <v>0</v>
      </c>
      <c r="AK16" s="106">
        <v>0</v>
      </c>
      <c r="AL16" s="106">
        <v>6.4421330982811797</v>
      </c>
      <c r="AM16" s="106">
        <v>2195.4789598942261</v>
      </c>
      <c r="AN16" s="106">
        <v>0</v>
      </c>
      <c r="AO16" s="106">
        <v>0</v>
      </c>
      <c r="AP16" s="106">
        <v>5.9982541222114447</v>
      </c>
      <c r="AQ16" s="106">
        <v>2044.2050048496603</v>
      </c>
      <c r="AR16" s="106">
        <v>0</v>
      </c>
      <c r="AS16" s="106">
        <v>0</v>
      </c>
      <c r="AT16" s="106">
        <v>9.6466313398940198</v>
      </c>
      <c r="AU16" s="106">
        <v>3287.5719606358821</v>
      </c>
      <c r="AV16" s="106">
        <v>0</v>
      </c>
      <c r="AW16" s="106">
        <v>0</v>
      </c>
      <c r="AX16" s="106">
        <v>7.2899552902124549</v>
      </c>
      <c r="AY16" s="106">
        <v>2484.4167629044045</v>
      </c>
      <c r="AZ16" s="106">
        <v>18.387717298925832</v>
      </c>
      <c r="BA16" s="106">
        <v>6266.5340554739241</v>
      </c>
      <c r="BB16" s="106">
        <v>5.4272139774861001</v>
      </c>
      <c r="BC16" s="106">
        <v>1849.5945235272629</v>
      </c>
      <c r="BD16" s="106">
        <v>5.8408722456901474</v>
      </c>
      <c r="BE16" s="106">
        <v>1990.5692613312024</v>
      </c>
      <c r="BF16" s="106">
        <v>0</v>
      </c>
      <c r="BG16" s="106">
        <v>0</v>
      </c>
      <c r="BH16" s="106">
        <v>10.296568261860561</v>
      </c>
      <c r="BI16" s="106">
        <v>3509.0704636420792</v>
      </c>
      <c r="BJ16" s="106">
        <v>5.2069011906923084</v>
      </c>
      <c r="BK16" s="106">
        <v>1774.5119257879387</v>
      </c>
      <c r="BL16" s="106">
        <v>5.7805242945107036</v>
      </c>
      <c r="BM16" s="106">
        <v>1970.0026795692479</v>
      </c>
      <c r="BN16" s="106">
        <v>5.9420510304219816</v>
      </c>
      <c r="BO16" s="106">
        <v>2025.0509911678114</v>
      </c>
      <c r="BP16" s="106">
        <v>0</v>
      </c>
      <c r="BQ16" s="106">
        <v>0</v>
      </c>
      <c r="BR16" s="106">
        <v>4.1367874082374678</v>
      </c>
      <c r="BS16" s="106">
        <v>1409.8171487273291</v>
      </c>
      <c r="BT16" s="106">
        <v>5.7515099223468509</v>
      </c>
      <c r="BU16" s="106">
        <v>1960.1145815358068</v>
      </c>
      <c r="BV16" s="106">
        <v>0</v>
      </c>
      <c r="BW16" s="106">
        <v>0</v>
      </c>
      <c r="BX16" s="106">
        <v>14.298699659633323</v>
      </c>
      <c r="BY16" s="106">
        <v>4872.996844003037</v>
      </c>
      <c r="BZ16" s="106">
        <v>16.69459540215399</v>
      </c>
      <c r="CA16" s="106">
        <v>5689.5181130540795</v>
      </c>
      <c r="CB16" s="106">
        <v>7.1006455777921236</v>
      </c>
      <c r="CC16" s="106">
        <v>2419.9000129115557</v>
      </c>
      <c r="CD16" s="106">
        <v>0</v>
      </c>
      <c r="CE16" s="106">
        <v>0</v>
      </c>
      <c r="CF16" s="106">
        <v>1.6494367860456094</v>
      </c>
      <c r="CG16" s="106">
        <v>562.12805668434373</v>
      </c>
      <c r="CH16" s="106">
        <v>3.5607983712595797</v>
      </c>
      <c r="CI16" s="106">
        <v>1213.5200849252649</v>
      </c>
      <c r="CJ16" s="106">
        <v>1.5490317583268784</v>
      </c>
      <c r="CK16" s="106">
        <v>527.91002323780015</v>
      </c>
      <c r="CL16" s="106">
        <v>0</v>
      </c>
      <c r="CM16" s="106">
        <v>0</v>
      </c>
      <c r="CN16" s="106">
        <v>1.4837713144830564</v>
      </c>
      <c r="CO16" s="106">
        <v>505.66926397582563</v>
      </c>
      <c r="CP16" s="106">
        <v>0</v>
      </c>
      <c r="CQ16" s="106">
        <v>0</v>
      </c>
      <c r="CR16" s="106">
        <v>1.7904704444918194</v>
      </c>
      <c r="CS16" s="106">
        <v>610.19232748281206</v>
      </c>
      <c r="CT16" s="106">
        <v>2.5872003173276656</v>
      </c>
      <c r="CU16" s="106">
        <v>881.71786814526843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13.004056301345337</v>
      </c>
      <c r="O17" s="106">
        <v>5492.9133816882695</v>
      </c>
      <c r="P17" s="106">
        <v>5.0113080885879535</v>
      </c>
      <c r="Q17" s="106">
        <v>2116.7765366195513</v>
      </c>
      <c r="R17" s="106">
        <v>7.1684460355909021</v>
      </c>
      <c r="S17" s="106">
        <v>3027.9516054335968</v>
      </c>
      <c r="T17" s="106">
        <v>2.9043834169527329</v>
      </c>
      <c r="U17" s="106">
        <v>1226.8115553208343</v>
      </c>
      <c r="V17" s="106">
        <v>0</v>
      </c>
      <c r="W17" s="106">
        <v>0</v>
      </c>
      <c r="X17" s="106">
        <v>4.7808663300558063</v>
      </c>
      <c r="Y17" s="106">
        <v>2019.4379378155725</v>
      </c>
      <c r="Z17" s="106">
        <v>0</v>
      </c>
      <c r="AA17" s="106">
        <v>0</v>
      </c>
      <c r="AB17" s="106">
        <v>5.6244706767894685</v>
      </c>
      <c r="AC17" s="106">
        <v>2375.7764138758712</v>
      </c>
      <c r="AD17" s="106">
        <v>3.4184408601488729</v>
      </c>
      <c r="AE17" s="106">
        <v>1443.9494193268838</v>
      </c>
      <c r="AF17" s="106">
        <v>4.4362098401350725</v>
      </c>
      <c r="AG17" s="106">
        <v>1873.8550364730545</v>
      </c>
      <c r="AH17" s="106">
        <v>4.0666961913197524</v>
      </c>
      <c r="AI17" s="106">
        <v>1717.7724712134634</v>
      </c>
      <c r="AJ17" s="106">
        <v>0</v>
      </c>
      <c r="AK17" s="106">
        <v>0</v>
      </c>
      <c r="AL17" s="106">
        <v>7.1854561480828547</v>
      </c>
      <c r="AM17" s="106">
        <v>3035.1366769501979</v>
      </c>
      <c r="AN17" s="106">
        <v>0</v>
      </c>
      <c r="AO17" s="106">
        <v>0</v>
      </c>
      <c r="AP17" s="106">
        <v>6.2709020368574198</v>
      </c>
      <c r="AQ17" s="106">
        <v>2648.8290203685738</v>
      </c>
      <c r="AR17" s="106">
        <v>0</v>
      </c>
      <c r="AS17" s="106">
        <v>0</v>
      </c>
      <c r="AT17" s="106">
        <v>9.3629068887206675</v>
      </c>
      <c r="AU17" s="106">
        <v>3954.8918697956096</v>
      </c>
      <c r="AV17" s="106">
        <v>0</v>
      </c>
      <c r="AW17" s="106">
        <v>0</v>
      </c>
      <c r="AX17" s="106">
        <v>8.1346203746779295</v>
      </c>
      <c r="AY17" s="106">
        <v>3436.0636462639573</v>
      </c>
      <c r="AZ17" s="106">
        <v>19.466932472319456</v>
      </c>
      <c r="BA17" s="106">
        <v>8222.8322763077376</v>
      </c>
      <c r="BB17" s="106">
        <v>5.2477081887547685</v>
      </c>
      <c r="BC17" s="106">
        <v>2216.6319389300143</v>
      </c>
      <c r="BD17" s="106">
        <v>5.9478479278456442</v>
      </c>
      <c r="BE17" s="106">
        <v>2512.3709647219998</v>
      </c>
      <c r="BF17" s="106">
        <v>0</v>
      </c>
      <c r="BG17" s="106">
        <v>0</v>
      </c>
      <c r="BH17" s="106">
        <v>9.5332713821741777</v>
      </c>
      <c r="BI17" s="106">
        <v>4026.8538318303727</v>
      </c>
      <c r="BJ17" s="106">
        <v>5.3994220182424622</v>
      </c>
      <c r="BK17" s="106">
        <v>2280.7158605056161</v>
      </c>
      <c r="BL17" s="106">
        <v>4.8849165194500035</v>
      </c>
      <c r="BM17" s="106">
        <v>2063.3887378156815</v>
      </c>
      <c r="BN17" s="106">
        <v>5.3969087340529933</v>
      </c>
      <c r="BO17" s="106">
        <v>2279.6542492639842</v>
      </c>
      <c r="BP17" s="106">
        <v>0</v>
      </c>
      <c r="BQ17" s="106">
        <v>0</v>
      </c>
      <c r="BR17" s="106">
        <v>4.1313334125107586</v>
      </c>
      <c r="BS17" s="106">
        <v>1745.0752334445444</v>
      </c>
      <c r="BT17" s="106">
        <v>6.518377911993098</v>
      </c>
      <c r="BU17" s="106">
        <v>2753.3628300258843</v>
      </c>
      <c r="BV17" s="106">
        <v>0</v>
      </c>
      <c r="BW17" s="106">
        <v>0</v>
      </c>
      <c r="BX17" s="106">
        <v>15.783171754079291</v>
      </c>
      <c r="BY17" s="106">
        <v>6666.8117489230917</v>
      </c>
      <c r="BZ17" s="106">
        <v>17.228900623643437</v>
      </c>
      <c r="CA17" s="106">
        <v>7277.4876234269877</v>
      </c>
      <c r="CB17" s="106">
        <v>6.4766494512588766</v>
      </c>
      <c r="CC17" s="106">
        <v>2735.7367282117493</v>
      </c>
      <c r="CD17" s="106">
        <v>0</v>
      </c>
      <c r="CE17" s="106">
        <v>0</v>
      </c>
      <c r="CF17" s="106">
        <v>1.6989198896269777</v>
      </c>
      <c r="CG17" s="106">
        <v>717.62376137843535</v>
      </c>
      <c r="CH17" s="106">
        <v>3.7454665458216327</v>
      </c>
      <c r="CI17" s="106">
        <v>1582.0850689550575</v>
      </c>
      <c r="CJ17" s="106">
        <v>1.6700498644461657</v>
      </c>
      <c r="CK17" s="106">
        <v>705.4290627420603</v>
      </c>
      <c r="CL17" s="106">
        <v>0</v>
      </c>
      <c r="CM17" s="106">
        <v>0</v>
      </c>
      <c r="CN17" s="106">
        <v>1.5107489747463845</v>
      </c>
      <c r="CO17" s="106">
        <v>638.14036693287278</v>
      </c>
      <c r="CP17" s="106">
        <v>0</v>
      </c>
      <c r="CQ17" s="106">
        <v>0</v>
      </c>
      <c r="CR17" s="106">
        <v>1.7997086181032906</v>
      </c>
      <c r="CS17" s="106">
        <v>760.19692028682994</v>
      </c>
      <c r="CT17" s="106">
        <v>2.7487331263087484</v>
      </c>
      <c r="CU17" s="106">
        <v>1161.0648725528154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13.167287133579796</v>
      </c>
      <c r="O18" s="106">
        <v>8595.6050408008905</v>
      </c>
      <c r="P18" s="106">
        <v>4.6676755339419227</v>
      </c>
      <c r="Q18" s="106">
        <v>3047.0585885572868</v>
      </c>
      <c r="R18" s="106">
        <v>6.4240304857410768</v>
      </c>
      <c r="S18" s="106">
        <v>4193.6071010917749</v>
      </c>
      <c r="T18" s="106">
        <v>2.3763137047795087</v>
      </c>
      <c r="U18" s="106">
        <v>1551.2575864800631</v>
      </c>
      <c r="V18" s="106">
        <v>0</v>
      </c>
      <c r="W18" s="106">
        <v>0</v>
      </c>
      <c r="X18" s="106">
        <v>4.6812649481796438</v>
      </c>
      <c r="Y18" s="106">
        <v>3055.9297581716714</v>
      </c>
      <c r="Z18" s="106">
        <v>0</v>
      </c>
      <c r="AA18" s="106">
        <v>0</v>
      </c>
      <c r="AB18" s="106">
        <v>5.3640065371987031</v>
      </c>
      <c r="AC18" s="106">
        <v>3501.6234674833131</v>
      </c>
      <c r="AD18" s="106">
        <v>3.2659917389729207</v>
      </c>
      <c r="AE18" s="106">
        <v>2132.0394072015224</v>
      </c>
      <c r="AF18" s="106">
        <v>4.0138544366058548</v>
      </c>
      <c r="AG18" s="106">
        <v>2620.2441762163016</v>
      </c>
      <c r="AH18" s="106">
        <v>4.0666961913197524</v>
      </c>
      <c r="AI18" s="106">
        <v>2654.739273693534</v>
      </c>
      <c r="AJ18" s="106">
        <v>0</v>
      </c>
      <c r="AK18" s="106">
        <v>0</v>
      </c>
      <c r="AL18" s="106">
        <v>6.4421330982811797</v>
      </c>
      <c r="AM18" s="106">
        <v>4205.424486557954</v>
      </c>
      <c r="AN18" s="106">
        <v>0</v>
      </c>
      <c r="AO18" s="106">
        <v>0</v>
      </c>
      <c r="AP18" s="106">
        <v>6.5435499515033939</v>
      </c>
      <c r="AQ18" s="106">
        <v>4271.629408341415</v>
      </c>
      <c r="AR18" s="106">
        <v>0</v>
      </c>
      <c r="AS18" s="106">
        <v>0</v>
      </c>
      <c r="AT18" s="106">
        <v>9.0791824375473134</v>
      </c>
      <c r="AU18" s="106">
        <v>5926.8902952308854</v>
      </c>
      <c r="AV18" s="106">
        <v>0</v>
      </c>
      <c r="AW18" s="106">
        <v>0</v>
      </c>
      <c r="AX18" s="106">
        <v>8.261046841449204</v>
      </c>
      <c r="AY18" s="106">
        <v>5392.8113780980402</v>
      </c>
      <c r="AZ18" s="106">
        <v>18.01497677990379</v>
      </c>
      <c r="BA18" s="106">
        <v>11760.176841921193</v>
      </c>
      <c r="BB18" s="106">
        <v>5.0026697376087084</v>
      </c>
      <c r="BC18" s="106">
        <v>3265.7428047109647</v>
      </c>
      <c r="BD18" s="106">
        <v>4.9422765155839707</v>
      </c>
      <c r="BE18" s="106">
        <v>3226.318109373216</v>
      </c>
      <c r="BF18" s="106">
        <v>0</v>
      </c>
      <c r="BG18" s="106">
        <v>0</v>
      </c>
      <c r="BH18" s="106">
        <v>9.1983703135136032</v>
      </c>
      <c r="BI18" s="106">
        <v>6004.6961406616801</v>
      </c>
      <c r="BJ18" s="106">
        <v>4.9549761175466944</v>
      </c>
      <c r="BK18" s="106">
        <v>3234.6084095344818</v>
      </c>
      <c r="BL18" s="106">
        <v>5.131447334462667</v>
      </c>
      <c r="BM18" s="106">
        <v>3349.8088199372287</v>
      </c>
      <c r="BN18" s="106">
        <v>5.3423945044160934</v>
      </c>
      <c r="BO18" s="106">
        <v>3487.5151324828257</v>
      </c>
      <c r="BP18" s="106">
        <v>0</v>
      </c>
      <c r="BQ18" s="106">
        <v>0</v>
      </c>
      <c r="BR18" s="106">
        <v>4.0822474509703772</v>
      </c>
      <c r="BS18" s="106">
        <v>2664.8911359934623</v>
      </c>
      <c r="BT18" s="106">
        <v>5.9432269197584127</v>
      </c>
      <c r="BU18" s="106">
        <v>3879.7385332182916</v>
      </c>
      <c r="BV18" s="106">
        <v>0</v>
      </c>
      <c r="BW18" s="106">
        <v>0</v>
      </c>
      <c r="BX18" s="106">
        <v>12.61659550490835</v>
      </c>
      <c r="BY18" s="106">
        <v>8236.1135456041702</v>
      </c>
      <c r="BZ18" s="106">
        <v>14.251858952413635</v>
      </c>
      <c r="CA18" s="106">
        <v>9303.6135241356205</v>
      </c>
      <c r="CB18" s="106">
        <v>5.5083795997417697</v>
      </c>
      <c r="CC18" s="106">
        <v>3595.8702027114268</v>
      </c>
      <c r="CD18" s="106">
        <v>0</v>
      </c>
      <c r="CE18" s="106">
        <v>0</v>
      </c>
      <c r="CF18" s="106">
        <v>1.5834593146037852</v>
      </c>
      <c r="CG18" s="106">
        <v>1033.682240573351</v>
      </c>
      <c r="CH18" s="106">
        <v>3.5565583634452538</v>
      </c>
      <c r="CI18" s="106">
        <v>2321.7212996570615</v>
      </c>
      <c r="CJ18" s="106">
        <v>1.5732353795507357</v>
      </c>
      <c r="CK18" s="106">
        <v>1027.0080557707201</v>
      </c>
      <c r="CL18" s="106">
        <v>0</v>
      </c>
      <c r="CM18" s="106">
        <v>0</v>
      </c>
      <c r="CN18" s="106">
        <v>1.4837713144830564</v>
      </c>
      <c r="CO18" s="106">
        <v>968.60591409453923</v>
      </c>
      <c r="CP18" s="106">
        <v>0</v>
      </c>
      <c r="CQ18" s="106">
        <v>0</v>
      </c>
      <c r="CR18" s="106">
        <v>1.6483106980443658</v>
      </c>
      <c r="CS18" s="106">
        <v>1076.0172236833619</v>
      </c>
      <c r="CT18" s="106">
        <v>2.5371131170443615</v>
      </c>
      <c r="CU18" s="106">
        <v>1656.2274428065591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12.623184359464929</v>
      </c>
      <c r="O19" s="106">
        <v>4165.6508386234264</v>
      </c>
      <c r="P19" s="106">
        <v>4.8681278574854403</v>
      </c>
      <c r="Q19" s="106">
        <v>1606.4821929701952</v>
      </c>
      <c r="R19" s="106">
        <v>7.5544392836611811</v>
      </c>
      <c r="S19" s="106">
        <v>2492.9649636081899</v>
      </c>
      <c r="T19" s="106">
        <v>2.772365988909427</v>
      </c>
      <c r="U19" s="106">
        <v>914.88077634011086</v>
      </c>
      <c r="V19" s="106">
        <v>0</v>
      </c>
      <c r="W19" s="106">
        <v>0</v>
      </c>
      <c r="X19" s="106">
        <v>5.6772787669412708</v>
      </c>
      <c r="Y19" s="106">
        <v>1873.5019930906194</v>
      </c>
      <c r="Z19" s="106">
        <v>0</v>
      </c>
      <c r="AA19" s="106">
        <v>0</v>
      </c>
      <c r="AB19" s="106">
        <v>5.5957527494995531</v>
      </c>
      <c r="AC19" s="106">
        <v>1846.5984073348525</v>
      </c>
      <c r="AD19" s="106">
        <v>3.4963555924079661</v>
      </c>
      <c r="AE19" s="106">
        <v>1153.7973454946289</v>
      </c>
      <c r="AF19" s="106">
        <v>4.1308736165978122</v>
      </c>
      <c r="AG19" s="106">
        <v>1363.188293477278</v>
      </c>
      <c r="AH19" s="106">
        <v>3.9007085916740483</v>
      </c>
      <c r="AI19" s="106">
        <v>1287.2338352524359</v>
      </c>
      <c r="AJ19" s="106">
        <v>0</v>
      </c>
      <c r="AK19" s="106">
        <v>0</v>
      </c>
      <c r="AL19" s="106">
        <v>7.9287791978845297</v>
      </c>
      <c r="AM19" s="106">
        <v>2616.497135301895</v>
      </c>
      <c r="AN19" s="106">
        <v>0</v>
      </c>
      <c r="AO19" s="106">
        <v>0</v>
      </c>
      <c r="AP19" s="106">
        <v>6.8161978661493681</v>
      </c>
      <c r="AQ19" s="106">
        <v>2249.3452958292914</v>
      </c>
      <c r="AR19" s="106">
        <v>0</v>
      </c>
      <c r="AS19" s="106">
        <v>0</v>
      </c>
      <c r="AT19" s="106">
        <v>8.5117335352006069</v>
      </c>
      <c r="AU19" s="106">
        <v>2808.8720666162003</v>
      </c>
      <c r="AV19" s="106">
        <v>0</v>
      </c>
      <c r="AW19" s="106">
        <v>0</v>
      </c>
      <c r="AX19" s="106">
        <v>7.9982641780924357</v>
      </c>
      <c r="AY19" s="106">
        <v>2639.4271787705038</v>
      </c>
      <c r="AZ19" s="106">
        <v>19.590494989472901</v>
      </c>
      <c r="BA19" s="106">
        <v>6464.8633465260573</v>
      </c>
      <c r="BB19" s="106">
        <v>5.4272139774861001</v>
      </c>
      <c r="BC19" s="106">
        <v>1790.9806125704131</v>
      </c>
      <c r="BD19" s="106">
        <v>5.691106290672451</v>
      </c>
      <c r="BE19" s="106">
        <v>1878.0650759219088</v>
      </c>
      <c r="BF19" s="106">
        <v>0</v>
      </c>
      <c r="BG19" s="106">
        <v>0</v>
      </c>
      <c r="BH19" s="106">
        <v>9.8880184357507002</v>
      </c>
      <c r="BI19" s="106">
        <v>3263.0460837977312</v>
      </c>
      <c r="BJ19" s="106">
        <v>5.6971425570889407</v>
      </c>
      <c r="BK19" s="106">
        <v>1880.0570438393504</v>
      </c>
      <c r="BL19" s="106">
        <v>5.8196748627117225</v>
      </c>
      <c r="BM19" s="106">
        <v>1920.4927046948685</v>
      </c>
      <c r="BN19" s="106">
        <v>6.0510794896957796</v>
      </c>
      <c r="BO19" s="106">
        <v>1996.8562315996073</v>
      </c>
      <c r="BP19" s="106">
        <v>0</v>
      </c>
      <c r="BQ19" s="106">
        <v>0</v>
      </c>
      <c r="BR19" s="106">
        <v>3.8661991174504706</v>
      </c>
      <c r="BS19" s="106">
        <v>1275.8457087586553</v>
      </c>
      <c r="BT19" s="106">
        <v>6.7100949094046598</v>
      </c>
      <c r="BU19" s="106">
        <v>2214.3313201035376</v>
      </c>
      <c r="BV19" s="106">
        <v>0</v>
      </c>
      <c r="BW19" s="106">
        <v>0</v>
      </c>
      <c r="BX19" s="106">
        <v>15.706675616336886</v>
      </c>
      <c r="BY19" s="106">
        <v>5183.2029533911727</v>
      </c>
      <c r="BZ19" s="106">
        <v>17.557893940128462</v>
      </c>
      <c r="CA19" s="106">
        <v>5794.1050002423926</v>
      </c>
      <c r="CB19" s="106">
        <v>6.1754099418979989</v>
      </c>
      <c r="CC19" s="106">
        <v>2037.8852808263396</v>
      </c>
      <c r="CD19" s="106">
        <v>0</v>
      </c>
      <c r="CE19" s="106">
        <v>0</v>
      </c>
      <c r="CF19" s="106">
        <v>1.6164480503246974</v>
      </c>
      <c r="CG19" s="106">
        <v>533.42785660715015</v>
      </c>
      <c r="CH19" s="106">
        <v>4.1533379245204651</v>
      </c>
      <c r="CI19" s="106">
        <v>1370.6015150917535</v>
      </c>
      <c r="CJ19" s="106">
        <v>1.6942534856700233</v>
      </c>
      <c r="CK19" s="106">
        <v>559.10365027110765</v>
      </c>
      <c r="CL19" s="106">
        <v>0</v>
      </c>
      <c r="CM19" s="106">
        <v>0</v>
      </c>
      <c r="CN19" s="106">
        <v>1.4028383336930714</v>
      </c>
      <c r="CO19" s="106">
        <v>462.93665011871354</v>
      </c>
      <c r="CP19" s="106">
        <v>0</v>
      </c>
      <c r="CQ19" s="106">
        <v>0</v>
      </c>
      <c r="CR19" s="106">
        <v>1.8452001902808581</v>
      </c>
      <c r="CS19" s="106">
        <v>608.91606279268319</v>
      </c>
      <c r="CT19" s="106">
        <v>2.8058648316740347</v>
      </c>
      <c r="CU19" s="106">
        <v>925.93539445243141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7.3999927742999629</v>
      </c>
      <c r="O20" s="106">
        <v>2122.3179276692294</v>
      </c>
      <c r="P20" s="106">
        <v>3.2258965765503267</v>
      </c>
      <c r="Q20" s="106">
        <v>925.18713815463377</v>
      </c>
      <c r="R20" s="106">
        <v>3.2855892605367516</v>
      </c>
      <c r="S20" s="106">
        <v>942.30699992194036</v>
      </c>
      <c r="T20" s="106">
        <v>4.8186361235806707</v>
      </c>
      <c r="U20" s="106">
        <v>1381.9848402429363</v>
      </c>
      <c r="V20" s="106">
        <v>0</v>
      </c>
      <c r="W20" s="106">
        <v>0</v>
      </c>
      <c r="X20" s="106">
        <v>7.2709008769598729</v>
      </c>
      <c r="Y20" s="106">
        <v>2085.2943715120914</v>
      </c>
      <c r="Z20" s="106">
        <v>0</v>
      </c>
      <c r="AA20" s="106">
        <v>0</v>
      </c>
      <c r="AB20" s="106">
        <v>6.4834456319923026</v>
      </c>
      <c r="AC20" s="106">
        <v>1859.4522072553925</v>
      </c>
      <c r="AD20" s="106">
        <v>3.1747224687326399</v>
      </c>
      <c r="AE20" s="106">
        <v>910.51040403252114</v>
      </c>
      <c r="AF20" s="106">
        <v>8.69084023958278</v>
      </c>
      <c r="AG20" s="106">
        <v>2492.5329807123412</v>
      </c>
      <c r="AH20" s="106">
        <v>4.7306465899025687</v>
      </c>
      <c r="AI20" s="106">
        <v>1356.7494419840568</v>
      </c>
      <c r="AJ20" s="106">
        <v>0</v>
      </c>
      <c r="AK20" s="106">
        <v>0</v>
      </c>
      <c r="AL20" s="106">
        <v>12.63649184662847</v>
      </c>
      <c r="AM20" s="106">
        <v>3624.1458616130453</v>
      </c>
      <c r="AN20" s="106">
        <v>0</v>
      </c>
      <c r="AO20" s="106">
        <v>0</v>
      </c>
      <c r="AP20" s="106">
        <v>12.54180407371484</v>
      </c>
      <c r="AQ20" s="106">
        <v>3596.989408341416</v>
      </c>
      <c r="AR20" s="106">
        <v>0</v>
      </c>
      <c r="AS20" s="106">
        <v>0</v>
      </c>
      <c r="AT20" s="106">
        <v>20.995609386828161</v>
      </c>
      <c r="AU20" s="106">
        <v>6021.5407721423171</v>
      </c>
      <c r="AV20" s="106">
        <v>0</v>
      </c>
      <c r="AW20" s="106">
        <v>0</v>
      </c>
      <c r="AX20" s="106">
        <v>6.2625466445805369</v>
      </c>
      <c r="AY20" s="106">
        <v>1796.0983776656981</v>
      </c>
      <c r="AZ20" s="106">
        <v>6.8843466989006661</v>
      </c>
      <c r="BA20" s="106">
        <v>1974.4306332447111</v>
      </c>
      <c r="BB20" s="106">
        <v>1.6379903221734031</v>
      </c>
      <c r="BC20" s="106">
        <v>469.77562439933206</v>
      </c>
      <c r="BD20" s="106">
        <v>1.1981276401415688</v>
      </c>
      <c r="BE20" s="106">
        <v>343.62300719260196</v>
      </c>
      <c r="BF20" s="106">
        <v>0</v>
      </c>
      <c r="BG20" s="106">
        <v>0</v>
      </c>
      <c r="BH20" s="106">
        <v>4.9364687195586656</v>
      </c>
      <c r="BI20" s="106">
        <v>1415.7792287694253</v>
      </c>
      <c r="BJ20" s="106">
        <v>3.7546549738323858</v>
      </c>
      <c r="BK20" s="106">
        <v>1076.8350464951284</v>
      </c>
      <c r="BL20" s="106">
        <v>3.3072515387639596</v>
      </c>
      <c r="BM20" s="106">
        <v>948.51974131750364</v>
      </c>
      <c r="BN20" s="106">
        <v>4.2248527968596665</v>
      </c>
      <c r="BO20" s="106">
        <v>1211.6877821393525</v>
      </c>
      <c r="BP20" s="106">
        <v>0</v>
      </c>
      <c r="BQ20" s="106">
        <v>0</v>
      </c>
      <c r="BR20" s="106">
        <v>9.8663809693600832</v>
      </c>
      <c r="BS20" s="106">
        <v>2829.6780620124719</v>
      </c>
      <c r="BT20" s="106">
        <v>17.637963761863677</v>
      </c>
      <c r="BU20" s="106">
        <v>5058.5680069025029</v>
      </c>
      <c r="BV20" s="106">
        <v>0</v>
      </c>
      <c r="BW20" s="106">
        <v>0</v>
      </c>
      <c r="BX20" s="106">
        <v>5.9983575812484862</v>
      </c>
      <c r="BY20" s="106">
        <v>1720.328954302066</v>
      </c>
      <c r="BZ20" s="106">
        <v>4.1940088522552967</v>
      </c>
      <c r="CA20" s="106">
        <v>1202.8417388268192</v>
      </c>
      <c r="CB20" s="106">
        <v>3.1630148482892193</v>
      </c>
      <c r="CC20" s="106">
        <v>907.15265848934814</v>
      </c>
      <c r="CD20" s="106">
        <v>0</v>
      </c>
      <c r="CE20" s="106">
        <v>0</v>
      </c>
      <c r="CF20" s="106">
        <v>6.9515917154379769</v>
      </c>
      <c r="CG20" s="106">
        <v>1993.7165039876118</v>
      </c>
      <c r="CH20" s="106">
        <v>21.093349017408666</v>
      </c>
      <c r="CI20" s="106">
        <v>6049.5724981928061</v>
      </c>
      <c r="CJ20" s="106">
        <v>10.940036793183578</v>
      </c>
      <c r="CK20" s="106">
        <v>3137.6025522850505</v>
      </c>
      <c r="CL20" s="106">
        <v>0</v>
      </c>
      <c r="CM20" s="106">
        <v>0</v>
      </c>
      <c r="CN20" s="106">
        <v>9.6310247140082019</v>
      </c>
      <c r="CO20" s="106">
        <v>2762.1778879775525</v>
      </c>
      <c r="CP20" s="106">
        <v>0</v>
      </c>
      <c r="CQ20" s="106">
        <v>0</v>
      </c>
      <c r="CR20" s="106">
        <v>12.482116509350416</v>
      </c>
      <c r="CS20" s="106">
        <v>3579.8710148816995</v>
      </c>
      <c r="CT20" s="106">
        <v>10.917094569831125</v>
      </c>
      <c r="CU20" s="106">
        <v>3131.022722627567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7.9582034497415126</v>
      </c>
      <c r="O21" s="106">
        <v>496.59189526387036</v>
      </c>
      <c r="P21" s="106">
        <v>3.3738063522602939</v>
      </c>
      <c r="Q21" s="106">
        <v>210.52551638104234</v>
      </c>
      <c r="R21" s="106">
        <v>3.724930744852875</v>
      </c>
      <c r="S21" s="106">
        <v>232.4356784788194</v>
      </c>
      <c r="T21" s="106">
        <v>4.9506535516239767</v>
      </c>
      <c r="U21" s="106">
        <v>308.92078162133612</v>
      </c>
      <c r="V21" s="106">
        <v>0</v>
      </c>
      <c r="W21" s="106">
        <v>0</v>
      </c>
      <c r="X21" s="106">
        <v>7.9681105500930114</v>
      </c>
      <c r="Y21" s="106">
        <v>497.21009832580393</v>
      </c>
      <c r="Z21" s="106">
        <v>0</v>
      </c>
      <c r="AA21" s="106">
        <v>0</v>
      </c>
      <c r="AB21" s="106">
        <v>6.7965593049479134</v>
      </c>
      <c r="AC21" s="106">
        <v>424.10530062874977</v>
      </c>
      <c r="AD21" s="106">
        <v>3.594886055495941</v>
      </c>
      <c r="AE21" s="106">
        <v>224.3208898629467</v>
      </c>
      <c r="AF21" s="106">
        <v>9.5309444593951103</v>
      </c>
      <c r="AG21" s="106">
        <v>594.73093426625485</v>
      </c>
      <c r="AH21" s="106">
        <v>4.2326837909654556</v>
      </c>
      <c r="AI21" s="106">
        <v>264.11946855624444</v>
      </c>
      <c r="AJ21" s="106">
        <v>0</v>
      </c>
      <c r="AK21" s="106">
        <v>0</v>
      </c>
      <c r="AL21" s="106">
        <v>11.645394446892904</v>
      </c>
      <c r="AM21" s="106">
        <v>726.67261348611726</v>
      </c>
      <c r="AN21" s="106">
        <v>0</v>
      </c>
      <c r="AO21" s="106">
        <v>0</v>
      </c>
      <c r="AP21" s="106">
        <v>12.54180407371484</v>
      </c>
      <c r="AQ21" s="106">
        <v>782.60857419980596</v>
      </c>
      <c r="AR21" s="106">
        <v>0</v>
      </c>
      <c r="AS21" s="106">
        <v>0</v>
      </c>
      <c r="AT21" s="106">
        <v>19.29326267978804</v>
      </c>
      <c r="AU21" s="106">
        <v>1203.8995912187736</v>
      </c>
      <c r="AV21" s="106">
        <v>0</v>
      </c>
      <c r="AW21" s="106">
        <v>0</v>
      </c>
      <c r="AX21" s="106">
        <v>6.2929370976997685</v>
      </c>
      <c r="AY21" s="106">
        <v>392.67927489646553</v>
      </c>
      <c r="AZ21" s="106">
        <v>7.8913235441836136</v>
      </c>
      <c r="BA21" s="106">
        <v>492.41858915705745</v>
      </c>
      <c r="BB21" s="106">
        <v>1.8399343344961514</v>
      </c>
      <c r="BC21" s="106">
        <v>114.81190247255985</v>
      </c>
      <c r="BD21" s="106">
        <v>1.2837081858659665</v>
      </c>
      <c r="BE21" s="106">
        <v>80.103390798036301</v>
      </c>
      <c r="BF21" s="106">
        <v>0</v>
      </c>
      <c r="BG21" s="106">
        <v>0</v>
      </c>
      <c r="BH21" s="106">
        <v>5.692004047789645</v>
      </c>
      <c r="BI21" s="106">
        <v>355.18105258207385</v>
      </c>
      <c r="BJ21" s="106">
        <v>3.7808487867639227</v>
      </c>
      <c r="BK21" s="106">
        <v>235.92496429406876</v>
      </c>
      <c r="BL21" s="106">
        <v>3.8764411322163959</v>
      </c>
      <c r="BM21" s="106">
        <v>241.8899266503031</v>
      </c>
      <c r="BN21" s="106">
        <v>5.0970804710500488</v>
      </c>
      <c r="BO21" s="106">
        <v>318.05782139352306</v>
      </c>
      <c r="BP21" s="106">
        <v>0</v>
      </c>
      <c r="BQ21" s="106">
        <v>0</v>
      </c>
      <c r="BR21" s="106">
        <v>9.6915453549479444</v>
      </c>
      <c r="BS21" s="106">
        <v>604.75243014875173</v>
      </c>
      <c r="BT21" s="106">
        <v>18.596548748921485</v>
      </c>
      <c r="BU21" s="106">
        <v>1160.4246419327008</v>
      </c>
      <c r="BV21" s="106">
        <v>0</v>
      </c>
      <c r="BW21" s="106">
        <v>0</v>
      </c>
      <c r="BX21" s="106">
        <v>6.0876371508368825</v>
      </c>
      <c r="BY21" s="106">
        <v>379.86855821222144</v>
      </c>
      <c r="BZ21" s="106">
        <v>4.280582030558584</v>
      </c>
      <c r="CA21" s="106">
        <v>267.10831870685564</v>
      </c>
      <c r="CB21" s="106">
        <v>3.0339122014202711</v>
      </c>
      <c r="CC21" s="106">
        <v>189.31612136862492</v>
      </c>
      <c r="CD21" s="106">
        <v>0</v>
      </c>
      <c r="CE21" s="106">
        <v>0</v>
      </c>
      <c r="CF21" s="106">
        <v>7.1395752741435148</v>
      </c>
      <c r="CG21" s="106">
        <v>445.50949710655533</v>
      </c>
      <c r="CH21" s="106">
        <v>23.386062212056967</v>
      </c>
      <c r="CI21" s="106">
        <v>1459.2902820323548</v>
      </c>
      <c r="CJ21" s="106">
        <v>11.448312838884585</v>
      </c>
      <c r="CK21" s="106">
        <v>714.37472114639809</v>
      </c>
      <c r="CL21" s="106">
        <v>0</v>
      </c>
      <c r="CM21" s="106">
        <v>0</v>
      </c>
      <c r="CN21" s="106">
        <v>8.7677395855816957</v>
      </c>
      <c r="CO21" s="106">
        <v>547.10695014029784</v>
      </c>
      <c r="CP21" s="106">
        <v>0</v>
      </c>
      <c r="CQ21" s="106">
        <v>0</v>
      </c>
      <c r="CR21" s="106">
        <v>11.692505984203294</v>
      </c>
      <c r="CS21" s="106">
        <v>729.61237341428546</v>
      </c>
      <c r="CT21" s="106">
        <v>11.080036279828608</v>
      </c>
      <c r="CU21" s="106">
        <v>691.39426386130515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8.4350705816024547</v>
      </c>
      <c r="O22" s="106">
        <v>1579.0452128759794</v>
      </c>
      <c r="P22" s="106">
        <v>3.4324297431605708</v>
      </c>
      <c r="Q22" s="106">
        <v>642.55084791965885</v>
      </c>
      <c r="R22" s="106">
        <v>3.6470009895423394</v>
      </c>
      <c r="S22" s="106">
        <v>682.71858524232584</v>
      </c>
      <c r="T22" s="106">
        <v>5.412714549775548</v>
      </c>
      <c r="U22" s="106">
        <v>1013.2601637179826</v>
      </c>
      <c r="V22" s="106">
        <v>0</v>
      </c>
      <c r="W22" s="106">
        <v>0</v>
      </c>
      <c r="X22" s="106">
        <v>6.7728939675790594</v>
      </c>
      <c r="Y22" s="106">
        <v>1267.8857507307998</v>
      </c>
      <c r="Z22" s="106">
        <v>0</v>
      </c>
      <c r="AA22" s="106">
        <v>0</v>
      </c>
      <c r="AB22" s="106">
        <v>7.244691368913891</v>
      </c>
      <c r="AC22" s="106">
        <v>1356.2062242606803</v>
      </c>
      <c r="AD22" s="106">
        <v>3.3440733066197565</v>
      </c>
      <c r="AE22" s="106">
        <v>626.01052299921844</v>
      </c>
      <c r="AF22" s="106">
        <v>8.59059702748573</v>
      </c>
      <c r="AG22" s="106">
        <v>1608.1597635453286</v>
      </c>
      <c r="AH22" s="106">
        <v>4.5646589902568646</v>
      </c>
      <c r="AI22" s="106">
        <v>854.50416297608501</v>
      </c>
      <c r="AJ22" s="106">
        <v>0</v>
      </c>
      <c r="AK22" s="106">
        <v>0</v>
      </c>
      <c r="AL22" s="106">
        <v>12.63649184662847</v>
      </c>
      <c r="AM22" s="106">
        <v>2365.5512736888495</v>
      </c>
      <c r="AN22" s="106">
        <v>0</v>
      </c>
      <c r="AO22" s="106">
        <v>0</v>
      </c>
      <c r="AP22" s="106">
        <v>11.451212415130939</v>
      </c>
      <c r="AQ22" s="106">
        <v>2143.6669641125118</v>
      </c>
      <c r="AR22" s="106">
        <v>0</v>
      </c>
      <c r="AS22" s="106">
        <v>0</v>
      </c>
      <c r="AT22" s="106">
        <v>20.711884935654808</v>
      </c>
      <c r="AU22" s="106">
        <v>3877.2648599545801</v>
      </c>
      <c r="AV22" s="106">
        <v>0</v>
      </c>
      <c r="AW22" s="106">
        <v>0</v>
      </c>
      <c r="AX22" s="106">
        <v>7.0111757153939669</v>
      </c>
      <c r="AY22" s="106">
        <v>1312.4920939217504</v>
      </c>
      <c r="AZ22" s="106">
        <v>6.8090251757112883</v>
      </c>
      <c r="BA22" s="106">
        <v>1274.6495128931531</v>
      </c>
      <c r="BB22" s="106">
        <v>2.041983918988719</v>
      </c>
      <c r="BC22" s="106">
        <v>382.25938963468815</v>
      </c>
      <c r="BD22" s="106">
        <v>1.0911519579860716</v>
      </c>
      <c r="BE22" s="106">
        <v>204.26364653499257</v>
      </c>
      <c r="BF22" s="106">
        <v>0</v>
      </c>
      <c r="BG22" s="106">
        <v>0</v>
      </c>
      <c r="BH22" s="106">
        <v>4.9854205224323769</v>
      </c>
      <c r="BI22" s="106">
        <v>933.27072179934089</v>
      </c>
      <c r="BJ22" s="106">
        <v>3.5295230009057819</v>
      </c>
      <c r="BK22" s="106">
        <v>660.72670576956227</v>
      </c>
      <c r="BL22" s="106">
        <v>3.2046480018456021</v>
      </c>
      <c r="BM22" s="106">
        <v>599.91010594549664</v>
      </c>
      <c r="BN22" s="106">
        <v>4.7154808635917567</v>
      </c>
      <c r="BO22" s="106">
        <v>882.7380176643768</v>
      </c>
      <c r="BP22" s="106">
        <v>0</v>
      </c>
      <c r="BQ22" s="106">
        <v>0</v>
      </c>
      <c r="BR22" s="106">
        <v>10.601174399232248</v>
      </c>
      <c r="BS22" s="106">
        <v>1984.5398475362767</v>
      </c>
      <c r="BT22" s="106">
        <v>16.87109577221743</v>
      </c>
      <c r="BU22" s="106">
        <v>3158.2691285591027</v>
      </c>
      <c r="BV22" s="106">
        <v>0</v>
      </c>
      <c r="BW22" s="106">
        <v>0</v>
      </c>
      <c r="BX22" s="106">
        <v>6.8935859039562812</v>
      </c>
      <c r="BY22" s="106">
        <v>1290.4792812206158</v>
      </c>
      <c r="BZ22" s="106">
        <v>4.4723015524194789</v>
      </c>
      <c r="CA22" s="106">
        <v>837.2148506129264</v>
      </c>
      <c r="CB22" s="106">
        <v>3.0554293092317626</v>
      </c>
      <c r="CC22" s="106">
        <v>571.97636668818598</v>
      </c>
      <c r="CD22" s="106">
        <v>0</v>
      </c>
      <c r="CE22" s="106">
        <v>0</v>
      </c>
      <c r="CF22" s="106">
        <v>8.1988325828926811</v>
      </c>
      <c r="CG22" s="106">
        <v>1534.8214595175098</v>
      </c>
      <c r="CH22" s="106">
        <v>24.704554440123086</v>
      </c>
      <c r="CI22" s="106">
        <v>4624.6925911910412</v>
      </c>
      <c r="CJ22" s="106">
        <v>11.230480247869867</v>
      </c>
      <c r="CK22" s="106">
        <v>2102.3459024012391</v>
      </c>
      <c r="CL22" s="106">
        <v>0</v>
      </c>
      <c r="CM22" s="106">
        <v>0</v>
      </c>
      <c r="CN22" s="106">
        <v>9.5231140729548898</v>
      </c>
      <c r="CO22" s="106">
        <v>1782.7269544571552</v>
      </c>
      <c r="CP22" s="106">
        <v>0</v>
      </c>
      <c r="CQ22" s="106">
        <v>0</v>
      </c>
      <c r="CR22" s="106">
        <v>12.744395178466105</v>
      </c>
      <c r="CS22" s="106">
        <v>2385.7507774088549</v>
      </c>
      <c r="CT22" s="106">
        <v>9.8851304065137562</v>
      </c>
      <c r="CU22" s="106">
        <v>1850.496412099375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7.7795821796961242</v>
      </c>
      <c r="O23" s="106">
        <v>2287.1971608306603</v>
      </c>
      <c r="P23" s="106">
        <v>3.1413397363480917</v>
      </c>
      <c r="Q23" s="106">
        <v>923.55388248633892</v>
      </c>
      <c r="R23" s="106">
        <v>3.5547219835468016</v>
      </c>
      <c r="S23" s="106">
        <v>1045.0882631627596</v>
      </c>
      <c r="T23" s="106">
        <v>5.1486796936889361</v>
      </c>
      <c r="U23" s="106">
        <v>1513.7118299445472</v>
      </c>
      <c r="V23" s="106">
        <v>0</v>
      </c>
      <c r="W23" s="106">
        <v>0</v>
      </c>
      <c r="X23" s="106">
        <v>6.8724953494552219</v>
      </c>
      <c r="Y23" s="106">
        <v>2020.5136327398352</v>
      </c>
      <c r="Z23" s="106">
        <v>0</v>
      </c>
      <c r="AA23" s="106">
        <v>0</v>
      </c>
      <c r="AB23" s="106">
        <v>7.047450802108707</v>
      </c>
      <c r="AC23" s="106">
        <v>2071.9505358199599</v>
      </c>
      <c r="AD23" s="106">
        <v>3.3170305598818954</v>
      </c>
      <c r="AE23" s="106">
        <v>975.20698460527728</v>
      </c>
      <c r="AF23" s="106">
        <v>9.7943407631951089</v>
      </c>
      <c r="AG23" s="106">
        <v>2879.5361843793621</v>
      </c>
      <c r="AH23" s="106">
        <v>4.5646589902568646</v>
      </c>
      <c r="AI23" s="106">
        <v>1342.0097431355182</v>
      </c>
      <c r="AJ23" s="106">
        <v>0</v>
      </c>
      <c r="AK23" s="106">
        <v>0</v>
      </c>
      <c r="AL23" s="106">
        <v>11.14984574702512</v>
      </c>
      <c r="AM23" s="106">
        <v>3278.0546496253851</v>
      </c>
      <c r="AN23" s="106">
        <v>0</v>
      </c>
      <c r="AO23" s="106">
        <v>0</v>
      </c>
      <c r="AP23" s="106">
        <v>11.178564500484965</v>
      </c>
      <c r="AQ23" s="106">
        <v>3286.4979631425799</v>
      </c>
      <c r="AR23" s="106">
        <v>0</v>
      </c>
      <c r="AS23" s="106">
        <v>0</v>
      </c>
      <c r="AT23" s="106">
        <v>21.563058289174869</v>
      </c>
      <c r="AU23" s="106">
        <v>6339.5391370174111</v>
      </c>
      <c r="AV23" s="106">
        <v>0</v>
      </c>
      <c r="AW23" s="106">
        <v>0</v>
      </c>
      <c r="AX23" s="106">
        <v>6.9050095507021814</v>
      </c>
      <c r="AY23" s="106">
        <v>2030.0728079064413</v>
      </c>
      <c r="AZ23" s="106">
        <v>7.6606222503704107</v>
      </c>
      <c r="BA23" s="106">
        <v>2252.2229416089008</v>
      </c>
      <c r="BB23" s="106">
        <v>1.7726196637219021</v>
      </c>
      <c r="BC23" s="106">
        <v>521.15018113423923</v>
      </c>
      <c r="BD23" s="106">
        <v>1.1125470944171709</v>
      </c>
      <c r="BE23" s="106">
        <v>327.08884575864823</v>
      </c>
      <c r="BF23" s="106">
        <v>0</v>
      </c>
      <c r="BG23" s="106">
        <v>0</v>
      </c>
      <c r="BH23" s="106">
        <v>5.0648904434732156</v>
      </c>
      <c r="BI23" s="106">
        <v>1489.0777903811254</v>
      </c>
      <c r="BJ23" s="106">
        <v>3.5277251390433615</v>
      </c>
      <c r="BK23" s="106">
        <v>1037.1511908787484</v>
      </c>
      <c r="BL23" s="106">
        <v>3.7346870270970194</v>
      </c>
      <c r="BM23" s="106">
        <v>1097.9979859665236</v>
      </c>
      <c r="BN23" s="106">
        <v>4.7154808635917567</v>
      </c>
      <c r="BO23" s="106">
        <v>1386.3513738959764</v>
      </c>
      <c r="BP23" s="106">
        <v>0</v>
      </c>
      <c r="BQ23" s="106">
        <v>0</v>
      </c>
      <c r="BR23" s="106">
        <v>9.5823115648350399</v>
      </c>
      <c r="BS23" s="106">
        <v>2817.1996000615018</v>
      </c>
      <c r="BT23" s="106">
        <v>18.788265746333046</v>
      </c>
      <c r="BU23" s="106">
        <v>5523.7501294219155</v>
      </c>
      <c r="BV23" s="106">
        <v>0</v>
      </c>
      <c r="BW23" s="106">
        <v>0</v>
      </c>
      <c r="BX23" s="106">
        <v>6.8116111525655949</v>
      </c>
      <c r="BY23" s="106">
        <v>2002.6136788542849</v>
      </c>
      <c r="BZ23" s="106">
        <v>4.2744036745842537</v>
      </c>
      <c r="CA23" s="106">
        <v>1256.6746803277706</v>
      </c>
      <c r="CB23" s="106">
        <v>3.3997030342156229</v>
      </c>
      <c r="CC23" s="106">
        <v>999.51269205939309</v>
      </c>
      <c r="CD23" s="106">
        <v>0</v>
      </c>
      <c r="CE23" s="106">
        <v>0</v>
      </c>
      <c r="CF23" s="106">
        <v>7.8212710049421794</v>
      </c>
      <c r="CG23" s="106">
        <v>2299.4536754530009</v>
      </c>
      <c r="CH23" s="106">
        <v>23.943833701240379</v>
      </c>
      <c r="CI23" s="106">
        <v>7039.4871081646716</v>
      </c>
      <c r="CJ23" s="106">
        <v>10.238131777691713</v>
      </c>
      <c r="CK23" s="106">
        <v>3010.0107426413638</v>
      </c>
      <c r="CL23" s="106">
        <v>0</v>
      </c>
      <c r="CM23" s="106">
        <v>0</v>
      </c>
      <c r="CN23" s="106">
        <v>9.3342704511115908</v>
      </c>
      <c r="CO23" s="106">
        <v>2744.2755126268075</v>
      </c>
      <c r="CP23" s="106">
        <v>0</v>
      </c>
      <c r="CQ23" s="106">
        <v>0</v>
      </c>
      <c r="CR23" s="106">
        <v>11.381091936336883</v>
      </c>
      <c r="CS23" s="106">
        <v>3346.0410292830438</v>
      </c>
      <c r="CT23" s="106">
        <v>9.7221886965162767</v>
      </c>
      <c r="CU23" s="106">
        <v>2858.3234767757854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8.4997411508878926</v>
      </c>
      <c r="O24" s="106">
        <v>3121.104950606034</v>
      </c>
      <c r="P24" s="106">
        <v>3.2006387764780055</v>
      </c>
      <c r="Q24" s="106">
        <v>1175.2745587227237</v>
      </c>
      <c r="R24" s="106">
        <v>3.5289446935916926</v>
      </c>
      <c r="S24" s="106">
        <v>1295.8284914868696</v>
      </c>
      <c r="T24" s="106">
        <v>4.5546012674940588</v>
      </c>
      <c r="U24" s="106">
        <v>1672.4495854238182</v>
      </c>
      <c r="V24" s="106">
        <v>0</v>
      </c>
      <c r="W24" s="106">
        <v>0</v>
      </c>
      <c r="X24" s="106">
        <v>6.2748870581982459</v>
      </c>
      <c r="Y24" s="106">
        <v>2304.1385277703957</v>
      </c>
      <c r="Z24" s="106">
        <v>0</v>
      </c>
      <c r="AA24" s="106">
        <v>0</v>
      </c>
      <c r="AB24" s="106">
        <v>7.2590503325588482</v>
      </c>
      <c r="AC24" s="106">
        <v>2665.5232821156092</v>
      </c>
      <c r="AD24" s="106">
        <v>3.449197621004453</v>
      </c>
      <c r="AE24" s="106">
        <v>1266.5453664328352</v>
      </c>
      <c r="AF24" s="106">
        <v>8.8288293794433681</v>
      </c>
      <c r="AG24" s="106">
        <v>3241.9461481316048</v>
      </c>
      <c r="AH24" s="106">
        <v>4.8136403897254203</v>
      </c>
      <c r="AI24" s="106">
        <v>1767.5687511071742</v>
      </c>
      <c r="AJ24" s="106">
        <v>0</v>
      </c>
      <c r="AK24" s="106">
        <v>0</v>
      </c>
      <c r="AL24" s="106">
        <v>12.140943146760685</v>
      </c>
      <c r="AM24" s="106">
        <v>4458.1543234905239</v>
      </c>
      <c r="AN24" s="106">
        <v>0</v>
      </c>
      <c r="AO24" s="106">
        <v>0</v>
      </c>
      <c r="AP24" s="106">
        <v>11.723860329776915</v>
      </c>
      <c r="AQ24" s="106">
        <v>4305.0015130940828</v>
      </c>
      <c r="AR24" s="106">
        <v>0</v>
      </c>
      <c r="AS24" s="106">
        <v>0</v>
      </c>
      <c r="AT24" s="106">
        <v>21.279333838001516</v>
      </c>
      <c r="AU24" s="106">
        <v>7813.7713853141568</v>
      </c>
      <c r="AV24" s="106">
        <v>0</v>
      </c>
      <c r="AW24" s="106">
        <v>0</v>
      </c>
      <c r="AX24" s="106">
        <v>6.9303349283015416</v>
      </c>
      <c r="AY24" s="106">
        <v>2544.8189856723261</v>
      </c>
      <c r="AZ24" s="106">
        <v>6.793631662734593</v>
      </c>
      <c r="BA24" s="106">
        <v>2494.6215465561427</v>
      </c>
      <c r="BB24" s="106">
        <v>1.5257992042163209</v>
      </c>
      <c r="BC24" s="106">
        <v>560.27346778823301</v>
      </c>
      <c r="BD24" s="106">
        <v>1.1767325037104692</v>
      </c>
      <c r="BE24" s="106">
        <v>432.0961753624843</v>
      </c>
      <c r="BF24" s="106">
        <v>0</v>
      </c>
      <c r="BG24" s="106">
        <v>0</v>
      </c>
      <c r="BH24" s="106">
        <v>5.3275550548938684</v>
      </c>
      <c r="BI24" s="106">
        <v>1956.2782161570285</v>
      </c>
      <c r="BJ24" s="106">
        <v>3.2490069656787375</v>
      </c>
      <c r="BK24" s="106">
        <v>1193.0353577972323</v>
      </c>
      <c r="BL24" s="106">
        <v>3.2833614828784699</v>
      </c>
      <c r="BM24" s="106">
        <v>1205.650336512974</v>
      </c>
      <c r="BN24" s="106">
        <v>4.3338812561334636</v>
      </c>
      <c r="BO24" s="106">
        <v>1591.4011972522078</v>
      </c>
      <c r="BP24" s="106">
        <v>0</v>
      </c>
      <c r="BQ24" s="106">
        <v>0</v>
      </c>
      <c r="BR24" s="106">
        <v>9.4129299461496103</v>
      </c>
      <c r="BS24" s="106">
        <v>3456.427876226137</v>
      </c>
      <c r="BT24" s="106">
        <v>17.062812769628991</v>
      </c>
      <c r="BU24" s="106">
        <v>6265.4648490077652</v>
      </c>
      <c r="BV24" s="106">
        <v>0</v>
      </c>
      <c r="BW24" s="106">
        <v>0</v>
      </c>
      <c r="BX24" s="106">
        <v>6.069375105342611</v>
      </c>
      <c r="BY24" s="106">
        <v>2228.6745386818066</v>
      </c>
      <c r="BZ24" s="106">
        <v>4.4327219768524335</v>
      </c>
      <c r="CA24" s="106">
        <v>1627.6955099002134</v>
      </c>
      <c r="CB24" s="106">
        <v>3.4427372498386055</v>
      </c>
      <c r="CC24" s="106">
        <v>1264.1731181407358</v>
      </c>
      <c r="CD24" s="106">
        <v>0</v>
      </c>
      <c r="CE24" s="106">
        <v>0</v>
      </c>
      <c r="CF24" s="106">
        <v>7.2426751497601209</v>
      </c>
      <c r="CG24" s="106">
        <v>2659.5103149919164</v>
      </c>
      <c r="CH24" s="106">
        <v>21.207731145324193</v>
      </c>
      <c r="CI24" s="106">
        <v>7787.4788765630428</v>
      </c>
      <c r="CJ24" s="106">
        <v>11.39990559643687</v>
      </c>
      <c r="CK24" s="106">
        <v>4186.0453350116186</v>
      </c>
      <c r="CL24" s="106">
        <v>0</v>
      </c>
      <c r="CM24" s="106">
        <v>0</v>
      </c>
      <c r="CN24" s="106">
        <v>7.8504991366285344</v>
      </c>
      <c r="CO24" s="106">
        <v>2882.7032829699979</v>
      </c>
      <c r="CP24" s="106">
        <v>0</v>
      </c>
      <c r="CQ24" s="106">
        <v>0</v>
      </c>
      <c r="CR24" s="106">
        <v>10.521760464717174</v>
      </c>
      <c r="CS24" s="106">
        <v>3863.5904426441462</v>
      </c>
      <c r="CT24" s="106">
        <v>9.8308165031812642</v>
      </c>
      <c r="CU24" s="106">
        <v>3609.8758199681602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6.9595804090710924</v>
      </c>
      <c r="O25" s="106">
        <v>3691.3614489713073</v>
      </c>
      <c r="P25" s="106">
        <v>3.3670498599639309</v>
      </c>
      <c r="Q25" s="106">
        <v>1785.8832457248689</v>
      </c>
      <c r="R25" s="106">
        <v>3.5241616100300246</v>
      </c>
      <c r="S25" s="106">
        <v>1869.215317959925</v>
      </c>
      <c r="T25" s="106">
        <v>4.9506535516239767</v>
      </c>
      <c r="U25" s="106">
        <v>2625.8266437813572</v>
      </c>
      <c r="V25" s="106">
        <v>0</v>
      </c>
      <c r="W25" s="106">
        <v>0</v>
      </c>
      <c r="X25" s="106">
        <v>6.2748870581982459</v>
      </c>
      <c r="Y25" s="106">
        <v>3328.2000956683496</v>
      </c>
      <c r="Z25" s="106">
        <v>0</v>
      </c>
      <c r="AA25" s="106">
        <v>0</v>
      </c>
      <c r="AB25" s="106">
        <v>6.3484272409819349</v>
      </c>
      <c r="AC25" s="106">
        <v>3367.2058086168181</v>
      </c>
      <c r="AD25" s="106">
        <v>3.1814831554171055</v>
      </c>
      <c r="AE25" s="106">
        <v>1687.4586656332326</v>
      </c>
      <c r="AF25" s="106">
        <v>9.7943407631951089</v>
      </c>
      <c r="AG25" s="106">
        <v>5194.9183407986857</v>
      </c>
      <c r="AH25" s="106">
        <v>4.5646589902568646</v>
      </c>
      <c r="AI25" s="106">
        <v>2421.0951284322409</v>
      </c>
      <c r="AJ25" s="106">
        <v>0</v>
      </c>
      <c r="AK25" s="106">
        <v>0</v>
      </c>
      <c r="AL25" s="106">
        <v>11.397620096959011</v>
      </c>
      <c r="AM25" s="106">
        <v>6045.2976994270593</v>
      </c>
      <c r="AN25" s="106">
        <v>0</v>
      </c>
      <c r="AO25" s="106">
        <v>0</v>
      </c>
      <c r="AP25" s="106">
        <v>12.269156159068865</v>
      </c>
      <c r="AQ25" s="106">
        <v>6507.5604267701256</v>
      </c>
      <c r="AR25" s="106">
        <v>0</v>
      </c>
      <c r="AS25" s="106">
        <v>0</v>
      </c>
      <c r="AT25" s="106">
        <v>17.590915972747919</v>
      </c>
      <c r="AU25" s="106">
        <v>9330.2218319454951</v>
      </c>
      <c r="AV25" s="106">
        <v>0</v>
      </c>
      <c r="AW25" s="106">
        <v>0</v>
      </c>
      <c r="AX25" s="106">
        <v>6.4548190931101477</v>
      </c>
      <c r="AY25" s="106">
        <v>3423.6360469856222</v>
      </c>
      <c r="AZ25" s="106">
        <v>7.2780013569906181</v>
      </c>
      <c r="BA25" s="106">
        <v>3860.2519197478236</v>
      </c>
      <c r="BB25" s="106">
        <v>1.6155520985819865</v>
      </c>
      <c r="BC25" s="106">
        <v>856.88883308788559</v>
      </c>
      <c r="BD25" s="106">
        <v>1.0697568215549722</v>
      </c>
      <c r="BE25" s="106">
        <v>567.39901815275721</v>
      </c>
      <c r="BF25" s="106">
        <v>0</v>
      </c>
      <c r="BG25" s="106">
        <v>0</v>
      </c>
      <c r="BH25" s="106">
        <v>4.5826918599140694</v>
      </c>
      <c r="BI25" s="106">
        <v>2430.6597624984224</v>
      </c>
      <c r="BJ25" s="106">
        <v>3.6378939763567697</v>
      </c>
      <c r="BK25" s="106">
        <v>1929.5389650596305</v>
      </c>
      <c r="BL25" s="106">
        <v>3.0401777264034684</v>
      </c>
      <c r="BM25" s="106">
        <v>1612.5102660843995</v>
      </c>
      <c r="BN25" s="106">
        <v>4.3883954857703635</v>
      </c>
      <c r="BO25" s="106">
        <v>2327.6049656526006</v>
      </c>
      <c r="BP25" s="106">
        <v>0</v>
      </c>
      <c r="BQ25" s="106">
        <v>0</v>
      </c>
      <c r="BR25" s="106">
        <v>8.6835905120041534</v>
      </c>
      <c r="BS25" s="106">
        <v>4605.7764075670029</v>
      </c>
      <c r="BT25" s="106">
        <v>17.062812769628991</v>
      </c>
      <c r="BU25" s="106">
        <v>9050.115893011216</v>
      </c>
      <c r="BV25" s="106">
        <v>0</v>
      </c>
      <c r="BW25" s="106">
        <v>0</v>
      </c>
      <c r="BX25" s="106">
        <v>5.4054614004114603</v>
      </c>
      <c r="BY25" s="106">
        <v>2867.0567267782385</v>
      </c>
      <c r="BZ25" s="106">
        <v>3.8217289466186286</v>
      </c>
      <c r="CA25" s="106">
        <v>2027.0450332865205</v>
      </c>
      <c r="CB25" s="106">
        <v>3.2921174951581667</v>
      </c>
      <c r="CC25" s="106">
        <v>1746.1391194318915</v>
      </c>
      <c r="CD25" s="106">
        <v>0</v>
      </c>
      <c r="CE25" s="106">
        <v>0</v>
      </c>
      <c r="CF25" s="106">
        <v>7.0548189551823759</v>
      </c>
      <c r="CG25" s="106">
        <v>3741.8759738287322</v>
      </c>
      <c r="CH25" s="106">
        <v>21.858684723351491</v>
      </c>
      <c r="CI25" s="106">
        <v>11593.846377265631</v>
      </c>
      <c r="CJ25" s="106">
        <v>10.455964368706429</v>
      </c>
      <c r="CK25" s="106">
        <v>5545.8435011618894</v>
      </c>
      <c r="CL25" s="106">
        <v>0</v>
      </c>
      <c r="CM25" s="106">
        <v>0</v>
      </c>
      <c r="CN25" s="106">
        <v>7.5537448737319233</v>
      </c>
      <c r="CO25" s="106">
        <v>4006.5062810274121</v>
      </c>
      <c r="CP25" s="106">
        <v>0</v>
      </c>
      <c r="CQ25" s="106">
        <v>0</v>
      </c>
      <c r="CR25" s="106">
        <v>10.398867024248887</v>
      </c>
      <c r="CS25" s="106">
        <v>5515.5590696616091</v>
      </c>
      <c r="CT25" s="106">
        <v>9.0161079531938668</v>
      </c>
      <c r="CU25" s="106">
        <v>4782.1436583740269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7.0786612557680169</v>
      </c>
      <c r="O26" s="106">
        <v>3440.229370303256</v>
      </c>
      <c r="P26" s="106">
        <v>3.3131560136711071</v>
      </c>
      <c r="Q26" s="106">
        <v>1610.193822644158</v>
      </c>
      <c r="R26" s="106">
        <v>3.6104617615734784</v>
      </c>
      <c r="S26" s="106">
        <v>1754.6844161247104</v>
      </c>
      <c r="T26" s="106">
        <v>4.8846448376023242</v>
      </c>
      <c r="U26" s="106">
        <v>2373.9373910747295</v>
      </c>
      <c r="V26" s="106">
        <v>0</v>
      </c>
      <c r="W26" s="106">
        <v>0</v>
      </c>
      <c r="X26" s="106">
        <v>6.7728939675790594</v>
      </c>
      <c r="Y26" s="106">
        <v>3291.626468243423</v>
      </c>
      <c r="Z26" s="106">
        <v>0</v>
      </c>
      <c r="AA26" s="106">
        <v>0</v>
      </c>
      <c r="AB26" s="106">
        <v>6.2909913864021059</v>
      </c>
      <c r="AC26" s="106">
        <v>3057.4218137914236</v>
      </c>
      <c r="AD26" s="106">
        <v>3.4424369343199879</v>
      </c>
      <c r="AE26" s="106">
        <v>1673.0243500795141</v>
      </c>
      <c r="AF26" s="106">
        <v>9.7524008434578455</v>
      </c>
      <c r="AG26" s="106">
        <v>4739.6668099205126</v>
      </c>
      <c r="AH26" s="106">
        <v>4.149689991142604</v>
      </c>
      <c r="AI26" s="106">
        <v>2016.7493356953055</v>
      </c>
      <c r="AJ26" s="106">
        <v>0</v>
      </c>
      <c r="AK26" s="106">
        <v>0</v>
      </c>
      <c r="AL26" s="106">
        <v>12.884266196562359</v>
      </c>
      <c r="AM26" s="106">
        <v>6261.7533715293066</v>
      </c>
      <c r="AN26" s="106">
        <v>0</v>
      </c>
      <c r="AO26" s="106">
        <v>0</v>
      </c>
      <c r="AP26" s="106">
        <v>12.269156159068865</v>
      </c>
      <c r="AQ26" s="106">
        <v>5962.8098933074689</v>
      </c>
      <c r="AR26" s="106">
        <v>0</v>
      </c>
      <c r="AS26" s="106">
        <v>0</v>
      </c>
      <c r="AT26" s="106">
        <v>20.995609386828161</v>
      </c>
      <c r="AU26" s="106">
        <v>10203.866161998487</v>
      </c>
      <c r="AV26" s="106">
        <v>0</v>
      </c>
      <c r="AW26" s="106">
        <v>0</v>
      </c>
      <c r="AX26" s="106">
        <v>6.4142984889511716</v>
      </c>
      <c r="AY26" s="106">
        <v>3117.3490656302693</v>
      </c>
      <c r="AZ26" s="106">
        <v>7.5477090344763242</v>
      </c>
      <c r="BA26" s="106">
        <v>3668.1865907554934</v>
      </c>
      <c r="BB26" s="106">
        <v>1.6911544982413051</v>
      </c>
      <c r="BC26" s="106">
        <v>821.90108614527435</v>
      </c>
      <c r="BD26" s="106">
        <v>1.0911519579860716</v>
      </c>
      <c r="BE26" s="106">
        <v>530.29985158123077</v>
      </c>
      <c r="BF26" s="106">
        <v>0</v>
      </c>
      <c r="BG26" s="106">
        <v>0</v>
      </c>
      <c r="BH26" s="106">
        <v>5.2853946095436353</v>
      </c>
      <c r="BI26" s="106">
        <v>2568.7017802382065</v>
      </c>
      <c r="BJ26" s="106">
        <v>3.360374377567092</v>
      </c>
      <c r="BK26" s="106">
        <v>1633.1419474976067</v>
      </c>
      <c r="BL26" s="106">
        <v>3.3107731954521586</v>
      </c>
      <c r="BM26" s="106">
        <v>1609.0357729897491</v>
      </c>
      <c r="BN26" s="106">
        <v>4.7154808635917567</v>
      </c>
      <c r="BO26" s="106">
        <v>2291.7236997055938</v>
      </c>
      <c r="BP26" s="106">
        <v>0</v>
      </c>
      <c r="BQ26" s="106">
        <v>0</v>
      </c>
      <c r="BR26" s="106">
        <v>10.117726399524875</v>
      </c>
      <c r="BS26" s="106">
        <v>4917.215030169089</v>
      </c>
      <c r="BT26" s="106">
        <v>16.487661777394308</v>
      </c>
      <c r="BU26" s="106">
        <v>8013.0036238136336</v>
      </c>
      <c r="BV26" s="106">
        <v>0</v>
      </c>
      <c r="BW26" s="106">
        <v>0</v>
      </c>
      <c r="BX26" s="106">
        <v>5.9591964101025701</v>
      </c>
      <c r="BY26" s="106">
        <v>2896.1694553098491</v>
      </c>
      <c r="BZ26" s="106">
        <v>4.5551677171381684</v>
      </c>
      <c r="CA26" s="106">
        <v>2213.8115105291499</v>
      </c>
      <c r="CB26" s="106">
        <v>3.1199806326662367</v>
      </c>
      <c r="CC26" s="106">
        <v>1516.310587475791</v>
      </c>
      <c r="CD26" s="106">
        <v>0</v>
      </c>
      <c r="CE26" s="106">
        <v>0</v>
      </c>
      <c r="CF26" s="106">
        <v>6.6771300131040814</v>
      </c>
      <c r="CG26" s="106">
        <v>3245.0851863685834</v>
      </c>
      <c r="CH26" s="106">
        <v>21.575371491322564</v>
      </c>
      <c r="CI26" s="106">
        <v>10485.630544782765</v>
      </c>
      <c r="CJ26" s="106">
        <v>9.705652110766847</v>
      </c>
      <c r="CK26" s="106">
        <v>4716.9469258326881</v>
      </c>
      <c r="CL26" s="106">
        <v>0</v>
      </c>
      <c r="CM26" s="106">
        <v>0</v>
      </c>
      <c r="CN26" s="106">
        <v>9.0644938484783069</v>
      </c>
      <c r="CO26" s="106">
        <v>4405.3440103604571</v>
      </c>
      <c r="CP26" s="106">
        <v>0</v>
      </c>
      <c r="CQ26" s="106">
        <v>0</v>
      </c>
      <c r="CR26" s="106">
        <v>11.350546233404648</v>
      </c>
      <c r="CS26" s="106">
        <v>5516.3654694346587</v>
      </c>
      <c r="CT26" s="106">
        <v>9.7765025998487705</v>
      </c>
      <c r="CU26" s="106">
        <v>4751.3802635265029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7.611221201524689</v>
      </c>
      <c r="O27" s="106">
        <v>3251.5136972913469</v>
      </c>
      <c r="P27" s="106">
        <v>3.4543092970847109</v>
      </c>
      <c r="Q27" s="106">
        <v>1475.6809317145885</v>
      </c>
      <c r="R27" s="106">
        <v>3.4720091446745989</v>
      </c>
      <c r="S27" s="106">
        <v>1483.2423066049887</v>
      </c>
      <c r="T27" s="106">
        <v>5.0826709796672827</v>
      </c>
      <c r="U27" s="106">
        <v>2171.3170425138633</v>
      </c>
      <c r="V27" s="106">
        <v>0</v>
      </c>
      <c r="W27" s="106">
        <v>0</v>
      </c>
      <c r="X27" s="106">
        <v>6.4740898219505709</v>
      </c>
      <c r="Y27" s="106">
        <v>2765.7311719372838</v>
      </c>
      <c r="Z27" s="106">
        <v>0</v>
      </c>
      <c r="AA27" s="106">
        <v>0</v>
      </c>
      <c r="AB27" s="106">
        <v>6.4690866683473462</v>
      </c>
      <c r="AC27" s="106">
        <v>2763.5938247179861</v>
      </c>
      <c r="AD27" s="106">
        <v>3.327171589908593</v>
      </c>
      <c r="AE27" s="106">
        <v>1421.3677032089508</v>
      </c>
      <c r="AF27" s="106">
        <v>8.5947910194594552</v>
      </c>
      <c r="AG27" s="106">
        <v>3671.6947235130792</v>
      </c>
      <c r="AH27" s="106">
        <v>4.315677590788308</v>
      </c>
      <c r="AI27" s="106">
        <v>1843.6574667847651</v>
      </c>
      <c r="AJ27" s="106">
        <v>0</v>
      </c>
      <c r="AK27" s="106">
        <v>0</v>
      </c>
      <c r="AL27" s="106">
        <v>11.14984574702512</v>
      </c>
      <c r="AM27" s="106">
        <v>4763.2141031291312</v>
      </c>
      <c r="AN27" s="106">
        <v>0</v>
      </c>
      <c r="AO27" s="106">
        <v>0</v>
      </c>
      <c r="AP27" s="106">
        <v>11.451212415130939</v>
      </c>
      <c r="AQ27" s="106">
        <v>4891.957943743937</v>
      </c>
      <c r="AR27" s="106">
        <v>0</v>
      </c>
      <c r="AS27" s="106">
        <v>0</v>
      </c>
      <c r="AT27" s="106">
        <v>18.158364875094627</v>
      </c>
      <c r="AU27" s="106">
        <v>7757.2534746404244</v>
      </c>
      <c r="AV27" s="106">
        <v>0</v>
      </c>
      <c r="AW27" s="106">
        <v>0</v>
      </c>
      <c r="AX27" s="106">
        <v>7.0213058664337105</v>
      </c>
      <c r="AY27" s="106">
        <v>2999.5018661404811</v>
      </c>
      <c r="AZ27" s="106">
        <v>7.6092980613276433</v>
      </c>
      <c r="BA27" s="106">
        <v>3250.6921317991691</v>
      </c>
      <c r="BB27" s="106">
        <v>1.5706756513991535</v>
      </c>
      <c r="BC27" s="106">
        <v>670.99263827771836</v>
      </c>
      <c r="BD27" s="106">
        <v>1.026966548692773</v>
      </c>
      <c r="BE27" s="106">
        <v>438.72010960155262</v>
      </c>
      <c r="BF27" s="106">
        <v>0</v>
      </c>
      <c r="BG27" s="106">
        <v>0</v>
      </c>
      <c r="BH27" s="106">
        <v>5.3304656366896435</v>
      </c>
      <c r="BI27" s="106">
        <v>2277.1749199938158</v>
      </c>
      <c r="BJ27" s="106">
        <v>3.7838452232012894</v>
      </c>
      <c r="BK27" s="106">
        <v>1616.4586793515907</v>
      </c>
      <c r="BL27" s="106">
        <v>3.1993655168133035</v>
      </c>
      <c r="BM27" s="106">
        <v>1366.7689487826433</v>
      </c>
      <c r="BN27" s="106">
        <v>4.6337095191364082</v>
      </c>
      <c r="BO27" s="106">
        <v>1979.5207065750735</v>
      </c>
      <c r="BP27" s="106">
        <v>0</v>
      </c>
      <c r="BQ27" s="106">
        <v>0</v>
      </c>
      <c r="BR27" s="106">
        <v>8.4322450818393637</v>
      </c>
      <c r="BS27" s="106">
        <v>3602.2550989617762</v>
      </c>
      <c r="BT27" s="106">
        <v>17.829680759275238</v>
      </c>
      <c r="BU27" s="106">
        <v>7616.8396203623815</v>
      </c>
      <c r="BV27" s="106">
        <v>0</v>
      </c>
      <c r="BW27" s="106">
        <v>0</v>
      </c>
      <c r="BX27" s="106">
        <v>5.7169245650293643</v>
      </c>
      <c r="BY27" s="106">
        <v>2442.2701741805445</v>
      </c>
      <c r="BZ27" s="106">
        <v>4.1878304962809656</v>
      </c>
      <c r="CA27" s="106">
        <v>1789.0411880112285</v>
      </c>
      <c r="CB27" s="106">
        <v>2.9263266623628148</v>
      </c>
      <c r="CC27" s="106">
        <v>1250.1267501613945</v>
      </c>
      <c r="CD27" s="106">
        <v>0</v>
      </c>
      <c r="CE27" s="106">
        <v>0</v>
      </c>
      <c r="CF27" s="106">
        <v>7.2360425793468313</v>
      </c>
      <c r="CG27" s="106">
        <v>3091.2373898969663</v>
      </c>
      <c r="CH27" s="106">
        <v>22.117927993910044</v>
      </c>
      <c r="CI27" s="106">
        <v>9448.7788389983707</v>
      </c>
      <c r="CJ27" s="106">
        <v>10.359149883811</v>
      </c>
      <c r="CK27" s="106">
        <v>4425.4288303640587</v>
      </c>
      <c r="CL27" s="106">
        <v>0</v>
      </c>
      <c r="CM27" s="106">
        <v>0</v>
      </c>
      <c r="CN27" s="106">
        <v>7.8504991366285344</v>
      </c>
      <c r="CO27" s="106">
        <v>3353.7332311677096</v>
      </c>
      <c r="CP27" s="106">
        <v>0</v>
      </c>
      <c r="CQ27" s="106">
        <v>0</v>
      </c>
      <c r="CR27" s="106">
        <v>10.946175814998828</v>
      </c>
      <c r="CS27" s="106">
        <v>4676.2063081674987</v>
      </c>
      <c r="CT27" s="106">
        <v>9.1790496631913445</v>
      </c>
      <c r="CU27" s="106">
        <v>3921.2900161153425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7.6823044532313478</v>
      </c>
      <c r="O28" s="106">
        <v>5669.5406864847346</v>
      </c>
      <c r="P28" s="106">
        <v>3.3663742107342944</v>
      </c>
      <c r="Q28" s="106">
        <v>2484.3841675219091</v>
      </c>
      <c r="R28" s="106">
        <v>3.0278845767968083</v>
      </c>
      <c r="S28" s="106">
        <v>2234.5788176760448</v>
      </c>
      <c r="T28" s="106">
        <v>4.422583839450752</v>
      </c>
      <c r="U28" s="106">
        <v>3263.8668735146548</v>
      </c>
      <c r="V28" s="106">
        <v>0</v>
      </c>
      <c r="W28" s="106">
        <v>0</v>
      </c>
      <c r="X28" s="106">
        <v>6.2748870581982459</v>
      </c>
      <c r="Y28" s="106">
        <v>4630.8666489503057</v>
      </c>
      <c r="Z28" s="106">
        <v>0</v>
      </c>
      <c r="AA28" s="106">
        <v>0</v>
      </c>
      <c r="AB28" s="106">
        <v>6.6280366654326448</v>
      </c>
      <c r="AC28" s="106">
        <v>4891.4910590892914</v>
      </c>
      <c r="AD28" s="106">
        <v>3.4660993377156162</v>
      </c>
      <c r="AE28" s="106">
        <v>2557.9813112341249</v>
      </c>
      <c r="AF28" s="106">
        <v>8.8036654276010111</v>
      </c>
      <c r="AG28" s="106">
        <v>6497.1050855695466</v>
      </c>
      <c r="AH28" s="106">
        <v>4.481665190434013</v>
      </c>
      <c r="AI28" s="106">
        <v>3307.4689105403017</v>
      </c>
      <c r="AJ28" s="106">
        <v>0</v>
      </c>
      <c r="AK28" s="106">
        <v>0</v>
      </c>
      <c r="AL28" s="106">
        <v>11.645394446892904</v>
      </c>
      <c r="AM28" s="106">
        <v>8594.3011018069628</v>
      </c>
      <c r="AN28" s="106">
        <v>0</v>
      </c>
      <c r="AO28" s="106">
        <v>0</v>
      </c>
      <c r="AP28" s="106">
        <v>10.633268671193015</v>
      </c>
      <c r="AQ28" s="106">
        <v>7847.3522793404454</v>
      </c>
      <c r="AR28" s="106">
        <v>0</v>
      </c>
      <c r="AS28" s="106">
        <v>0</v>
      </c>
      <c r="AT28" s="106">
        <v>18.725813777441335</v>
      </c>
      <c r="AU28" s="106">
        <v>13819.650567751705</v>
      </c>
      <c r="AV28" s="106">
        <v>0</v>
      </c>
      <c r="AW28" s="106">
        <v>0</v>
      </c>
      <c r="AX28" s="106">
        <v>6.4244286399909152</v>
      </c>
      <c r="AY28" s="106">
        <v>4741.2283363132956</v>
      </c>
      <c r="AZ28" s="106">
        <v>7.1954981910713878</v>
      </c>
      <c r="BA28" s="106">
        <v>5310.2776650106844</v>
      </c>
      <c r="BB28" s="106">
        <v>1.6776263164474925</v>
      </c>
      <c r="BC28" s="106">
        <v>1238.0882215382494</v>
      </c>
      <c r="BD28" s="106">
        <v>1.0697568215549722</v>
      </c>
      <c r="BE28" s="106">
        <v>789.48053430756954</v>
      </c>
      <c r="BF28" s="106">
        <v>0</v>
      </c>
      <c r="BG28" s="106">
        <v>0</v>
      </c>
      <c r="BH28" s="106">
        <v>4.6708935263422369</v>
      </c>
      <c r="BI28" s="106">
        <v>3447.1194224405708</v>
      </c>
      <c r="BJ28" s="106">
        <v>3.0208785563147664</v>
      </c>
      <c r="BK28" s="106">
        <v>2229.4083745602975</v>
      </c>
      <c r="BL28" s="106">
        <v>3.0628938967262251</v>
      </c>
      <c r="BM28" s="106">
        <v>2260.4156957839541</v>
      </c>
      <c r="BN28" s="106">
        <v>4.2521099116781151</v>
      </c>
      <c r="BO28" s="106">
        <v>3138.057114818449</v>
      </c>
      <c r="BP28" s="106">
        <v>0</v>
      </c>
      <c r="BQ28" s="106">
        <v>0</v>
      </c>
      <c r="BR28" s="106">
        <v>8.9649329186658431</v>
      </c>
      <c r="BS28" s="106">
        <v>6616.1204939753925</v>
      </c>
      <c r="BT28" s="106">
        <v>15.912510785159622</v>
      </c>
      <c r="BU28" s="106">
        <v>11743.4329594478</v>
      </c>
      <c r="BV28" s="106">
        <v>0</v>
      </c>
      <c r="BW28" s="106">
        <v>0</v>
      </c>
      <c r="BX28" s="106">
        <v>5.6686323711363125</v>
      </c>
      <c r="BY28" s="106">
        <v>4183.4506898985983</v>
      </c>
      <c r="BZ28" s="106">
        <v>3.9466460292940955</v>
      </c>
      <c r="CA28" s="106">
        <v>2912.6247696190426</v>
      </c>
      <c r="CB28" s="106">
        <v>2.9263266623628148</v>
      </c>
      <c r="CC28" s="106">
        <v>2159.6290768237573</v>
      </c>
      <c r="CD28" s="106">
        <v>0</v>
      </c>
      <c r="CE28" s="106">
        <v>0</v>
      </c>
      <c r="CF28" s="106">
        <v>6.7134753399866618</v>
      </c>
      <c r="CG28" s="106">
        <v>4954.5448009101565</v>
      </c>
      <c r="CH28" s="106">
        <v>18.956096984939212</v>
      </c>
      <c r="CI28" s="106">
        <v>13989.599574885138</v>
      </c>
      <c r="CJ28" s="106">
        <v>9.1731724438419828</v>
      </c>
      <c r="CK28" s="106">
        <v>6769.8012635553832</v>
      </c>
      <c r="CL28" s="106">
        <v>0</v>
      </c>
      <c r="CM28" s="106">
        <v>0</v>
      </c>
      <c r="CN28" s="106">
        <v>8.5788959637383968</v>
      </c>
      <c r="CO28" s="106">
        <v>6331.2252212389367</v>
      </c>
      <c r="CP28" s="106">
        <v>0</v>
      </c>
      <c r="CQ28" s="106">
        <v>0</v>
      </c>
      <c r="CR28" s="106">
        <v>9.9538434405262581</v>
      </c>
      <c r="CS28" s="106">
        <v>7345.9364591083786</v>
      </c>
      <c r="CT28" s="106">
        <v>8.4186550165364409</v>
      </c>
      <c r="CU28" s="106">
        <v>6212.9674022038935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8.3326627092006991</v>
      </c>
      <c r="O29" s="106">
        <v>2819.7730607935164</v>
      </c>
      <c r="P29" s="106">
        <v>3.4344566908494802</v>
      </c>
      <c r="Q29" s="106">
        <v>1162.2201441834641</v>
      </c>
      <c r="R29" s="106">
        <v>3.8370081863514365</v>
      </c>
      <c r="S29" s="106">
        <v>1298.4435702613259</v>
      </c>
      <c r="T29" s="106">
        <v>5.0826709796672827</v>
      </c>
      <c r="U29" s="106">
        <v>1719.9758595194082</v>
      </c>
      <c r="V29" s="106">
        <v>0</v>
      </c>
      <c r="W29" s="106">
        <v>0</v>
      </c>
      <c r="X29" s="106">
        <v>7.1712994950837095</v>
      </c>
      <c r="Y29" s="106">
        <v>2426.767749136327</v>
      </c>
      <c r="Z29" s="106">
        <v>0</v>
      </c>
      <c r="AA29" s="106">
        <v>0</v>
      </c>
      <c r="AB29" s="106">
        <v>6.5993187381427294</v>
      </c>
      <c r="AC29" s="106">
        <v>2233.2094609874994</v>
      </c>
      <c r="AD29" s="106">
        <v>3.6525187277016387</v>
      </c>
      <c r="AE29" s="106">
        <v>1236.0123374542345</v>
      </c>
      <c r="AF29" s="106">
        <v>8.7118101994514117</v>
      </c>
      <c r="AG29" s="106">
        <v>2948.0765714943577</v>
      </c>
      <c r="AH29" s="106">
        <v>4.149689991142604</v>
      </c>
      <c r="AI29" s="106">
        <v>1404.2550930026571</v>
      </c>
      <c r="AJ29" s="106">
        <v>0</v>
      </c>
      <c r="AK29" s="106">
        <v>0</v>
      </c>
      <c r="AL29" s="106">
        <v>11.14984574702512</v>
      </c>
      <c r="AM29" s="106">
        <v>3773.1078007933002</v>
      </c>
      <c r="AN29" s="106">
        <v>0</v>
      </c>
      <c r="AO29" s="106">
        <v>0</v>
      </c>
      <c r="AP29" s="106">
        <v>11.723860329776915</v>
      </c>
      <c r="AQ29" s="106">
        <v>3967.354335596508</v>
      </c>
      <c r="AR29" s="106">
        <v>0</v>
      </c>
      <c r="AS29" s="106">
        <v>0</v>
      </c>
      <c r="AT29" s="106">
        <v>18.442089326267979</v>
      </c>
      <c r="AU29" s="106">
        <v>6240.8030280090834</v>
      </c>
      <c r="AV29" s="106">
        <v>0</v>
      </c>
      <c r="AW29" s="106">
        <v>0</v>
      </c>
      <c r="AX29" s="106">
        <v>6.5913757109211675</v>
      </c>
      <c r="AY29" s="106">
        <v>2230.5215405757231</v>
      </c>
      <c r="AZ29" s="106">
        <v>6.6947047563216771</v>
      </c>
      <c r="BA29" s="106">
        <v>2265.4880895392553</v>
      </c>
      <c r="BB29" s="106">
        <v>1.8168888797307454</v>
      </c>
      <c r="BC29" s="106">
        <v>614.83519690088417</v>
      </c>
      <c r="BD29" s="106">
        <v>1.0483616851238726</v>
      </c>
      <c r="BE29" s="106">
        <v>354.76559424591846</v>
      </c>
      <c r="BF29" s="106">
        <v>0</v>
      </c>
      <c r="BG29" s="106">
        <v>0</v>
      </c>
      <c r="BH29" s="106">
        <v>5.2863648034755597</v>
      </c>
      <c r="BI29" s="106">
        <v>1788.9058494961293</v>
      </c>
      <c r="BJ29" s="106">
        <v>3.5849070632062228</v>
      </c>
      <c r="BK29" s="106">
        <v>1213.1325501889858</v>
      </c>
      <c r="BL29" s="106">
        <v>3.2792528834089043</v>
      </c>
      <c r="BM29" s="106">
        <v>1109.699175745573</v>
      </c>
      <c r="BN29" s="106">
        <v>4.7154808635917567</v>
      </c>
      <c r="BO29" s="106">
        <v>1595.7187242394502</v>
      </c>
      <c r="BP29" s="106">
        <v>0</v>
      </c>
      <c r="BQ29" s="106">
        <v>0</v>
      </c>
      <c r="BR29" s="106">
        <v>9.7925981514707878</v>
      </c>
      <c r="BS29" s="106">
        <v>3313.8152144577143</v>
      </c>
      <c r="BT29" s="106">
        <v>16.487661777394308</v>
      </c>
      <c r="BU29" s="106">
        <v>5579.4247454702336</v>
      </c>
      <c r="BV29" s="106">
        <v>0</v>
      </c>
      <c r="BW29" s="106">
        <v>0</v>
      </c>
      <c r="BX29" s="106">
        <v>5.524771118398637</v>
      </c>
      <c r="BY29" s="106">
        <v>1869.5825464660986</v>
      </c>
      <c r="BZ29" s="106">
        <v>4.3547984969132099</v>
      </c>
      <c r="CA29" s="106">
        <v>1473.6638113554302</v>
      </c>
      <c r="CB29" s="106">
        <v>3.1414977404777278</v>
      </c>
      <c r="CC29" s="106">
        <v>1063.0828353776631</v>
      </c>
      <c r="CD29" s="106">
        <v>0</v>
      </c>
      <c r="CE29" s="106">
        <v>0</v>
      </c>
      <c r="CF29" s="106">
        <v>7.7129589031061698</v>
      </c>
      <c r="CG29" s="106">
        <v>2610.0652928111276</v>
      </c>
      <c r="CH29" s="106">
        <v>21.696488590205369</v>
      </c>
      <c r="CI29" s="106">
        <v>7342.0917389254964</v>
      </c>
      <c r="CJ29" s="106">
        <v>10.310742641363284</v>
      </c>
      <c r="CK29" s="106">
        <v>3489.1553098373352</v>
      </c>
      <c r="CL29" s="106">
        <v>0</v>
      </c>
      <c r="CM29" s="106">
        <v>0</v>
      </c>
      <c r="CN29" s="106">
        <v>9.5231140729548898</v>
      </c>
      <c r="CO29" s="106">
        <v>3222.6218022879343</v>
      </c>
      <c r="CP29" s="106">
        <v>0</v>
      </c>
      <c r="CQ29" s="106">
        <v>0</v>
      </c>
      <c r="CR29" s="106">
        <v>10.912685601373228</v>
      </c>
      <c r="CS29" s="106">
        <v>3692.8528075047002</v>
      </c>
      <c r="CT29" s="106">
        <v>10.971408473163619</v>
      </c>
      <c r="CU29" s="106">
        <v>3712.7246273185683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8.3845079136436986</v>
      </c>
      <c r="O30" s="106">
        <v>1167.1235015792029</v>
      </c>
      <c r="P30" s="106">
        <v>3.5469739280425818</v>
      </c>
      <c r="Q30" s="106">
        <v>493.73877078352734</v>
      </c>
      <c r="R30" s="106">
        <v>4.0006402077602177</v>
      </c>
      <c r="S30" s="106">
        <v>556.88911692022225</v>
      </c>
      <c r="T30" s="106">
        <v>4.5546012674940588</v>
      </c>
      <c r="U30" s="106">
        <v>634.00049643517298</v>
      </c>
      <c r="V30" s="106">
        <v>0</v>
      </c>
      <c r="W30" s="106">
        <v>0</v>
      </c>
      <c r="X30" s="106">
        <v>7.1712994950837095</v>
      </c>
      <c r="Y30" s="106">
        <v>998.24488971565222</v>
      </c>
      <c r="Z30" s="106">
        <v>0</v>
      </c>
      <c r="AA30" s="106">
        <v>0</v>
      </c>
      <c r="AB30" s="106">
        <v>7.2351187264839201</v>
      </c>
      <c r="AC30" s="106">
        <v>1007.1285267265616</v>
      </c>
      <c r="AD30" s="106">
        <v>3.6084074288648713</v>
      </c>
      <c r="AE30" s="106">
        <v>502.29031409799006</v>
      </c>
      <c r="AF30" s="106">
        <v>9.2008568792878727</v>
      </c>
      <c r="AG30" s="106">
        <v>1280.7592775968717</v>
      </c>
      <c r="AH30" s="106">
        <v>4.8966341895482728</v>
      </c>
      <c r="AI30" s="106">
        <v>681.61147918511949</v>
      </c>
      <c r="AJ30" s="106">
        <v>0</v>
      </c>
      <c r="AK30" s="106">
        <v>0</v>
      </c>
      <c r="AL30" s="106">
        <v>11.397620096959011</v>
      </c>
      <c r="AM30" s="106">
        <v>1586.5487174966943</v>
      </c>
      <c r="AN30" s="106">
        <v>0</v>
      </c>
      <c r="AO30" s="106">
        <v>0</v>
      </c>
      <c r="AP30" s="106">
        <v>11.178564500484965</v>
      </c>
      <c r="AQ30" s="106">
        <v>1556.0561784675069</v>
      </c>
      <c r="AR30" s="106">
        <v>0</v>
      </c>
      <c r="AS30" s="106">
        <v>0</v>
      </c>
      <c r="AT30" s="106">
        <v>18.442089326267979</v>
      </c>
      <c r="AU30" s="106">
        <v>2567.1388342165023</v>
      </c>
      <c r="AV30" s="106">
        <v>0</v>
      </c>
      <c r="AW30" s="106">
        <v>0</v>
      </c>
      <c r="AX30" s="106">
        <v>6.7887132349706496</v>
      </c>
      <c r="AY30" s="106">
        <v>944.98888230791431</v>
      </c>
      <c r="AZ30" s="106">
        <v>6.8090251757112883</v>
      </c>
      <c r="BA30" s="106">
        <v>947.81630445901123</v>
      </c>
      <c r="BB30" s="106">
        <v>1.8848107816789843</v>
      </c>
      <c r="BC30" s="106">
        <v>262.3656608097146</v>
      </c>
      <c r="BD30" s="106">
        <v>1.2195227765726682</v>
      </c>
      <c r="BE30" s="106">
        <v>169.75757049891538</v>
      </c>
      <c r="BF30" s="106">
        <v>0</v>
      </c>
      <c r="BG30" s="106">
        <v>0</v>
      </c>
      <c r="BH30" s="106">
        <v>5.3687453063121753</v>
      </c>
      <c r="BI30" s="106">
        <v>747.32934663865478</v>
      </c>
      <c r="BJ30" s="106">
        <v>3.5581139629872123</v>
      </c>
      <c r="BK30" s="106">
        <v>495.2894636478199</v>
      </c>
      <c r="BL30" s="106">
        <v>3.6034978920422396</v>
      </c>
      <c r="BM30" s="106">
        <v>501.60690657227968</v>
      </c>
      <c r="BN30" s="106">
        <v>4.7154808635917567</v>
      </c>
      <c r="BO30" s="106">
        <v>656.39493621197244</v>
      </c>
      <c r="BP30" s="106">
        <v>0</v>
      </c>
      <c r="BQ30" s="106">
        <v>0</v>
      </c>
      <c r="BR30" s="106">
        <v>10.396341808323211</v>
      </c>
      <c r="BS30" s="106">
        <v>1447.1707797185909</v>
      </c>
      <c r="BT30" s="106">
        <v>15.720793787748059</v>
      </c>
      <c r="BU30" s="106">
        <v>2188.3344952545299</v>
      </c>
      <c r="BV30" s="106">
        <v>0</v>
      </c>
      <c r="BW30" s="106">
        <v>0</v>
      </c>
      <c r="BX30" s="106">
        <v>6.8708605737552091</v>
      </c>
      <c r="BY30" s="106">
        <v>956.42379186672508</v>
      </c>
      <c r="BZ30" s="106">
        <v>4.7283140737447438</v>
      </c>
      <c r="CA30" s="106">
        <v>658.18131906526833</v>
      </c>
      <c r="CB30" s="106">
        <v>3.3566688185926403</v>
      </c>
      <c r="CC30" s="106">
        <v>467.24829954809547</v>
      </c>
      <c r="CD30" s="106">
        <v>0</v>
      </c>
      <c r="CE30" s="106">
        <v>0</v>
      </c>
      <c r="CF30" s="106">
        <v>7.7093411374261933</v>
      </c>
      <c r="CG30" s="106">
        <v>1073.140286329726</v>
      </c>
      <c r="CH30" s="106">
        <v>24.283115036418412</v>
      </c>
      <c r="CI30" s="106">
        <v>3380.2096130694426</v>
      </c>
      <c r="CJ30" s="106">
        <v>11.182073005422154</v>
      </c>
      <c r="CK30" s="106">
        <v>1556.5445623547637</v>
      </c>
      <c r="CL30" s="106">
        <v>0</v>
      </c>
      <c r="CM30" s="106">
        <v>0</v>
      </c>
      <c r="CN30" s="106">
        <v>9.1454268292682919</v>
      </c>
      <c r="CO30" s="106">
        <v>1273.0434146341461</v>
      </c>
      <c r="CP30" s="106">
        <v>0</v>
      </c>
      <c r="CQ30" s="106">
        <v>0</v>
      </c>
      <c r="CR30" s="106">
        <v>11.344218571907875</v>
      </c>
      <c r="CS30" s="106">
        <v>1579.1152252095762</v>
      </c>
      <c r="CT30" s="106">
        <v>11.677489216486032</v>
      </c>
      <c r="CU30" s="106">
        <v>1625.5064989348555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8.2744048223364821</v>
      </c>
      <c r="O31" s="106">
        <v>2819.9171634522731</v>
      </c>
      <c r="P31" s="106">
        <v>3.5129326879849887</v>
      </c>
      <c r="Q31" s="106">
        <v>1197.2074600652843</v>
      </c>
      <c r="R31" s="106">
        <v>3.4198566793191727</v>
      </c>
      <c r="S31" s="106">
        <v>1165.4871563119741</v>
      </c>
      <c r="T31" s="106">
        <v>4.422583839450752</v>
      </c>
      <c r="U31" s="106">
        <v>1507.2165724848164</v>
      </c>
      <c r="V31" s="106">
        <v>0</v>
      </c>
      <c r="W31" s="106">
        <v>0</v>
      </c>
      <c r="X31" s="106">
        <v>6.5736912038267334</v>
      </c>
      <c r="Y31" s="106">
        <v>2240.3139622641506</v>
      </c>
      <c r="Z31" s="106">
        <v>0</v>
      </c>
      <c r="AA31" s="106">
        <v>0</v>
      </c>
      <c r="AB31" s="106">
        <v>6.7486960927980553</v>
      </c>
      <c r="AC31" s="106">
        <v>2299.9556284255773</v>
      </c>
      <c r="AD31" s="106">
        <v>3.3983256354832214</v>
      </c>
      <c r="AE31" s="106">
        <v>1158.1493765726818</v>
      </c>
      <c r="AF31" s="106">
        <v>9.4013433034819762</v>
      </c>
      <c r="AG31" s="106">
        <v>3203.9777978266575</v>
      </c>
      <c r="AH31" s="106">
        <v>4.2326837909654556</v>
      </c>
      <c r="AI31" s="106">
        <v>1442.4986359610273</v>
      </c>
      <c r="AJ31" s="106">
        <v>0</v>
      </c>
      <c r="AK31" s="106">
        <v>0</v>
      </c>
      <c r="AL31" s="106">
        <v>13.132040546496253</v>
      </c>
      <c r="AM31" s="106">
        <v>4475.3994182459228</v>
      </c>
      <c r="AN31" s="106">
        <v>0</v>
      </c>
      <c r="AO31" s="106">
        <v>0</v>
      </c>
      <c r="AP31" s="106">
        <v>11.178564500484965</v>
      </c>
      <c r="AQ31" s="106">
        <v>3809.6547817652763</v>
      </c>
      <c r="AR31" s="106">
        <v>0</v>
      </c>
      <c r="AS31" s="106">
        <v>0</v>
      </c>
      <c r="AT31" s="106">
        <v>18.725813777441335</v>
      </c>
      <c r="AU31" s="106">
        <v>6381.7573353520074</v>
      </c>
      <c r="AV31" s="106">
        <v>0</v>
      </c>
      <c r="AW31" s="106">
        <v>0</v>
      </c>
      <c r="AX31" s="106">
        <v>6.4244286399909152</v>
      </c>
      <c r="AY31" s="106">
        <v>2189.445280508904</v>
      </c>
      <c r="AZ31" s="106">
        <v>6.8100554032282767</v>
      </c>
      <c r="BA31" s="106">
        <v>2320.8668814201969</v>
      </c>
      <c r="BB31" s="106">
        <v>1.9832228883401692</v>
      </c>
      <c r="BC31" s="106">
        <v>675.88236034632973</v>
      </c>
      <c r="BD31" s="106">
        <v>1.0697568215549722</v>
      </c>
      <c r="BE31" s="106">
        <v>364.57312478593457</v>
      </c>
      <c r="BF31" s="106">
        <v>0</v>
      </c>
      <c r="BG31" s="106">
        <v>0</v>
      </c>
      <c r="BH31" s="106">
        <v>5.024670385986834</v>
      </c>
      <c r="BI31" s="106">
        <v>1712.4076675443132</v>
      </c>
      <c r="BJ31" s="106">
        <v>3.2752007786102739</v>
      </c>
      <c r="BK31" s="106">
        <v>1116.1884253503813</v>
      </c>
      <c r="BL31" s="106">
        <v>3.3644227350368037</v>
      </c>
      <c r="BM31" s="106">
        <v>1146.5952681005426</v>
      </c>
      <c r="BN31" s="106">
        <v>4.3611383709519131</v>
      </c>
      <c r="BO31" s="106">
        <v>1486.2759568204121</v>
      </c>
      <c r="BP31" s="106">
        <v>0</v>
      </c>
      <c r="BQ31" s="106">
        <v>0</v>
      </c>
      <c r="BR31" s="106">
        <v>8.6808635141407997</v>
      </c>
      <c r="BS31" s="106">
        <v>2958.4382856191846</v>
      </c>
      <c r="BT31" s="106">
        <v>17.062812769628991</v>
      </c>
      <c r="BU31" s="106">
        <v>5815.0065918895607</v>
      </c>
      <c r="BV31" s="106">
        <v>0</v>
      </c>
      <c r="BW31" s="106">
        <v>0</v>
      </c>
      <c r="BX31" s="106">
        <v>6.1513498567332983</v>
      </c>
      <c r="BY31" s="106">
        <v>2096.3800311747082</v>
      </c>
      <c r="BZ31" s="106">
        <v>4.6862631557879659</v>
      </c>
      <c r="CA31" s="106">
        <v>1597.0784834925389</v>
      </c>
      <c r="CB31" s="106">
        <v>2.969360877985797</v>
      </c>
      <c r="CC31" s="106">
        <v>1011.9581872175596</v>
      </c>
      <c r="CD31" s="106">
        <v>0</v>
      </c>
      <c r="CE31" s="106">
        <v>0</v>
      </c>
      <c r="CF31" s="106">
        <v>6.5365191946665924</v>
      </c>
      <c r="CG31" s="106">
        <v>2227.6457415423747</v>
      </c>
      <c r="CH31" s="106">
        <v>21.640569528591904</v>
      </c>
      <c r="CI31" s="106">
        <v>7375.1060953441211</v>
      </c>
      <c r="CJ31" s="106">
        <v>11.182073005422154</v>
      </c>
      <c r="CK31" s="106">
        <v>3810.8504802478701</v>
      </c>
      <c r="CL31" s="106">
        <v>0</v>
      </c>
      <c r="CM31" s="106">
        <v>0</v>
      </c>
      <c r="CN31" s="106">
        <v>9.0914715087416358</v>
      </c>
      <c r="CO31" s="106">
        <v>3098.3734901791495</v>
      </c>
      <c r="CP31" s="106">
        <v>0</v>
      </c>
      <c r="CQ31" s="106">
        <v>0</v>
      </c>
      <c r="CR31" s="106">
        <v>11.322109750971336</v>
      </c>
      <c r="CS31" s="106">
        <v>3858.5750031310313</v>
      </c>
      <c r="CT31" s="106">
        <v>9.3419913731888258</v>
      </c>
      <c r="CU31" s="106">
        <v>3183.750659982752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7.7226068293161507</v>
      </c>
      <c r="O32" s="106">
        <v>6486.9897366255664</v>
      </c>
      <c r="P32" s="106">
        <v>3.0267955514660816</v>
      </c>
      <c r="Q32" s="106">
        <v>2542.5082632315084</v>
      </c>
      <c r="R32" s="106">
        <v>3.3928836184736468</v>
      </c>
      <c r="S32" s="106">
        <v>2850.0222395178635</v>
      </c>
      <c r="T32" s="106">
        <v>4.6206099815157122</v>
      </c>
      <c r="U32" s="106">
        <v>3881.3123844731981</v>
      </c>
      <c r="V32" s="106">
        <v>0</v>
      </c>
      <c r="W32" s="106">
        <v>0</v>
      </c>
      <c r="X32" s="106">
        <v>6.6732925857028969</v>
      </c>
      <c r="Y32" s="106">
        <v>5605.5657719904329</v>
      </c>
      <c r="Z32" s="106">
        <v>0</v>
      </c>
      <c r="AA32" s="106">
        <v>0</v>
      </c>
      <c r="AB32" s="106">
        <v>6.8980734474533811</v>
      </c>
      <c r="AC32" s="106">
        <v>5794.3816958608404</v>
      </c>
      <c r="AD32" s="106">
        <v>3.0357947209256175</v>
      </c>
      <c r="AE32" s="106">
        <v>2550.0675655775185</v>
      </c>
      <c r="AF32" s="106">
        <v>9.2633541636213881</v>
      </c>
      <c r="AG32" s="106">
        <v>7781.2174974419659</v>
      </c>
      <c r="AH32" s="106">
        <v>4.3986713906111605</v>
      </c>
      <c r="AI32" s="106">
        <v>3694.883968113375</v>
      </c>
      <c r="AJ32" s="106">
        <v>0</v>
      </c>
      <c r="AK32" s="106">
        <v>0</v>
      </c>
      <c r="AL32" s="106">
        <v>11.893168796826794</v>
      </c>
      <c r="AM32" s="106">
        <v>9990.2617893345068</v>
      </c>
      <c r="AN32" s="106">
        <v>0</v>
      </c>
      <c r="AO32" s="106">
        <v>0</v>
      </c>
      <c r="AP32" s="106">
        <v>10.087972841901065</v>
      </c>
      <c r="AQ32" s="106">
        <v>8473.8971871968952</v>
      </c>
      <c r="AR32" s="106">
        <v>0</v>
      </c>
      <c r="AS32" s="106">
        <v>0</v>
      </c>
      <c r="AT32" s="106">
        <v>19.009538228614687</v>
      </c>
      <c r="AU32" s="106">
        <v>15968.012112036336</v>
      </c>
      <c r="AV32" s="106">
        <v>0</v>
      </c>
      <c r="AW32" s="106">
        <v>0</v>
      </c>
      <c r="AX32" s="106">
        <v>6.125990026769518</v>
      </c>
      <c r="AY32" s="106">
        <v>5145.8316224863947</v>
      </c>
      <c r="AZ32" s="106">
        <v>6.092285683531153</v>
      </c>
      <c r="BA32" s="106">
        <v>5117.5199741661681</v>
      </c>
      <c r="BB32" s="106">
        <v>1.8542808918035911</v>
      </c>
      <c r="BC32" s="106">
        <v>1557.5959491150165</v>
      </c>
      <c r="BD32" s="106">
        <v>1.1125470944171709</v>
      </c>
      <c r="BE32" s="106">
        <v>934.53955931042356</v>
      </c>
      <c r="BF32" s="106">
        <v>0</v>
      </c>
      <c r="BG32" s="106">
        <v>0</v>
      </c>
      <c r="BH32" s="106">
        <v>4.2730158334835568</v>
      </c>
      <c r="BI32" s="106">
        <v>3589.3333001261876</v>
      </c>
      <c r="BJ32" s="106">
        <v>3.4169570144424801</v>
      </c>
      <c r="BK32" s="106">
        <v>2870.2438921316834</v>
      </c>
      <c r="BL32" s="106">
        <v>2.7713430856988781</v>
      </c>
      <c r="BM32" s="106">
        <v>2327.9281919870577</v>
      </c>
      <c r="BN32" s="106">
        <v>3.8705103042198234</v>
      </c>
      <c r="BO32" s="106">
        <v>3251.2286555446517</v>
      </c>
      <c r="BP32" s="106">
        <v>0</v>
      </c>
      <c r="BQ32" s="106">
        <v>0</v>
      </c>
      <c r="BR32" s="106">
        <v>8.6917715055942182</v>
      </c>
      <c r="BS32" s="106">
        <v>7301.0880646991436</v>
      </c>
      <c r="BT32" s="106">
        <v>17.062812769628991</v>
      </c>
      <c r="BU32" s="106">
        <v>14332.762726488352</v>
      </c>
      <c r="BV32" s="106">
        <v>0</v>
      </c>
      <c r="BW32" s="106">
        <v>0</v>
      </c>
      <c r="BX32" s="106">
        <v>5.5284235274974911</v>
      </c>
      <c r="BY32" s="106">
        <v>4643.8757630978926</v>
      </c>
      <c r="BZ32" s="106">
        <v>3.8662512069651394</v>
      </c>
      <c r="CA32" s="106">
        <v>3247.6510138507169</v>
      </c>
      <c r="CB32" s="106">
        <v>3.01239509360878</v>
      </c>
      <c r="CC32" s="106">
        <v>2530.4118786313752</v>
      </c>
      <c r="CD32" s="106">
        <v>0</v>
      </c>
      <c r="CE32" s="106">
        <v>0</v>
      </c>
      <c r="CF32" s="106">
        <v>6.5116236795078812</v>
      </c>
      <c r="CG32" s="106">
        <v>5469.7638907866203</v>
      </c>
      <c r="CH32" s="106">
        <v>17.630820744370169</v>
      </c>
      <c r="CI32" s="106">
        <v>14809.889425270942</v>
      </c>
      <c r="CJ32" s="106">
        <v>8.5680819132455461</v>
      </c>
      <c r="CK32" s="106">
        <v>7197.1888071262583</v>
      </c>
      <c r="CL32" s="106">
        <v>0</v>
      </c>
      <c r="CM32" s="106">
        <v>0</v>
      </c>
      <c r="CN32" s="106">
        <v>7.4728118929419383</v>
      </c>
      <c r="CO32" s="106">
        <v>6277.1619900712285</v>
      </c>
      <c r="CP32" s="106">
        <v>0</v>
      </c>
      <c r="CQ32" s="106">
        <v>0</v>
      </c>
      <c r="CR32" s="106">
        <v>9.2103557862791696</v>
      </c>
      <c r="CS32" s="106">
        <v>7736.6988604745029</v>
      </c>
      <c r="CT32" s="106">
        <v>8.8531662431963873</v>
      </c>
      <c r="CU32" s="106">
        <v>7436.659644284965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7.4685109530381313</v>
      </c>
      <c r="O33" s="106">
        <v>3540.0741917400742</v>
      </c>
      <c r="P33" s="106">
        <v>3.5388661372869463</v>
      </c>
      <c r="Q33" s="106">
        <v>1677.4225490740125</v>
      </c>
      <c r="R33" s="106">
        <v>3.6098638761282702</v>
      </c>
      <c r="S33" s="106">
        <v>1711.0754772848002</v>
      </c>
      <c r="T33" s="106">
        <v>5.1486796936889361</v>
      </c>
      <c r="U33" s="106">
        <v>2440.4741748085557</v>
      </c>
      <c r="V33" s="106">
        <v>0</v>
      </c>
      <c r="W33" s="106">
        <v>0</v>
      </c>
      <c r="X33" s="106">
        <v>7.1712994950837095</v>
      </c>
      <c r="Y33" s="106">
        <v>3399.1959606696782</v>
      </c>
      <c r="Z33" s="106">
        <v>0</v>
      </c>
      <c r="AA33" s="106">
        <v>0</v>
      </c>
      <c r="AB33" s="106">
        <v>6.6280366654326448</v>
      </c>
      <c r="AC33" s="106">
        <v>3141.6893794150737</v>
      </c>
      <c r="AD33" s="106">
        <v>3.1882438421015706</v>
      </c>
      <c r="AE33" s="106">
        <v>1511.2275811561444</v>
      </c>
      <c r="AF33" s="106">
        <v>8.4148619598616055</v>
      </c>
      <c r="AG33" s="106">
        <v>3988.644568974401</v>
      </c>
      <c r="AH33" s="106">
        <v>4.315677590788308</v>
      </c>
      <c r="AI33" s="106">
        <v>2045.631178033658</v>
      </c>
      <c r="AJ33" s="106">
        <v>0</v>
      </c>
      <c r="AK33" s="106">
        <v>0</v>
      </c>
      <c r="AL33" s="106">
        <v>11.397620096959011</v>
      </c>
      <c r="AM33" s="106">
        <v>5402.4719259585718</v>
      </c>
      <c r="AN33" s="106">
        <v>0</v>
      </c>
      <c r="AO33" s="106">
        <v>0</v>
      </c>
      <c r="AP33" s="106">
        <v>12.54180407371484</v>
      </c>
      <c r="AQ33" s="106">
        <v>5944.815130940834</v>
      </c>
      <c r="AR33" s="106">
        <v>0</v>
      </c>
      <c r="AS33" s="106">
        <v>0</v>
      </c>
      <c r="AT33" s="106">
        <v>18.725813777441335</v>
      </c>
      <c r="AU33" s="106">
        <v>8876.0357305071921</v>
      </c>
      <c r="AV33" s="106">
        <v>0</v>
      </c>
      <c r="AW33" s="106">
        <v>0</v>
      </c>
      <c r="AX33" s="106">
        <v>6.8442286444637164</v>
      </c>
      <c r="AY33" s="106">
        <v>3244.1643774758018</v>
      </c>
      <c r="AZ33" s="106">
        <v>6.4602819908358562</v>
      </c>
      <c r="BA33" s="106">
        <v>3062.1736636561959</v>
      </c>
      <c r="BB33" s="106">
        <v>1.6583957079032139</v>
      </c>
      <c r="BC33" s="106">
        <v>786.07956554612338</v>
      </c>
      <c r="BD33" s="106">
        <v>1.0911519579860716</v>
      </c>
      <c r="BE33" s="106">
        <v>517.20602808539797</v>
      </c>
      <c r="BF33" s="106">
        <v>0</v>
      </c>
      <c r="BG33" s="106">
        <v>0</v>
      </c>
      <c r="BH33" s="106">
        <v>4.9393793013544416</v>
      </c>
      <c r="BI33" s="106">
        <v>2341.2657888420053</v>
      </c>
      <c r="BJ33" s="106">
        <v>3.7832459359138157</v>
      </c>
      <c r="BK33" s="106">
        <v>1793.2585736231488</v>
      </c>
      <c r="BL33" s="106">
        <v>3.2017132879387695</v>
      </c>
      <c r="BM33" s="106">
        <v>1517.6120984829768</v>
      </c>
      <c r="BN33" s="106">
        <v>4.5246810598626102</v>
      </c>
      <c r="BO33" s="106">
        <v>2144.6988223748772</v>
      </c>
      <c r="BP33" s="106">
        <v>0</v>
      </c>
      <c r="BQ33" s="106">
        <v>0</v>
      </c>
      <c r="BR33" s="106">
        <v>9.6068545456052288</v>
      </c>
      <c r="BS33" s="106">
        <v>4553.6490546168789</v>
      </c>
      <c r="BT33" s="106">
        <v>15.912510785159622</v>
      </c>
      <c r="BU33" s="106">
        <v>7542.5301121656612</v>
      </c>
      <c r="BV33" s="106">
        <v>0</v>
      </c>
      <c r="BW33" s="106">
        <v>0</v>
      </c>
      <c r="BX33" s="106">
        <v>5.5192925047503554</v>
      </c>
      <c r="BY33" s="106">
        <v>2616.1446472516686</v>
      </c>
      <c r="BZ33" s="106">
        <v>4.1903018386706981</v>
      </c>
      <c r="CA33" s="106">
        <v>1986.2030715299109</v>
      </c>
      <c r="CB33" s="106">
        <v>3.0554293092317626</v>
      </c>
      <c r="CC33" s="106">
        <v>1448.2734925758555</v>
      </c>
      <c r="CD33" s="106">
        <v>0</v>
      </c>
      <c r="CE33" s="106">
        <v>0</v>
      </c>
      <c r="CF33" s="106">
        <v>6.3824691190569833</v>
      </c>
      <c r="CG33" s="106">
        <v>3025.2903624330102</v>
      </c>
      <c r="CH33" s="106">
        <v>20.06330707228431</v>
      </c>
      <c r="CI33" s="106">
        <v>9510.0075522627631</v>
      </c>
      <c r="CJ33" s="106">
        <v>10.06870642912471</v>
      </c>
      <c r="CK33" s="106">
        <v>4772.5668474051126</v>
      </c>
      <c r="CL33" s="106">
        <v>0</v>
      </c>
      <c r="CM33" s="106">
        <v>0</v>
      </c>
      <c r="CN33" s="106">
        <v>7.8504991366285344</v>
      </c>
      <c r="CO33" s="106">
        <v>3721.1365907619252</v>
      </c>
      <c r="CP33" s="106">
        <v>0</v>
      </c>
      <c r="CQ33" s="106">
        <v>0</v>
      </c>
      <c r="CR33" s="106">
        <v>11.79905496366667</v>
      </c>
      <c r="CS33" s="106">
        <v>5592.7520527780016</v>
      </c>
      <c r="CT33" s="106">
        <v>9.3419913731888258</v>
      </c>
      <c r="CU33" s="106">
        <v>4428.1039108915038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7.120246168337065</v>
      </c>
      <c r="O34" s="106">
        <v>3904.7429987160463</v>
      </c>
      <c r="P34" s="106">
        <v>3.1447179824962728</v>
      </c>
      <c r="Q34" s="106">
        <v>1724.5633416009559</v>
      </c>
      <c r="R34" s="106">
        <v>3.3946772748092724</v>
      </c>
      <c r="S34" s="106">
        <v>1861.641017505405</v>
      </c>
      <c r="T34" s="106">
        <v>4.3565751254290994</v>
      </c>
      <c r="U34" s="106">
        <v>2389.1457987853182</v>
      </c>
      <c r="V34" s="106">
        <v>0</v>
      </c>
      <c r="W34" s="106">
        <v>0</v>
      </c>
      <c r="X34" s="106">
        <v>6.9720967313313844</v>
      </c>
      <c r="Y34" s="106">
        <v>3823.4978474621312</v>
      </c>
      <c r="Z34" s="106">
        <v>0</v>
      </c>
      <c r="AA34" s="106">
        <v>0</v>
      </c>
      <c r="AB34" s="106">
        <v>7.3797097599242596</v>
      </c>
      <c r="AC34" s="106">
        <v>4047.0328323424637</v>
      </c>
      <c r="AD34" s="106">
        <v>3.5746039954425455</v>
      </c>
      <c r="AE34" s="106">
        <v>1960.3128311006919</v>
      </c>
      <c r="AF34" s="106">
        <v>9.9113599431870654</v>
      </c>
      <c r="AG34" s="106">
        <v>5435.3897928437864</v>
      </c>
      <c r="AH34" s="106">
        <v>4.3986713906111605</v>
      </c>
      <c r="AI34" s="106">
        <v>2412.2313906111604</v>
      </c>
      <c r="AJ34" s="106">
        <v>0</v>
      </c>
      <c r="AK34" s="106">
        <v>0</v>
      </c>
      <c r="AL34" s="106">
        <v>11.645394446892904</v>
      </c>
      <c r="AM34" s="106">
        <v>6386.334314676069</v>
      </c>
      <c r="AN34" s="106">
        <v>0</v>
      </c>
      <c r="AO34" s="106">
        <v>0</v>
      </c>
      <c r="AP34" s="106">
        <v>11.996508244422889</v>
      </c>
      <c r="AQ34" s="106">
        <v>6578.885121241512</v>
      </c>
      <c r="AR34" s="106">
        <v>0</v>
      </c>
      <c r="AS34" s="106">
        <v>0</v>
      </c>
      <c r="AT34" s="106">
        <v>19.009538228614687</v>
      </c>
      <c r="AU34" s="106">
        <v>10424.830764572294</v>
      </c>
      <c r="AV34" s="106">
        <v>0</v>
      </c>
      <c r="AW34" s="106">
        <v>0</v>
      </c>
      <c r="AX34" s="106">
        <v>5.868072017707096</v>
      </c>
      <c r="AY34" s="106">
        <v>3218.0506945105712</v>
      </c>
      <c r="AZ34" s="106">
        <v>7.3892460687737991</v>
      </c>
      <c r="BA34" s="106">
        <v>4052.2625441155515</v>
      </c>
      <c r="BB34" s="106">
        <v>1.7950578873133183</v>
      </c>
      <c r="BC34" s="106">
        <v>984.40974540262368</v>
      </c>
      <c r="BD34" s="106">
        <v>1.0911519579860716</v>
      </c>
      <c r="BE34" s="106">
        <v>598.38773375956157</v>
      </c>
      <c r="BF34" s="106">
        <v>0</v>
      </c>
      <c r="BG34" s="106">
        <v>0</v>
      </c>
      <c r="BH34" s="106">
        <v>4.9698974195215699</v>
      </c>
      <c r="BI34" s="106">
        <v>2725.4917448656288</v>
      </c>
      <c r="BJ34" s="106">
        <v>3.4443494019489633</v>
      </c>
      <c r="BK34" s="106">
        <v>1888.8812120288114</v>
      </c>
      <c r="BL34" s="106">
        <v>3.0425254975289344</v>
      </c>
      <c r="BM34" s="106">
        <v>1668.5209828448676</v>
      </c>
      <c r="BN34" s="106">
        <v>4.415652600588813</v>
      </c>
      <c r="BO34" s="106">
        <v>2421.543886162905</v>
      </c>
      <c r="BP34" s="106">
        <v>0</v>
      </c>
      <c r="BQ34" s="106">
        <v>0</v>
      </c>
      <c r="BR34" s="106">
        <v>9.7762361642906601</v>
      </c>
      <c r="BS34" s="106">
        <v>5361.2879124969977</v>
      </c>
      <c r="BT34" s="106">
        <v>15.337359792924937</v>
      </c>
      <c r="BU34" s="106">
        <v>8411.008110440036</v>
      </c>
      <c r="BV34" s="106">
        <v>0</v>
      </c>
      <c r="BW34" s="106">
        <v>0</v>
      </c>
      <c r="BX34" s="106">
        <v>6.3863168836087967</v>
      </c>
      <c r="BY34" s="106">
        <v>3502.2561789710639</v>
      </c>
      <c r="BZ34" s="106">
        <v>3.9454103580992297</v>
      </c>
      <c r="CA34" s="106">
        <v>2163.6630403816175</v>
      </c>
      <c r="CB34" s="106">
        <v>3.2060490639122015</v>
      </c>
      <c r="CC34" s="106">
        <v>1758.1973066494511</v>
      </c>
      <c r="CD34" s="106">
        <v>0</v>
      </c>
      <c r="CE34" s="106">
        <v>0</v>
      </c>
      <c r="CF34" s="106">
        <v>6.124977381402414</v>
      </c>
      <c r="CG34" s="106">
        <v>3358.9375959610838</v>
      </c>
      <c r="CH34" s="106">
        <v>21.765502634507598</v>
      </c>
      <c r="CI34" s="106">
        <v>11936.201644763967</v>
      </c>
      <c r="CJ34" s="106">
        <v>9.9960955654531372</v>
      </c>
      <c r="CK34" s="106">
        <v>5481.8588080945001</v>
      </c>
      <c r="CL34" s="106">
        <v>0</v>
      </c>
      <c r="CM34" s="106">
        <v>0</v>
      </c>
      <c r="CN34" s="106">
        <v>8.6868066047917107</v>
      </c>
      <c r="CO34" s="106">
        <v>4763.844742067774</v>
      </c>
      <c r="CP34" s="106">
        <v>0</v>
      </c>
      <c r="CQ34" s="106">
        <v>0</v>
      </c>
      <c r="CR34" s="106">
        <v>10.150090301180732</v>
      </c>
      <c r="CS34" s="106">
        <v>5566.3095211675136</v>
      </c>
      <c r="CT34" s="106">
        <v>10.211013826508715</v>
      </c>
      <c r="CU34" s="106">
        <v>5599.719982457379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8.3249674902952382</v>
      </c>
      <c r="O35" s="106">
        <v>4185.7936541204454</v>
      </c>
      <c r="P35" s="106">
        <v>3.2872225643691495</v>
      </c>
      <c r="Q35" s="106">
        <v>1652.8155053648081</v>
      </c>
      <c r="R35" s="106">
        <v>3.1770991317094404</v>
      </c>
      <c r="S35" s="106">
        <v>1597.4454434235063</v>
      </c>
      <c r="T35" s="106">
        <v>4.422583839450752</v>
      </c>
      <c r="U35" s="106">
        <v>2223.6751544758376</v>
      </c>
      <c r="V35" s="106">
        <v>0</v>
      </c>
      <c r="W35" s="106">
        <v>0</v>
      </c>
      <c r="X35" s="106">
        <v>6.3744884400744084</v>
      </c>
      <c r="Y35" s="106">
        <v>3205.0927876694118</v>
      </c>
      <c r="Z35" s="106">
        <v>0</v>
      </c>
      <c r="AA35" s="106">
        <v>0</v>
      </c>
      <c r="AB35" s="106">
        <v>7.2064007991940047</v>
      </c>
      <c r="AC35" s="106">
        <v>3623.3783218347448</v>
      </c>
      <c r="AD35" s="106">
        <v>3.6558990710438706</v>
      </c>
      <c r="AE35" s="106">
        <v>1838.1860529208577</v>
      </c>
      <c r="AF35" s="106">
        <v>9.2759361395425657</v>
      </c>
      <c r="AG35" s="106">
        <v>4663.9406909620011</v>
      </c>
      <c r="AH35" s="106">
        <v>4.3986713906111605</v>
      </c>
      <c r="AI35" s="106">
        <v>2211.651975199291</v>
      </c>
      <c r="AJ35" s="106">
        <v>0</v>
      </c>
      <c r="AK35" s="106">
        <v>0</v>
      </c>
      <c r="AL35" s="106">
        <v>12.388717496694579</v>
      </c>
      <c r="AM35" s="106">
        <v>6229.0471573380328</v>
      </c>
      <c r="AN35" s="106">
        <v>0</v>
      </c>
      <c r="AO35" s="106">
        <v>0</v>
      </c>
      <c r="AP35" s="106">
        <v>11.996508244422889</v>
      </c>
      <c r="AQ35" s="106">
        <v>6031.8443452958272</v>
      </c>
      <c r="AR35" s="106">
        <v>0</v>
      </c>
      <c r="AS35" s="106">
        <v>0</v>
      </c>
      <c r="AT35" s="106">
        <v>18.725813777441335</v>
      </c>
      <c r="AU35" s="106">
        <v>9415.3391672975013</v>
      </c>
      <c r="AV35" s="106">
        <v>0</v>
      </c>
      <c r="AW35" s="106">
        <v>0</v>
      </c>
      <c r="AX35" s="106">
        <v>7.0010455643542233</v>
      </c>
      <c r="AY35" s="106">
        <v>3520.125709757303</v>
      </c>
      <c r="AZ35" s="106">
        <v>7.5785035479019829</v>
      </c>
      <c r="BA35" s="106">
        <v>3810.4715838851162</v>
      </c>
      <c r="BB35" s="106">
        <v>1.8118992563240872</v>
      </c>
      <c r="BC35" s="106">
        <v>911.02294607975091</v>
      </c>
      <c r="BD35" s="106">
        <v>1.2195227765726682</v>
      </c>
      <c r="BE35" s="106">
        <v>613.17605206073745</v>
      </c>
      <c r="BF35" s="106">
        <v>0</v>
      </c>
      <c r="BG35" s="106">
        <v>0</v>
      </c>
      <c r="BH35" s="106">
        <v>5.4147865273901106</v>
      </c>
      <c r="BI35" s="106">
        <v>2722.554665971747</v>
      </c>
      <c r="BJ35" s="106">
        <v>3.6396918382191901</v>
      </c>
      <c r="BK35" s="106">
        <v>1830.0370562566084</v>
      </c>
      <c r="BL35" s="106">
        <v>2.9859412440374573</v>
      </c>
      <c r="BM35" s="106">
        <v>1501.3312575020332</v>
      </c>
      <c r="BN35" s="106">
        <v>4.7154808635917567</v>
      </c>
      <c r="BO35" s="106">
        <v>2370.9437782139348</v>
      </c>
      <c r="BP35" s="106">
        <v>0</v>
      </c>
      <c r="BQ35" s="106">
        <v>0</v>
      </c>
      <c r="BR35" s="106">
        <v>9.8609269736333758</v>
      </c>
      <c r="BS35" s="106">
        <v>4958.0740823428605</v>
      </c>
      <c r="BT35" s="106">
        <v>17.254529767040552</v>
      </c>
      <c r="BU35" s="106">
        <v>8675.5775668679871</v>
      </c>
      <c r="BV35" s="106">
        <v>0</v>
      </c>
      <c r="BW35" s="106">
        <v>0</v>
      </c>
      <c r="BX35" s="106">
        <v>5.7597381452741345</v>
      </c>
      <c r="BY35" s="106">
        <v>2895.9963394438341</v>
      </c>
      <c r="BZ35" s="106">
        <v>3.8229646178134953</v>
      </c>
      <c r="CA35" s="106">
        <v>1922.1866098366249</v>
      </c>
      <c r="CB35" s="106">
        <v>3.0554293092317626</v>
      </c>
      <c r="CC35" s="106">
        <v>1536.2698566817298</v>
      </c>
      <c r="CD35" s="106">
        <v>0</v>
      </c>
      <c r="CE35" s="106">
        <v>0</v>
      </c>
      <c r="CF35" s="106">
        <v>6.9142081367448869</v>
      </c>
      <c r="CG35" s="106">
        <v>3476.4638511553285</v>
      </c>
      <c r="CH35" s="106">
        <v>19.660523702962664</v>
      </c>
      <c r="CI35" s="106">
        <v>9885.311317849626</v>
      </c>
      <c r="CJ35" s="106">
        <v>9.3668014136328424</v>
      </c>
      <c r="CK35" s="106">
        <v>4709.6277507745917</v>
      </c>
      <c r="CL35" s="106">
        <v>0</v>
      </c>
      <c r="CM35" s="106">
        <v>0</v>
      </c>
      <c r="CN35" s="106">
        <v>8.3900523418950996</v>
      </c>
      <c r="CO35" s="106">
        <v>4218.5183175048551</v>
      </c>
      <c r="CP35" s="106">
        <v>0</v>
      </c>
      <c r="CQ35" s="106">
        <v>0</v>
      </c>
      <c r="CR35" s="106">
        <v>10.145036569988445</v>
      </c>
      <c r="CS35" s="106">
        <v>5100.9243873901887</v>
      </c>
      <c r="CT35" s="106">
        <v>10.428269439838688</v>
      </c>
      <c r="CU35" s="106">
        <v>5243.3338743508912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7.0242509783565295</v>
      </c>
      <c r="O36" s="106">
        <v>5344.050144333647</v>
      </c>
      <c r="P36" s="106">
        <v>3.0793380992996324</v>
      </c>
      <c r="Q36" s="106">
        <v>2342.76042594716</v>
      </c>
      <c r="R36" s="106">
        <v>3.1465387581926638</v>
      </c>
      <c r="S36" s="106">
        <v>2393.8866872329786</v>
      </c>
      <c r="T36" s="106">
        <v>4.7526274095590173</v>
      </c>
      <c r="U36" s="106">
        <v>3615.7989331925</v>
      </c>
      <c r="V36" s="106">
        <v>0</v>
      </c>
      <c r="W36" s="106">
        <v>0</v>
      </c>
      <c r="X36" s="106">
        <v>6.7728939675790594</v>
      </c>
      <c r="Y36" s="106">
        <v>5152.8177305341478</v>
      </c>
      <c r="Z36" s="106">
        <v>0</v>
      </c>
      <c r="AA36" s="106">
        <v>0</v>
      </c>
      <c r="AB36" s="106">
        <v>7.0618097657536643</v>
      </c>
      <c r="AC36" s="106">
        <v>5372.6248697853871</v>
      </c>
      <c r="AD36" s="106">
        <v>3.5068302932101507</v>
      </c>
      <c r="AE36" s="106">
        <v>2667.9964870742824</v>
      </c>
      <c r="AF36" s="106">
        <v>7.9216212880514201</v>
      </c>
      <c r="AG36" s="106">
        <v>6026.7694759495198</v>
      </c>
      <c r="AH36" s="106">
        <v>4.0666961913197524</v>
      </c>
      <c r="AI36" s="106">
        <v>3093.9424623560676</v>
      </c>
      <c r="AJ36" s="106">
        <v>0</v>
      </c>
      <c r="AK36" s="106">
        <v>0</v>
      </c>
      <c r="AL36" s="106">
        <v>10.902071397091229</v>
      </c>
      <c r="AM36" s="106">
        <v>8294.2959189070061</v>
      </c>
      <c r="AN36" s="106">
        <v>0</v>
      </c>
      <c r="AO36" s="106">
        <v>0</v>
      </c>
      <c r="AP36" s="106">
        <v>12.269156159068865</v>
      </c>
      <c r="AQ36" s="106">
        <v>9334.3740058195926</v>
      </c>
      <c r="AR36" s="106">
        <v>0</v>
      </c>
      <c r="AS36" s="106">
        <v>0</v>
      </c>
      <c r="AT36" s="106">
        <v>17.307191521574563</v>
      </c>
      <c r="AU36" s="106">
        <v>13167.311309613926</v>
      </c>
      <c r="AV36" s="106">
        <v>0</v>
      </c>
      <c r="AW36" s="106">
        <v>0</v>
      </c>
      <c r="AX36" s="106">
        <v>6.4142984889511716</v>
      </c>
      <c r="AY36" s="106">
        <v>4879.9982903940509</v>
      </c>
      <c r="AZ36" s="106">
        <v>7.0842534792882077</v>
      </c>
      <c r="BA36" s="106">
        <v>5389.7000470424682</v>
      </c>
      <c r="BB36" s="106">
        <v>1.6145733839975476</v>
      </c>
      <c r="BC36" s="106">
        <v>1228.3674305453342</v>
      </c>
      <c r="BD36" s="106">
        <v>1.0055714122616737</v>
      </c>
      <c r="BE36" s="106">
        <v>765.03873044868124</v>
      </c>
      <c r="BF36" s="106">
        <v>0</v>
      </c>
      <c r="BG36" s="106">
        <v>0</v>
      </c>
      <c r="BH36" s="106">
        <v>4.4387470330887124</v>
      </c>
      <c r="BI36" s="106">
        <v>3376.9987427738924</v>
      </c>
      <c r="BJ36" s="106">
        <v>3.2478083911037907</v>
      </c>
      <c r="BK36" s="106">
        <v>2470.9326239517636</v>
      </c>
      <c r="BL36" s="106">
        <v>3.1737146325837142</v>
      </c>
      <c r="BM36" s="106">
        <v>2414.5620924696896</v>
      </c>
      <c r="BN36" s="106">
        <v>4.143081452404318</v>
      </c>
      <c r="BO36" s="106">
        <v>3152.0563689892051</v>
      </c>
      <c r="BP36" s="106">
        <v>0</v>
      </c>
      <c r="BQ36" s="106">
        <v>0</v>
      </c>
      <c r="BR36" s="106">
        <v>9.3200581432168317</v>
      </c>
      <c r="BS36" s="106">
        <v>7090.7002353593653</v>
      </c>
      <c r="BT36" s="106">
        <v>16.104227782571183</v>
      </c>
      <c r="BU36" s="106">
        <v>12252.096496980155</v>
      </c>
      <c r="BV36" s="106">
        <v>0</v>
      </c>
      <c r="BW36" s="106">
        <v>0</v>
      </c>
      <c r="BX36" s="106">
        <v>5.4728265154067302</v>
      </c>
      <c r="BY36" s="106">
        <v>4163.72641292144</v>
      </c>
      <c r="BZ36" s="106">
        <v>4.1420725647395891</v>
      </c>
      <c r="CA36" s="106">
        <v>3151.288807253879</v>
      </c>
      <c r="CB36" s="106">
        <v>2.969360877985797</v>
      </c>
      <c r="CC36" s="106">
        <v>2259.0897559715941</v>
      </c>
      <c r="CD36" s="106">
        <v>0</v>
      </c>
      <c r="CE36" s="106">
        <v>0</v>
      </c>
      <c r="CF36" s="106">
        <v>6.7763106425673794</v>
      </c>
      <c r="CG36" s="106">
        <v>5155.4171368652624</v>
      </c>
      <c r="CH36" s="106">
        <v>18.159434262706014</v>
      </c>
      <c r="CI36" s="106">
        <v>13815.697587066736</v>
      </c>
      <c r="CJ36" s="106">
        <v>9.9234847017815646</v>
      </c>
      <c r="CK36" s="106">
        <v>7549.7871611154142</v>
      </c>
      <c r="CL36" s="106">
        <v>0</v>
      </c>
      <c r="CM36" s="106">
        <v>0</v>
      </c>
      <c r="CN36" s="106">
        <v>7.3649012518886252</v>
      </c>
      <c r="CO36" s="106">
        <v>5603.2168724368657</v>
      </c>
      <c r="CP36" s="106">
        <v>0</v>
      </c>
      <c r="CQ36" s="106">
        <v>0</v>
      </c>
      <c r="CR36" s="106">
        <v>10.331988592733676</v>
      </c>
      <c r="CS36" s="106">
        <v>7860.5769213517806</v>
      </c>
      <c r="CT36" s="106">
        <v>9.287677469856332</v>
      </c>
      <c r="CU36" s="106">
        <v>7066.0650190666965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5.7030138826699206</v>
      </c>
      <c r="O37" s="106">
        <v>4906.8731446491993</v>
      </c>
      <c r="P37" s="106">
        <v>4.3731065944835601</v>
      </c>
      <c r="Q37" s="106">
        <v>3762.6209138936551</v>
      </c>
      <c r="R37" s="106">
        <v>4.3914165393921643</v>
      </c>
      <c r="S37" s="106">
        <v>3778.3747904930178</v>
      </c>
      <c r="T37" s="106">
        <v>2.1782875627145497</v>
      </c>
      <c r="U37" s="106">
        <v>1874.1986189595984</v>
      </c>
      <c r="V37" s="106">
        <v>0</v>
      </c>
      <c r="W37" s="106">
        <v>0</v>
      </c>
      <c r="X37" s="106">
        <v>4.5816635663034813</v>
      </c>
      <c r="Y37" s="106">
        <v>3942.0633324475152</v>
      </c>
      <c r="Z37" s="106">
        <v>0</v>
      </c>
      <c r="AA37" s="106">
        <v>0</v>
      </c>
      <c r="AB37" s="106">
        <v>7.139392302184203</v>
      </c>
      <c r="AC37" s="106">
        <v>6142.7331367992883</v>
      </c>
      <c r="AD37" s="106">
        <v>2.4528741475719227</v>
      </c>
      <c r="AE37" s="106">
        <v>2110.4529165708823</v>
      </c>
      <c r="AF37" s="106">
        <v>5.0502510886385625</v>
      </c>
      <c r="AG37" s="106">
        <v>4345.236036664619</v>
      </c>
      <c r="AH37" s="106">
        <v>2.5728077945084147</v>
      </c>
      <c r="AI37" s="106">
        <v>2213.6438263950399</v>
      </c>
      <c r="AJ37" s="106">
        <v>0</v>
      </c>
      <c r="AK37" s="106">
        <v>0</v>
      </c>
      <c r="AL37" s="106">
        <v>10.902071397091229</v>
      </c>
      <c r="AM37" s="106">
        <v>9380.1422300572922</v>
      </c>
      <c r="AN37" s="106">
        <v>0</v>
      </c>
      <c r="AO37" s="106">
        <v>0</v>
      </c>
      <c r="AP37" s="106">
        <v>10.905916585838991</v>
      </c>
      <c r="AQ37" s="106">
        <v>9383.4506304558672</v>
      </c>
      <c r="AR37" s="106">
        <v>0</v>
      </c>
      <c r="AS37" s="106">
        <v>0</v>
      </c>
      <c r="AT37" s="106">
        <v>6.5256623769871309</v>
      </c>
      <c r="AU37" s="106">
        <v>5614.6799091597277</v>
      </c>
      <c r="AV37" s="106">
        <v>0</v>
      </c>
      <c r="AW37" s="106">
        <v>0</v>
      </c>
      <c r="AX37" s="106">
        <v>4.7918164079061913</v>
      </c>
      <c r="AY37" s="106">
        <v>4122.8788373624866</v>
      </c>
      <c r="AZ37" s="106">
        <v>5.1608841745806959</v>
      </c>
      <c r="BA37" s="106">
        <v>4440.4247438092307</v>
      </c>
      <c r="BB37" s="106">
        <v>1.1522053216826775</v>
      </c>
      <c r="BC37" s="106">
        <v>991.35745877577574</v>
      </c>
      <c r="BD37" s="106">
        <v>0.68464436579518217</v>
      </c>
      <c r="BE37" s="106">
        <v>589.06801233017472</v>
      </c>
      <c r="BF37" s="106">
        <v>0</v>
      </c>
      <c r="BG37" s="106">
        <v>0</v>
      </c>
      <c r="BH37" s="106">
        <v>8.5754936098252674</v>
      </c>
      <c r="BI37" s="106">
        <v>7378.3547018936597</v>
      </c>
      <c r="BJ37" s="106">
        <v>8.7961528731820291</v>
      </c>
      <c r="BK37" s="106">
        <v>7568.2099320858179</v>
      </c>
      <c r="BL37" s="106">
        <v>9.5795521279164735</v>
      </c>
      <c r="BM37" s="106">
        <v>8242.2466508593334</v>
      </c>
      <c r="BN37" s="106">
        <v>8.013591756624141</v>
      </c>
      <c r="BO37" s="106">
        <v>6894.8943473994104</v>
      </c>
      <c r="BP37" s="106">
        <v>0</v>
      </c>
      <c r="BQ37" s="106">
        <v>0</v>
      </c>
      <c r="BR37" s="106">
        <v>5.3562598424468044</v>
      </c>
      <c r="BS37" s="106">
        <v>4608.5259684412304</v>
      </c>
      <c r="BT37" s="106">
        <v>18.21311475409836</v>
      </c>
      <c r="BU37" s="106">
        <v>15670.563934426229</v>
      </c>
      <c r="BV37" s="106">
        <v>0</v>
      </c>
      <c r="BW37" s="106">
        <v>0</v>
      </c>
      <c r="BX37" s="106">
        <v>1.4091957389785674</v>
      </c>
      <c r="BY37" s="106">
        <v>1212.4720138171594</v>
      </c>
      <c r="BZ37" s="106">
        <v>0.97956592228587425</v>
      </c>
      <c r="CA37" s="106">
        <v>842.81851953476621</v>
      </c>
      <c r="CB37" s="106">
        <v>0.88220142027114279</v>
      </c>
      <c r="CC37" s="106">
        <v>759.04610200129127</v>
      </c>
      <c r="CD37" s="106">
        <v>0</v>
      </c>
      <c r="CE37" s="106">
        <v>0</v>
      </c>
      <c r="CF37" s="106">
        <v>1.3360437966969438</v>
      </c>
      <c r="CG37" s="106">
        <v>1149.5320826780505</v>
      </c>
      <c r="CH37" s="106">
        <v>4.9318666962233442</v>
      </c>
      <c r="CI37" s="106">
        <v>4243.3781054305655</v>
      </c>
      <c r="CJ37" s="106">
        <v>2.58978747095275</v>
      </c>
      <c r="CK37" s="106">
        <v>2228.253140007746</v>
      </c>
      <c r="CL37" s="106">
        <v>0</v>
      </c>
      <c r="CM37" s="106">
        <v>0</v>
      </c>
      <c r="CN37" s="106">
        <v>1.4837713144830564</v>
      </c>
      <c r="CO37" s="106">
        <v>1276.6368389812217</v>
      </c>
      <c r="CP37" s="106">
        <v>0</v>
      </c>
      <c r="CQ37" s="106">
        <v>0</v>
      </c>
      <c r="CR37" s="106">
        <v>2.637732560402235</v>
      </c>
      <c r="CS37" s="106">
        <v>2269.5050949700831</v>
      </c>
      <c r="CT37" s="106">
        <v>3.7778794875933257</v>
      </c>
      <c r="CU37" s="106">
        <v>3250.4875111252973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5.6293655579947739</v>
      </c>
      <c r="O38" s="106">
        <v>6991.6720230295095</v>
      </c>
      <c r="P38" s="106">
        <v>3.5958794511521721</v>
      </c>
      <c r="Q38" s="106">
        <v>4466.0822783309977</v>
      </c>
      <c r="R38" s="106">
        <v>4.2188162363052566</v>
      </c>
      <c r="S38" s="106">
        <v>5239.769765491129</v>
      </c>
      <c r="T38" s="106">
        <v>2.3763137047795087</v>
      </c>
      <c r="U38" s="106">
        <v>2951.3816213361497</v>
      </c>
      <c r="V38" s="106">
        <v>0</v>
      </c>
      <c r="W38" s="106">
        <v>0</v>
      </c>
      <c r="X38" s="106">
        <v>4.4820621844273187</v>
      </c>
      <c r="Y38" s="106">
        <v>5566.7212330587299</v>
      </c>
      <c r="Z38" s="106">
        <v>0</v>
      </c>
      <c r="AA38" s="106">
        <v>0</v>
      </c>
      <c r="AB38" s="106">
        <v>5.9300145012966379</v>
      </c>
      <c r="AC38" s="106">
        <v>7365.0780106104239</v>
      </c>
      <c r="AD38" s="106">
        <v>2.5647591486410848</v>
      </c>
      <c r="AE38" s="106">
        <v>3185.4308626122274</v>
      </c>
      <c r="AF38" s="106">
        <v>4.7994367607597432</v>
      </c>
      <c r="AG38" s="106">
        <v>5960.900456863601</v>
      </c>
      <c r="AH38" s="106">
        <v>2.8217891939769708</v>
      </c>
      <c r="AI38" s="106">
        <v>3504.6621789193978</v>
      </c>
      <c r="AJ38" s="106">
        <v>0</v>
      </c>
      <c r="AK38" s="106">
        <v>0</v>
      </c>
      <c r="AL38" s="106">
        <v>11.397620096959011</v>
      </c>
      <c r="AM38" s="106">
        <v>14155.844160423092</v>
      </c>
      <c r="AN38" s="106">
        <v>0</v>
      </c>
      <c r="AO38" s="106">
        <v>0</v>
      </c>
      <c r="AP38" s="106">
        <v>11.451212415130939</v>
      </c>
      <c r="AQ38" s="106">
        <v>14222.405819592626</v>
      </c>
      <c r="AR38" s="106">
        <v>0</v>
      </c>
      <c r="AS38" s="106">
        <v>0</v>
      </c>
      <c r="AT38" s="106">
        <v>6.809386828160485</v>
      </c>
      <c r="AU38" s="106">
        <v>8457.2584405753223</v>
      </c>
      <c r="AV38" s="106">
        <v>0</v>
      </c>
      <c r="AW38" s="106">
        <v>0</v>
      </c>
      <c r="AX38" s="106">
        <v>4.488312719164921</v>
      </c>
      <c r="AY38" s="106">
        <v>5574.484397202832</v>
      </c>
      <c r="AZ38" s="106">
        <v>4.9096532051503861</v>
      </c>
      <c r="BA38" s="106">
        <v>6097.7892807967792</v>
      </c>
      <c r="BB38" s="106">
        <v>1.1283414914036445</v>
      </c>
      <c r="BC38" s="106">
        <v>1401.4001323233265</v>
      </c>
      <c r="BD38" s="106">
        <v>0.5990638200707844</v>
      </c>
      <c r="BE38" s="106">
        <v>744.0372645279142</v>
      </c>
      <c r="BF38" s="106">
        <v>0</v>
      </c>
      <c r="BG38" s="106">
        <v>0</v>
      </c>
      <c r="BH38" s="106">
        <v>7.5064014794360752</v>
      </c>
      <c r="BI38" s="106">
        <v>9322.9506374596058</v>
      </c>
      <c r="BJ38" s="106">
        <v>8.2131220008087205</v>
      </c>
      <c r="BK38" s="106">
        <v>10200.697525004431</v>
      </c>
      <c r="BL38" s="106">
        <v>7.6481687028692589</v>
      </c>
      <c r="BM38" s="106">
        <v>9499.0255289636189</v>
      </c>
      <c r="BN38" s="106">
        <v>6.3781648675171736</v>
      </c>
      <c r="BO38" s="106">
        <v>7921.6807654563299</v>
      </c>
      <c r="BP38" s="106">
        <v>0</v>
      </c>
      <c r="BQ38" s="106">
        <v>0</v>
      </c>
      <c r="BR38" s="106">
        <v>5.6568451097307015</v>
      </c>
      <c r="BS38" s="106">
        <v>7025.8016262855317</v>
      </c>
      <c r="BT38" s="106">
        <v>17.829680759275238</v>
      </c>
      <c r="BU38" s="106">
        <v>22144.463503019844</v>
      </c>
      <c r="BV38" s="106">
        <v>0</v>
      </c>
      <c r="BW38" s="106">
        <v>0</v>
      </c>
      <c r="BX38" s="106">
        <v>1.4875180812703999</v>
      </c>
      <c r="BY38" s="106">
        <v>1847.4974569378367</v>
      </c>
      <c r="BZ38" s="106">
        <v>0.93875067552396285</v>
      </c>
      <c r="CA38" s="106">
        <v>1165.9283390007618</v>
      </c>
      <c r="CB38" s="106">
        <v>0.90371852808263398</v>
      </c>
      <c r="CC38" s="106">
        <v>1122.4184118786313</v>
      </c>
      <c r="CD38" s="106">
        <v>0</v>
      </c>
      <c r="CE38" s="106">
        <v>0</v>
      </c>
      <c r="CF38" s="106">
        <v>1.204088853813295</v>
      </c>
      <c r="CG38" s="106">
        <v>1495.4783564361123</v>
      </c>
      <c r="CH38" s="106">
        <v>4.8378366058165874</v>
      </c>
      <c r="CI38" s="106">
        <v>6008.5930644242017</v>
      </c>
      <c r="CJ38" s="106">
        <v>2.7834164407436095</v>
      </c>
      <c r="CK38" s="106">
        <v>3457.003219403563</v>
      </c>
      <c r="CL38" s="106">
        <v>0</v>
      </c>
      <c r="CM38" s="106">
        <v>0</v>
      </c>
      <c r="CN38" s="106">
        <v>1.2139947118497734</v>
      </c>
      <c r="CO38" s="106">
        <v>1507.7814321174185</v>
      </c>
      <c r="CP38" s="106">
        <v>0</v>
      </c>
      <c r="CQ38" s="106">
        <v>0</v>
      </c>
      <c r="CR38" s="106">
        <v>2.7813135643283764</v>
      </c>
      <c r="CS38" s="106">
        <v>3454.3914468958433</v>
      </c>
      <c r="CT38" s="106">
        <v>3.4964476638160842</v>
      </c>
      <c r="CU38" s="106">
        <v>4342.5879984595767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5.9039820180206961</v>
      </c>
      <c r="O39" s="106">
        <v>8402.5472080470554</v>
      </c>
      <c r="P39" s="106">
        <v>3.3259933490341962</v>
      </c>
      <c r="Q39" s="106">
        <v>4733.553734345468</v>
      </c>
      <c r="R39" s="106">
        <v>4.1912452900145221</v>
      </c>
      <c r="S39" s="106">
        <v>5964.9802967486676</v>
      </c>
      <c r="T39" s="106">
        <v>2.1122788486928967</v>
      </c>
      <c r="U39" s="106">
        <v>3006.1952574597308</v>
      </c>
      <c r="V39" s="106">
        <v>0</v>
      </c>
      <c r="W39" s="106">
        <v>0</v>
      </c>
      <c r="X39" s="106">
        <v>4.0836566569226678</v>
      </c>
      <c r="Y39" s="106">
        <v>5811.8601541323405</v>
      </c>
      <c r="Z39" s="106">
        <v>0</v>
      </c>
      <c r="AA39" s="106">
        <v>0</v>
      </c>
      <c r="AB39" s="106">
        <v>5.6408324344159571</v>
      </c>
      <c r="AC39" s="106">
        <v>8028.0327206607899</v>
      </c>
      <c r="AD39" s="106">
        <v>2.4021689974384337</v>
      </c>
      <c r="AE39" s="106">
        <v>3418.7669171543789</v>
      </c>
      <c r="AF39" s="106">
        <v>4.3355540327656419</v>
      </c>
      <c r="AG39" s="106">
        <v>6170.3604994320622</v>
      </c>
      <c r="AH39" s="106">
        <v>2.4898139946855626</v>
      </c>
      <c r="AI39" s="106">
        <v>3543.503277236493</v>
      </c>
      <c r="AJ39" s="106">
        <v>0</v>
      </c>
      <c r="AK39" s="106">
        <v>0</v>
      </c>
      <c r="AL39" s="106">
        <v>9.9109739973556614</v>
      </c>
      <c r="AM39" s="106">
        <v>14105.298193036579</v>
      </c>
      <c r="AN39" s="106">
        <v>0</v>
      </c>
      <c r="AO39" s="106">
        <v>0</v>
      </c>
      <c r="AP39" s="106">
        <v>10.360620756547041</v>
      </c>
      <c r="AQ39" s="106">
        <v>14745.235460717749</v>
      </c>
      <c r="AR39" s="106">
        <v>0</v>
      </c>
      <c r="AS39" s="106">
        <v>0</v>
      </c>
      <c r="AT39" s="106">
        <v>5.6744890234670704</v>
      </c>
      <c r="AU39" s="106">
        <v>8075.9327781983347</v>
      </c>
      <c r="AV39" s="106">
        <v>0</v>
      </c>
      <c r="AW39" s="106">
        <v>0</v>
      </c>
      <c r="AX39" s="106">
        <v>4.644929217829902</v>
      </c>
      <c r="AY39" s="106">
        <v>6610.6632628155166</v>
      </c>
      <c r="AZ39" s="106">
        <v>5.0270568196186982</v>
      </c>
      <c r="BA39" s="106">
        <v>7154.5072656813318</v>
      </c>
      <c r="BB39" s="106">
        <v>1.108041677843653</v>
      </c>
      <c r="BC39" s="106">
        <v>1576.9649159070871</v>
      </c>
      <c r="BD39" s="106">
        <v>0.57766868363968493</v>
      </c>
      <c r="BE39" s="106">
        <v>822.13807055599966</v>
      </c>
      <c r="BF39" s="106">
        <v>0</v>
      </c>
      <c r="BG39" s="106">
        <v>0</v>
      </c>
      <c r="BH39" s="106">
        <v>7.3828307251811518</v>
      </c>
      <c r="BI39" s="106">
        <v>10507.244688077815</v>
      </c>
      <c r="BJ39" s="106">
        <v>7.2840031470208739</v>
      </c>
      <c r="BK39" s="106">
        <v>10366.593278840108</v>
      </c>
      <c r="BL39" s="106">
        <v>8.2365528099562528</v>
      </c>
      <c r="BM39" s="106">
        <v>11722.261959129739</v>
      </c>
      <c r="BN39" s="106">
        <v>6.0510794896957796</v>
      </c>
      <c r="BO39" s="106">
        <v>8611.8963297350347</v>
      </c>
      <c r="BP39" s="106">
        <v>0</v>
      </c>
      <c r="BQ39" s="106">
        <v>0</v>
      </c>
      <c r="BR39" s="106">
        <v>5.0258314742447325</v>
      </c>
      <c r="BS39" s="106">
        <v>7152.7633541451032</v>
      </c>
      <c r="BT39" s="106">
        <v>19.363416738567732</v>
      </c>
      <c r="BU39" s="106">
        <v>27558.014702329598</v>
      </c>
      <c r="BV39" s="106">
        <v>0</v>
      </c>
      <c r="BW39" s="106">
        <v>0</v>
      </c>
      <c r="BX39" s="106">
        <v>1.253157476669323</v>
      </c>
      <c r="BY39" s="106">
        <v>1783.4937207957805</v>
      </c>
      <c r="BZ39" s="106">
        <v>1.0611964158096971</v>
      </c>
      <c r="CA39" s="106">
        <v>1510.294738980361</v>
      </c>
      <c r="CB39" s="106">
        <v>0.81765009683666889</v>
      </c>
      <c r="CC39" s="106">
        <v>1163.6796178179472</v>
      </c>
      <c r="CD39" s="106">
        <v>0</v>
      </c>
      <c r="CE39" s="106">
        <v>0</v>
      </c>
      <c r="CF39" s="106">
        <v>1.1711001180923828</v>
      </c>
      <c r="CG39" s="106">
        <v>1666.7096880690792</v>
      </c>
      <c r="CH39" s="106">
        <v>4.4668042535667505</v>
      </c>
      <c r="CI39" s="106">
        <v>6357.1558136761996</v>
      </c>
      <c r="CJ39" s="106">
        <v>2.6866019558481797</v>
      </c>
      <c r="CK39" s="106">
        <v>3823.5719035631296</v>
      </c>
      <c r="CL39" s="106">
        <v>0</v>
      </c>
      <c r="CM39" s="106">
        <v>0</v>
      </c>
      <c r="CN39" s="106">
        <v>1.1870170515864451</v>
      </c>
      <c r="CO39" s="106">
        <v>1689.3626678178287</v>
      </c>
      <c r="CP39" s="106">
        <v>0</v>
      </c>
      <c r="CQ39" s="106">
        <v>0</v>
      </c>
      <c r="CR39" s="106">
        <v>2.5368006136962848</v>
      </c>
      <c r="CS39" s="106">
        <v>3610.3746334125526</v>
      </c>
      <c r="CT39" s="106">
        <v>3.4491782655655743</v>
      </c>
      <c r="CU39" s="106">
        <v>4908.8705075529251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5.7510114776601871</v>
      </c>
      <c r="O40" s="106">
        <v>4168.3331190081035</v>
      </c>
      <c r="P40" s="106">
        <v>3.968148052018706</v>
      </c>
      <c r="Q40" s="106">
        <v>2876.1137081031579</v>
      </c>
      <c r="R40" s="106">
        <v>4.5862068197629284</v>
      </c>
      <c r="S40" s="106">
        <v>3324.0827029641705</v>
      </c>
      <c r="T40" s="106">
        <v>2.640348560866121</v>
      </c>
      <c r="U40" s="106">
        <v>1913.7246369157644</v>
      </c>
      <c r="V40" s="106">
        <v>0</v>
      </c>
      <c r="W40" s="106">
        <v>0</v>
      </c>
      <c r="X40" s="106">
        <v>4.5816635663034813</v>
      </c>
      <c r="Y40" s="106">
        <v>3320.7897528567628</v>
      </c>
      <c r="Z40" s="106">
        <v>0</v>
      </c>
      <c r="AA40" s="106">
        <v>0</v>
      </c>
      <c r="AB40" s="106">
        <v>7.0235191960337779</v>
      </c>
      <c r="AC40" s="106">
        <v>5090.6467132852822</v>
      </c>
      <c r="AD40" s="106">
        <v>2.5071264764353876</v>
      </c>
      <c r="AE40" s="106">
        <v>1817.1652701203689</v>
      </c>
      <c r="AF40" s="106">
        <v>5.2301801482364132</v>
      </c>
      <c r="AG40" s="106">
        <v>3790.8345714417519</v>
      </c>
      <c r="AH40" s="106">
        <v>3.153764393268379</v>
      </c>
      <c r="AI40" s="106">
        <v>2285.8484322409208</v>
      </c>
      <c r="AJ40" s="106">
        <v>0</v>
      </c>
      <c r="AK40" s="106">
        <v>0</v>
      </c>
      <c r="AL40" s="106">
        <v>11.14984574702512</v>
      </c>
      <c r="AM40" s="106">
        <v>8081.4081974438068</v>
      </c>
      <c r="AN40" s="106">
        <v>0</v>
      </c>
      <c r="AO40" s="106">
        <v>0</v>
      </c>
      <c r="AP40" s="106">
        <v>10.905916585838991</v>
      </c>
      <c r="AQ40" s="106">
        <v>7904.6083414161003</v>
      </c>
      <c r="AR40" s="106">
        <v>0</v>
      </c>
      <c r="AS40" s="106">
        <v>0</v>
      </c>
      <c r="AT40" s="106">
        <v>6.5256623769871309</v>
      </c>
      <c r="AU40" s="106">
        <v>4729.8000908402719</v>
      </c>
      <c r="AV40" s="106">
        <v>0</v>
      </c>
      <c r="AW40" s="106">
        <v>0</v>
      </c>
      <c r="AX40" s="106">
        <v>4.9083131448632491</v>
      </c>
      <c r="AY40" s="106">
        <v>3557.5453673968827</v>
      </c>
      <c r="AZ40" s="106">
        <v>5.8714647640757001</v>
      </c>
      <c r="BA40" s="106">
        <v>4255.637661002067</v>
      </c>
      <c r="BB40" s="106">
        <v>1.0895238726431824</v>
      </c>
      <c r="BC40" s="106">
        <v>789.68690289177857</v>
      </c>
      <c r="BD40" s="106">
        <v>0.68464436579518217</v>
      </c>
      <c r="BE40" s="106">
        <v>496.23023632834798</v>
      </c>
      <c r="BF40" s="106">
        <v>0</v>
      </c>
      <c r="BG40" s="106">
        <v>0</v>
      </c>
      <c r="BH40" s="106">
        <v>7.9071897540905312</v>
      </c>
      <c r="BI40" s="106">
        <v>5731.1311337648167</v>
      </c>
      <c r="BJ40" s="106">
        <v>9.3869744802924959</v>
      </c>
      <c r="BK40" s="106">
        <v>6803.6791033160007</v>
      </c>
      <c r="BL40" s="106">
        <v>10.491594300855436</v>
      </c>
      <c r="BM40" s="106">
        <v>7604.3075492600192</v>
      </c>
      <c r="BN40" s="106">
        <v>7.4411923454367033</v>
      </c>
      <c r="BO40" s="106">
        <v>5393.3762119725225</v>
      </c>
      <c r="BP40" s="106">
        <v>0</v>
      </c>
      <c r="BQ40" s="106">
        <v>0</v>
      </c>
      <c r="BR40" s="106">
        <v>5.7141120648611459</v>
      </c>
      <c r="BS40" s="106">
        <v>4141.5884246113583</v>
      </c>
      <c r="BT40" s="106">
        <v>20.705435720448662</v>
      </c>
      <c r="BU40" s="106">
        <v>15007.29981018119</v>
      </c>
      <c r="BV40" s="106">
        <v>0</v>
      </c>
      <c r="BW40" s="106">
        <v>0</v>
      </c>
      <c r="BX40" s="106">
        <v>1.253157476669323</v>
      </c>
      <c r="BY40" s="106">
        <v>908.28853908992528</v>
      </c>
      <c r="BZ40" s="106">
        <v>1.0203811690477855</v>
      </c>
      <c r="CA40" s="106">
        <v>739.57227132583489</v>
      </c>
      <c r="CB40" s="106">
        <v>0.90371852808263398</v>
      </c>
      <c r="CC40" s="106">
        <v>655.01518915429301</v>
      </c>
      <c r="CD40" s="106">
        <v>0</v>
      </c>
      <c r="CE40" s="106">
        <v>0</v>
      </c>
      <c r="CF40" s="106">
        <v>1.3195494288364875</v>
      </c>
      <c r="CG40" s="106">
        <v>956.40942602068606</v>
      </c>
      <c r="CH40" s="106">
        <v>5.2033569479078006</v>
      </c>
      <c r="CI40" s="106">
        <v>3771.3931158435735</v>
      </c>
      <c r="CJ40" s="106">
        <v>2.856027304415182</v>
      </c>
      <c r="CK40" s="106">
        <v>2070.0485902401238</v>
      </c>
      <c r="CL40" s="106">
        <v>0</v>
      </c>
      <c r="CM40" s="106">
        <v>0</v>
      </c>
      <c r="CN40" s="106">
        <v>1.3758606734297432</v>
      </c>
      <c r="CO40" s="106">
        <v>997.22381610187779</v>
      </c>
      <c r="CP40" s="106">
        <v>0</v>
      </c>
      <c r="CQ40" s="106">
        <v>0</v>
      </c>
      <c r="CR40" s="106">
        <v>2.7422176508049048</v>
      </c>
      <c r="CS40" s="106">
        <v>1987.5593533033948</v>
      </c>
      <c r="CT40" s="106">
        <v>3.9408211975908052</v>
      </c>
      <c r="CU40" s="106">
        <v>2856.3072040138154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6.6734211206869745</v>
      </c>
      <c r="O41" s="106">
        <v>4404.4579396534027</v>
      </c>
      <c r="P41" s="106">
        <v>3.975580193544705</v>
      </c>
      <c r="Q41" s="106">
        <v>2623.8829277395052</v>
      </c>
      <c r="R41" s="106">
        <v>4.7546219247333763</v>
      </c>
      <c r="S41" s="106">
        <v>3138.0504703240285</v>
      </c>
      <c r="T41" s="106">
        <v>2.3763137047795087</v>
      </c>
      <c r="U41" s="106">
        <v>1568.3670451544758</v>
      </c>
      <c r="V41" s="106">
        <v>0</v>
      </c>
      <c r="W41" s="106">
        <v>0</v>
      </c>
      <c r="X41" s="106">
        <v>4.6812649481796438</v>
      </c>
      <c r="Y41" s="106">
        <v>3089.634865798565</v>
      </c>
      <c r="Z41" s="106">
        <v>0</v>
      </c>
      <c r="AA41" s="106">
        <v>0</v>
      </c>
      <c r="AB41" s="106">
        <v>6.1464003529617646</v>
      </c>
      <c r="AC41" s="106">
        <v>4056.6242329547645</v>
      </c>
      <c r="AD41" s="106">
        <v>2.8662770476507586</v>
      </c>
      <c r="AE41" s="106">
        <v>1891.7428514495007</v>
      </c>
      <c r="AF41" s="106">
        <v>5.598013656107188</v>
      </c>
      <c r="AG41" s="106">
        <v>3694.6890130307443</v>
      </c>
      <c r="AH41" s="106">
        <v>2.9047829937998229</v>
      </c>
      <c r="AI41" s="106">
        <v>1917.156775907883</v>
      </c>
      <c r="AJ41" s="106">
        <v>0</v>
      </c>
      <c r="AK41" s="106">
        <v>0</v>
      </c>
      <c r="AL41" s="106">
        <v>11.645394446892904</v>
      </c>
      <c r="AM41" s="106">
        <v>7685.9603349493173</v>
      </c>
      <c r="AN41" s="106">
        <v>0</v>
      </c>
      <c r="AO41" s="106">
        <v>0</v>
      </c>
      <c r="AP41" s="106">
        <v>12.54180407371484</v>
      </c>
      <c r="AQ41" s="106">
        <v>8277.5906886517932</v>
      </c>
      <c r="AR41" s="106">
        <v>0</v>
      </c>
      <c r="AS41" s="106">
        <v>0</v>
      </c>
      <c r="AT41" s="106">
        <v>6.5256623769871309</v>
      </c>
      <c r="AU41" s="106">
        <v>4306.9371688115061</v>
      </c>
      <c r="AV41" s="106">
        <v>0</v>
      </c>
      <c r="AW41" s="106">
        <v>0</v>
      </c>
      <c r="AX41" s="106">
        <v>4.7918164079061913</v>
      </c>
      <c r="AY41" s="106">
        <v>3162.5988292180864</v>
      </c>
      <c r="AZ41" s="106">
        <v>5.7520081820456772</v>
      </c>
      <c r="BA41" s="106">
        <v>3796.3254001501468</v>
      </c>
      <c r="BB41" s="106">
        <v>1.3146189119011553</v>
      </c>
      <c r="BC41" s="106">
        <v>867.64848185476251</v>
      </c>
      <c r="BD41" s="106">
        <v>0.64185409293298323</v>
      </c>
      <c r="BE41" s="106">
        <v>423.62370133576894</v>
      </c>
      <c r="BF41" s="106">
        <v>0</v>
      </c>
      <c r="BG41" s="106">
        <v>0</v>
      </c>
      <c r="BH41" s="106">
        <v>9.5917531616130471</v>
      </c>
      <c r="BI41" s="106">
        <v>6330.5570866646112</v>
      </c>
      <c r="BJ41" s="106">
        <v>11.121859030230363</v>
      </c>
      <c r="BK41" s="106">
        <v>7340.4269599520394</v>
      </c>
      <c r="BL41" s="106">
        <v>9.2057661791680605</v>
      </c>
      <c r="BM41" s="106">
        <v>6075.8056782509202</v>
      </c>
      <c r="BN41" s="106">
        <v>7.3321638861629044</v>
      </c>
      <c r="BO41" s="106">
        <v>4839.2281648675171</v>
      </c>
      <c r="BP41" s="106">
        <v>0</v>
      </c>
      <c r="BQ41" s="106">
        <v>0</v>
      </c>
      <c r="BR41" s="106">
        <v>5.6212402619283672</v>
      </c>
      <c r="BS41" s="106">
        <v>3710.0185728727224</v>
      </c>
      <c r="BT41" s="106">
        <v>22.047454702329592</v>
      </c>
      <c r="BU41" s="106">
        <v>14551.320103537531</v>
      </c>
      <c r="BV41" s="106">
        <v>0</v>
      </c>
      <c r="BW41" s="106">
        <v>0</v>
      </c>
      <c r="BX41" s="106">
        <v>1.61048020835643</v>
      </c>
      <c r="BY41" s="106">
        <v>1062.9169375152437</v>
      </c>
      <c r="BZ41" s="106">
        <v>1.1020116625716085</v>
      </c>
      <c r="CA41" s="106">
        <v>727.32769729726169</v>
      </c>
      <c r="CB41" s="106">
        <v>1.0328211749515817</v>
      </c>
      <c r="CC41" s="106">
        <v>681.66197546804392</v>
      </c>
      <c r="CD41" s="106">
        <v>0</v>
      </c>
      <c r="CE41" s="106">
        <v>0</v>
      </c>
      <c r="CF41" s="106">
        <v>1.2865606931155755</v>
      </c>
      <c r="CG41" s="106">
        <v>849.13005745627981</v>
      </c>
      <c r="CH41" s="106">
        <v>5.1618539128630454</v>
      </c>
      <c r="CI41" s="106">
        <v>3406.8235824896101</v>
      </c>
      <c r="CJ41" s="106">
        <v>3.0012490317583267</v>
      </c>
      <c r="CK41" s="106">
        <v>1980.8243609604956</v>
      </c>
      <c r="CL41" s="106">
        <v>0</v>
      </c>
      <c r="CM41" s="106">
        <v>0</v>
      </c>
      <c r="CN41" s="106">
        <v>1.5647042952730412</v>
      </c>
      <c r="CO41" s="106">
        <v>1032.7048348802073</v>
      </c>
      <c r="CP41" s="106">
        <v>0</v>
      </c>
      <c r="CQ41" s="106">
        <v>0</v>
      </c>
      <c r="CR41" s="106">
        <v>3.2390604682018713</v>
      </c>
      <c r="CS41" s="106">
        <v>2137.7799090132353</v>
      </c>
      <c r="CT41" s="106">
        <v>4.1037629075882851</v>
      </c>
      <c r="CU41" s="106">
        <v>2708.4835190082681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6.6759861936554632</v>
      </c>
      <c r="O42" s="106">
        <v>5647.8843198325221</v>
      </c>
      <c r="P42" s="106">
        <v>3.9401876550278399</v>
      </c>
      <c r="Q42" s="106">
        <v>3333.3987561535523</v>
      </c>
      <c r="R42" s="106">
        <v>4.5574401025817783</v>
      </c>
      <c r="S42" s="106">
        <v>3855.5943267841844</v>
      </c>
      <c r="T42" s="106">
        <v>2.4423224188011621</v>
      </c>
      <c r="U42" s="106">
        <v>2066.2047663057833</v>
      </c>
      <c r="V42" s="106">
        <v>0</v>
      </c>
      <c r="W42" s="106">
        <v>0</v>
      </c>
      <c r="X42" s="106">
        <v>4.2828594206749937</v>
      </c>
      <c r="Y42" s="106">
        <v>3623.2990698910448</v>
      </c>
      <c r="Z42" s="106">
        <v>0</v>
      </c>
      <c r="AA42" s="106">
        <v>0</v>
      </c>
      <c r="AB42" s="106">
        <v>6.7151918442931544</v>
      </c>
      <c r="AC42" s="106">
        <v>5681.0523002720083</v>
      </c>
      <c r="AD42" s="106">
        <v>2.3783397586550623</v>
      </c>
      <c r="AE42" s="106">
        <v>2012.0754358221827</v>
      </c>
      <c r="AF42" s="106">
        <v>5.4138906045356121</v>
      </c>
      <c r="AG42" s="106">
        <v>4580.1514514371274</v>
      </c>
      <c r="AH42" s="106">
        <v>2.8217891939769708</v>
      </c>
      <c r="AI42" s="106">
        <v>2387.2336581045174</v>
      </c>
      <c r="AJ42" s="106">
        <v>0</v>
      </c>
      <c r="AK42" s="106">
        <v>0</v>
      </c>
      <c r="AL42" s="106">
        <v>10.902071397091229</v>
      </c>
      <c r="AM42" s="106">
        <v>9223.15240193918</v>
      </c>
      <c r="AN42" s="106">
        <v>0</v>
      </c>
      <c r="AO42" s="106">
        <v>0</v>
      </c>
      <c r="AP42" s="106">
        <v>11.178564500484965</v>
      </c>
      <c r="AQ42" s="106">
        <v>9457.06556741028</v>
      </c>
      <c r="AR42" s="106">
        <v>0</v>
      </c>
      <c r="AS42" s="106">
        <v>0</v>
      </c>
      <c r="AT42" s="106">
        <v>6.5256623769871309</v>
      </c>
      <c r="AU42" s="106">
        <v>5520.7103709311132</v>
      </c>
      <c r="AV42" s="106">
        <v>0</v>
      </c>
      <c r="AW42" s="106">
        <v>0</v>
      </c>
      <c r="AX42" s="106">
        <v>4.746230728227343</v>
      </c>
      <c r="AY42" s="106">
        <v>4015.3111960803321</v>
      </c>
      <c r="AZ42" s="106">
        <v>5.7479022469222549</v>
      </c>
      <c r="BA42" s="106">
        <v>4862.725300896228</v>
      </c>
      <c r="BB42" s="106">
        <v>1.1311927047788779</v>
      </c>
      <c r="BC42" s="106">
        <v>956.98902824293066</v>
      </c>
      <c r="BD42" s="106">
        <v>0.66324922936408259</v>
      </c>
      <c r="BE42" s="106">
        <v>561.10884804201385</v>
      </c>
      <c r="BF42" s="106">
        <v>0</v>
      </c>
      <c r="BG42" s="106">
        <v>0</v>
      </c>
      <c r="BH42" s="106">
        <v>9.2752857776590574</v>
      </c>
      <c r="BI42" s="106">
        <v>7846.8917678995622</v>
      </c>
      <c r="BJ42" s="106">
        <v>9.5859126402875621</v>
      </c>
      <c r="BK42" s="106">
        <v>8109.6820936832773</v>
      </c>
      <c r="BL42" s="106">
        <v>10.033225443260489</v>
      </c>
      <c r="BM42" s="106">
        <v>8488.1087249983739</v>
      </c>
      <c r="BN42" s="106">
        <v>7.6319921491658489</v>
      </c>
      <c r="BO42" s="106">
        <v>6456.6653581943083</v>
      </c>
      <c r="BP42" s="106">
        <v>0</v>
      </c>
      <c r="BQ42" s="106">
        <v>0</v>
      </c>
      <c r="BR42" s="106">
        <v>5.5120064718154618</v>
      </c>
      <c r="BS42" s="106">
        <v>4663.157475155881</v>
      </c>
      <c r="BT42" s="106">
        <v>19.746850733390854</v>
      </c>
      <c r="BU42" s="106">
        <v>16705.835720448664</v>
      </c>
      <c r="BV42" s="106">
        <v>0</v>
      </c>
      <c r="BW42" s="106">
        <v>0</v>
      </c>
      <c r="BX42" s="106">
        <v>1.2923186478152393</v>
      </c>
      <c r="BY42" s="106">
        <v>1093.3015760516926</v>
      </c>
      <c r="BZ42" s="106">
        <v>1.1020116625716085</v>
      </c>
      <c r="CA42" s="106">
        <v>932.30186653558087</v>
      </c>
      <c r="CB42" s="106">
        <v>0.88220142027114279</v>
      </c>
      <c r="CC42" s="106">
        <v>746.34240154938675</v>
      </c>
      <c r="CD42" s="106">
        <v>0</v>
      </c>
      <c r="CE42" s="106">
        <v>0</v>
      </c>
      <c r="CF42" s="106">
        <v>1.2370775895342072</v>
      </c>
      <c r="CG42" s="106">
        <v>1046.5676407459393</v>
      </c>
      <c r="CH42" s="106">
        <v>4.842500614412347</v>
      </c>
      <c r="CI42" s="106">
        <v>4096.7555197928459</v>
      </c>
      <c r="CJ42" s="106">
        <v>2.8802309256390393</v>
      </c>
      <c r="CK42" s="106">
        <v>2436.6753630906273</v>
      </c>
      <c r="CL42" s="106">
        <v>0</v>
      </c>
      <c r="CM42" s="106">
        <v>0</v>
      </c>
      <c r="CN42" s="106">
        <v>1.4837713144830564</v>
      </c>
      <c r="CO42" s="106">
        <v>1255.2705320526657</v>
      </c>
      <c r="CP42" s="106">
        <v>0</v>
      </c>
      <c r="CQ42" s="106">
        <v>0</v>
      </c>
      <c r="CR42" s="106">
        <v>3.1388391502352651</v>
      </c>
      <c r="CS42" s="106">
        <v>2655.4579210990341</v>
      </c>
      <c r="CT42" s="106">
        <v>3.7207477822280395</v>
      </c>
      <c r="CU42" s="106">
        <v>3147.7526237649213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5.5231100761402887</v>
      </c>
      <c r="O43" s="106">
        <v>5646.827741845831</v>
      </c>
      <c r="P43" s="106">
        <v>4.3356871082777859</v>
      </c>
      <c r="Q43" s="106">
        <v>4432.8064995032082</v>
      </c>
      <c r="R43" s="106">
        <v>4.3296979069134016</v>
      </c>
      <c r="S43" s="106">
        <v>4426.6831400282617</v>
      </c>
      <c r="T43" s="106">
        <v>2.3103049907578561</v>
      </c>
      <c r="U43" s="106">
        <v>2362.0558225508321</v>
      </c>
      <c r="V43" s="106">
        <v>0</v>
      </c>
      <c r="W43" s="106">
        <v>0</v>
      </c>
      <c r="X43" s="106">
        <v>4.5816635663034813</v>
      </c>
      <c r="Y43" s="106">
        <v>4684.2928301886795</v>
      </c>
      <c r="Z43" s="106">
        <v>0</v>
      </c>
      <c r="AA43" s="106">
        <v>0</v>
      </c>
      <c r="AB43" s="106">
        <v>6.093750819596921</v>
      </c>
      <c r="AC43" s="106">
        <v>6230.2508379558922</v>
      </c>
      <c r="AD43" s="106">
        <v>2.4190707141495968</v>
      </c>
      <c r="AE43" s="106">
        <v>2473.2578981465476</v>
      </c>
      <c r="AF43" s="106">
        <v>4.7243575005050493</v>
      </c>
      <c r="AG43" s="106">
        <v>4830.1831085163622</v>
      </c>
      <c r="AH43" s="106">
        <v>2.8217891939769708</v>
      </c>
      <c r="AI43" s="106">
        <v>2884.997271922055</v>
      </c>
      <c r="AJ43" s="106">
        <v>0</v>
      </c>
      <c r="AK43" s="106">
        <v>0</v>
      </c>
      <c r="AL43" s="106">
        <v>11.397620096959011</v>
      </c>
      <c r="AM43" s="106">
        <v>11652.926787130893</v>
      </c>
      <c r="AN43" s="106">
        <v>0</v>
      </c>
      <c r="AO43" s="106">
        <v>0</v>
      </c>
      <c r="AP43" s="106">
        <v>10.360620756547041</v>
      </c>
      <c r="AQ43" s="106">
        <v>10592.698661493694</v>
      </c>
      <c r="AR43" s="106">
        <v>0</v>
      </c>
      <c r="AS43" s="106">
        <v>0</v>
      </c>
      <c r="AT43" s="106">
        <v>7.0931112793338382</v>
      </c>
      <c r="AU43" s="106">
        <v>7251.9969719909159</v>
      </c>
      <c r="AV43" s="106">
        <v>0</v>
      </c>
      <c r="AW43" s="106">
        <v>0</v>
      </c>
      <c r="AX43" s="106">
        <v>4.8220064397998978</v>
      </c>
      <c r="AY43" s="106">
        <v>4930.0193840514157</v>
      </c>
      <c r="AZ43" s="106">
        <v>4.9096532051503861</v>
      </c>
      <c r="BA43" s="106">
        <v>5019.6294369457546</v>
      </c>
      <c r="BB43" s="106">
        <v>1.0446474254603493</v>
      </c>
      <c r="BC43" s="106">
        <v>1068.047527790661</v>
      </c>
      <c r="BD43" s="106">
        <v>0.70603950222628153</v>
      </c>
      <c r="BE43" s="106">
        <v>721.85478707615027</v>
      </c>
      <c r="BF43" s="106">
        <v>0</v>
      </c>
      <c r="BG43" s="106">
        <v>0</v>
      </c>
      <c r="BH43" s="106">
        <v>7.5553532823097855</v>
      </c>
      <c r="BI43" s="106">
        <v>7724.593195833525</v>
      </c>
      <c r="BJ43" s="106">
        <v>9.8044524530519599</v>
      </c>
      <c r="BK43" s="106">
        <v>10024.072188000324</v>
      </c>
      <c r="BL43" s="106">
        <v>8.7211594945621567</v>
      </c>
      <c r="BM43" s="106">
        <v>8916.5134672403492</v>
      </c>
      <c r="BN43" s="106">
        <v>6.5417075564278697</v>
      </c>
      <c r="BO43" s="106">
        <v>6688.2418056918541</v>
      </c>
      <c r="BP43" s="106">
        <v>0</v>
      </c>
      <c r="BQ43" s="106">
        <v>0</v>
      </c>
      <c r="BR43" s="106">
        <v>5.4382236539261646</v>
      </c>
      <c r="BS43" s="106">
        <v>5560.0398637741109</v>
      </c>
      <c r="BT43" s="106">
        <v>19.746850733390854</v>
      </c>
      <c r="BU43" s="106">
        <v>20189.18018981881</v>
      </c>
      <c r="BV43" s="106">
        <v>0</v>
      </c>
      <c r="BW43" s="106">
        <v>0</v>
      </c>
      <c r="BX43" s="106">
        <v>1.370640990107072</v>
      </c>
      <c r="BY43" s="106">
        <v>1401.3433482854703</v>
      </c>
      <c r="BZ43" s="106">
        <v>1.0203811690477855</v>
      </c>
      <c r="CA43" s="106">
        <v>1043.2377072344559</v>
      </c>
      <c r="CB43" s="106">
        <v>0.88220142027114279</v>
      </c>
      <c r="CC43" s="106">
        <v>901.96273208521632</v>
      </c>
      <c r="CD43" s="106">
        <v>0</v>
      </c>
      <c r="CE43" s="106">
        <v>0</v>
      </c>
      <c r="CF43" s="106">
        <v>1.2535719573946633</v>
      </c>
      <c r="CG43" s="106">
        <v>1281.6519692403037</v>
      </c>
      <c r="CH43" s="106">
        <v>4.7052714858351044</v>
      </c>
      <c r="CI43" s="106">
        <v>4810.6695671178104</v>
      </c>
      <c r="CJ43" s="106">
        <v>2.4929729860573198</v>
      </c>
      <c r="CK43" s="106">
        <v>2548.8155809450036</v>
      </c>
      <c r="CL43" s="106">
        <v>0</v>
      </c>
      <c r="CM43" s="106">
        <v>0</v>
      </c>
      <c r="CN43" s="106">
        <v>1.2409723721131016</v>
      </c>
      <c r="CO43" s="106">
        <v>1268.770153248435</v>
      </c>
      <c r="CP43" s="106">
        <v>0</v>
      </c>
      <c r="CQ43" s="106">
        <v>0</v>
      </c>
      <c r="CR43" s="106">
        <v>3.0329328023539075</v>
      </c>
      <c r="CS43" s="106">
        <v>3100.8704971266347</v>
      </c>
      <c r="CT43" s="106">
        <v>4.1566679099043817</v>
      </c>
      <c r="CU43" s="106">
        <v>4249.77727108624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5.371422072264024</v>
      </c>
      <c r="O44" s="106">
        <v>5491.7419266827383</v>
      </c>
      <c r="P44" s="106">
        <v>3.8802129656682891</v>
      </c>
      <c r="Q44" s="106">
        <v>3967.1297360992585</v>
      </c>
      <c r="R44" s="106">
        <v>4.44356900474759</v>
      </c>
      <c r="S44" s="106">
        <v>4543.104950453936</v>
      </c>
      <c r="T44" s="106">
        <v>2.1782875627145497</v>
      </c>
      <c r="U44" s="106">
        <v>2227.0812041193558</v>
      </c>
      <c r="V44" s="106">
        <v>0</v>
      </c>
      <c r="W44" s="106">
        <v>0</v>
      </c>
      <c r="X44" s="106">
        <v>4.4820621844273187</v>
      </c>
      <c r="Y44" s="106">
        <v>4582.4603773584904</v>
      </c>
      <c r="Z44" s="106">
        <v>0</v>
      </c>
      <c r="AA44" s="106">
        <v>0</v>
      </c>
      <c r="AB44" s="106">
        <v>5.9778777134464951</v>
      </c>
      <c r="AC44" s="106">
        <v>6111.7821742276965</v>
      </c>
      <c r="AD44" s="106">
        <v>2.2326513241635744</v>
      </c>
      <c r="AE44" s="106">
        <v>2282.6627138248382</v>
      </c>
      <c r="AF44" s="106">
        <v>4.8455706724707328</v>
      </c>
      <c r="AG44" s="106">
        <v>4954.1114555340773</v>
      </c>
      <c r="AH44" s="106">
        <v>2.9047829937998229</v>
      </c>
      <c r="AI44" s="106">
        <v>2969.8501328609386</v>
      </c>
      <c r="AJ44" s="106">
        <v>0</v>
      </c>
      <c r="AK44" s="106">
        <v>0</v>
      </c>
      <c r="AL44" s="106">
        <v>12.140943146760685</v>
      </c>
      <c r="AM44" s="106">
        <v>12412.900273248124</v>
      </c>
      <c r="AN44" s="106">
        <v>0</v>
      </c>
      <c r="AO44" s="106">
        <v>0</v>
      </c>
      <c r="AP44" s="106">
        <v>10.633268671193015</v>
      </c>
      <c r="AQ44" s="106">
        <v>10871.453889427738</v>
      </c>
      <c r="AR44" s="106">
        <v>0</v>
      </c>
      <c r="AS44" s="106">
        <v>0</v>
      </c>
      <c r="AT44" s="106">
        <v>5.9582134746404245</v>
      </c>
      <c r="AU44" s="106">
        <v>6091.6774564723701</v>
      </c>
      <c r="AV44" s="106">
        <v>0</v>
      </c>
      <c r="AW44" s="106">
        <v>0</v>
      </c>
      <c r="AX44" s="106">
        <v>4.5894138083368361</v>
      </c>
      <c r="AY44" s="106">
        <v>4692.2166776435815</v>
      </c>
      <c r="AZ44" s="106">
        <v>5.2618640485553225</v>
      </c>
      <c r="BA44" s="106">
        <v>5379.7298032429617</v>
      </c>
      <c r="BB44" s="106">
        <v>1.1329747131383985</v>
      </c>
      <c r="BC44" s="106">
        <v>1158.3533467126986</v>
      </c>
      <c r="BD44" s="106">
        <v>0.66324922936408259</v>
      </c>
      <c r="BE44" s="106">
        <v>678.10601210183802</v>
      </c>
      <c r="BF44" s="106">
        <v>0</v>
      </c>
      <c r="BG44" s="106">
        <v>0</v>
      </c>
      <c r="BH44" s="106">
        <v>7.6445251426698784</v>
      </c>
      <c r="BI44" s="106">
        <v>7815.7625058656831</v>
      </c>
      <c r="BJ44" s="106">
        <v>8.3220922635471783</v>
      </c>
      <c r="BK44" s="106">
        <v>8508.5071302506349</v>
      </c>
      <c r="BL44" s="106">
        <v>9.1760066954689048</v>
      </c>
      <c r="BM44" s="106">
        <v>9381.5492454474079</v>
      </c>
      <c r="BN44" s="106">
        <v>7.1141069676153084</v>
      </c>
      <c r="BO44" s="106">
        <v>7273.4629636898908</v>
      </c>
      <c r="BP44" s="106">
        <v>0</v>
      </c>
      <c r="BQ44" s="106">
        <v>0</v>
      </c>
      <c r="BR44" s="106">
        <v>5.6922960819543098</v>
      </c>
      <c r="BS44" s="106">
        <v>5819.8035141900864</v>
      </c>
      <c r="BT44" s="106">
        <v>18.404831751509924</v>
      </c>
      <c r="BU44" s="106">
        <v>18817.099982743744</v>
      </c>
      <c r="BV44" s="106">
        <v>0</v>
      </c>
      <c r="BW44" s="106">
        <v>0</v>
      </c>
      <c r="BX44" s="106">
        <v>1.253157476669323</v>
      </c>
      <c r="BY44" s="106">
        <v>1281.2282041467158</v>
      </c>
      <c r="BZ44" s="106">
        <v>1.1428269093335199</v>
      </c>
      <c r="CA44" s="106">
        <v>1168.4262321025908</v>
      </c>
      <c r="CB44" s="106">
        <v>0.98978695932859917</v>
      </c>
      <c r="CC44" s="106">
        <v>1011.9581872175597</v>
      </c>
      <c r="CD44" s="106">
        <v>0</v>
      </c>
      <c r="CE44" s="106">
        <v>0</v>
      </c>
      <c r="CF44" s="106">
        <v>1.1381113823714706</v>
      </c>
      <c r="CG44" s="106">
        <v>1163.6050773365914</v>
      </c>
      <c r="CH44" s="106">
        <v>5.2042049494706655</v>
      </c>
      <c r="CI44" s="106">
        <v>5320.7791403388082</v>
      </c>
      <c r="CJ44" s="106">
        <v>2.8076200619674667</v>
      </c>
      <c r="CK44" s="106">
        <v>2870.5107513555381</v>
      </c>
      <c r="CL44" s="106">
        <v>0</v>
      </c>
      <c r="CM44" s="106">
        <v>0</v>
      </c>
      <c r="CN44" s="106">
        <v>1.4028383336930714</v>
      </c>
      <c r="CO44" s="106">
        <v>1434.2619123677962</v>
      </c>
      <c r="CP44" s="106">
        <v>0</v>
      </c>
      <c r="CQ44" s="106">
        <v>0</v>
      </c>
      <c r="CR44" s="106">
        <v>2.6867772762765219</v>
      </c>
      <c r="CS44" s="106">
        <v>2746.961087265116</v>
      </c>
      <c r="CT44" s="106">
        <v>4.1093985116538709</v>
      </c>
      <c r="CU44" s="106">
        <v>4201.4490383149177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5.6966012002487014</v>
      </c>
      <c r="O45" s="106">
        <v>7116.1942193506784</v>
      </c>
      <c r="P45" s="106">
        <v>4.1032204923655833</v>
      </c>
      <c r="Q45" s="106">
        <v>5125.7430390630871</v>
      </c>
      <c r="R45" s="106">
        <v>4.1912452900145221</v>
      </c>
      <c r="S45" s="106">
        <v>5235.7036162861414</v>
      </c>
      <c r="T45" s="106">
        <v>2.3103049907578561</v>
      </c>
      <c r="U45" s="106">
        <v>2886.0329944547138</v>
      </c>
      <c r="V45" s="106">
        <v>0</v>
      </c>
      <c r="W45" s="106">
        <v>0</v>
      </c>
      <c r="X45" s="106">
        <v>4.6812649481796438</v>
      </c>
      <c r="Y45" s="106">
        <v>5847.8361732660114</v>
      </c>
      <c r="Z45" s="106">
        <v>0</v>
      </c>
      <c r="AA45" s="106">
        <v>0</v>
      </c>
      <c r="AB45" s="106">
        <v>6.7056192018631835</v>
      </c>
      <c r="AC45" s="106">
        <v>8376.6595069674895</v>
      </c>
      <c r="AD45" s="106">
        <v>2.3479166685749697</v>
      </c>
      <c r="AE45" s="106">
        <v>2933.0175023838524</v>
      </c>
      <c r="AF45" s="106">
        <v>4.9122619487779735</v>
      </c>
      <c r="AG45" s="106">
        <v>6136.3976264134444</v>
      </c>
      <c r="AH45" s="106">
        <v>2.9047829937998229</v>
      </c>
      <c r="AI45" s="106">
        <v>3628.6549158547386</v>
      </c>
      <c r="AJ45" s="106">
        <v>0</v>
      </c>
      <c r="AK45" s="106">
        <v>0</v>
      </c>
      <c r="AL45" s="106">
        <v>11.645394446892904</v>
      </c>
      <c r="AM45" s="106">
        <v>14547.426743058617</v>
      </c>
      <c r="AN45" s="106">
        <v>0</v>
      </c>
      <c r="AO45" s="106">
        <v>0</v>
      </c>
      <c r="AP45" s="106">
        <v>11.178564500484965</v>
      </c>
      <c r="AQ45" s="106">
        <v>13964.26277400582</v>
      </c>
      <c r="AR45" s="106">
        <v>0</v>
      </c>
      <c r="AS45" s="106">
        <v>0</v>
      </c>
      <c r="AT45" s="106">
        <v>5.6744890234670704</v>
      </c>
      <c r="AU45" s="106">
        <v>7088.5716881150647</v>
      </c>
      <c r="AV45" s="106">
        <v>0</v>
      </c>
      <c r="AW45" s="106">
        <v>0</v>
      </c>
      <c r="AX45" s="106">
        <v>4.9636281331307881</v>
      </c>
      <c r="AY45" s="106">
        <v>6200.5642639069811</v>
      </c>
      <c r="AZ45" s="106">
        <v>5.2721288863638751</v>
      </c>
      <c r="BA45" s="106">
        <v>6585.9434048457533</v>
      </c>
      <c r="BB45" s="106">
        <v>1.152561723354582</v>
      </c>
      <c r="BC45" s="106">
        <v>1439.7801048145438</v>
      </c>
      <c r="BD45" s="106">
        <v>0.62045895650188387</v>
      </c>
      <c r="BE45" s="106">
        <v>775.07732846215333</v>
      </c>
      <c r="BF45" s="106">
        <v>0</v>
      </c>
      <c r="BG45" s="106">
        <v>0</v>
      </c>
      <c r="BH45" s="106">
        <v>8.0816526990830155</v>
      </c>
      <c r="BI45" s="106">
        <v>10095.600551694504</v>
      </c>
      <c r="BJ45" s="106">
        <v>8.0117866916637581</v>
      </c>
      <c r="BK45" s="106">
        <v>10008.323935226366</v>
      </c>
      <c r="BL45" s="106">
        <v>8.665749126633413</v>
      </c>
      <c r="BM45" s="106">
        <v>10825.253808990459</v>
      </c>
      <c r="BN45" s="106">
        <v>7.0050785083415112</v>
      </c>
      <c r="BO45" s="106">
        <v>8750.7440726202167</v>
      </c>
      <c r="BP45" s="106">
        <v>0</v>
      </c>
      <c r="BQ45" s="106">
        <v>0</v>
      </c>
      <c r="BR45" s="106">
        <v>4.8537228576959484</v>
      </c>
      <c r="BS45" s="106">
        <v>6063.2705938337785</v>
      </c>
      <c r="BT45" s="106">
        <v>18.596548748921485</v>
      </c>
      <c r="BU45" s="106">
        <v>23230.808697152719</v>
      </c>
      <c r="BV45" s="106">
        <v>0</v>
      </c>
      <c r="BW45" s="106">
        <v>0</v>
      </c>
      <c r="BX45" s="106">
        <v>1.5193744342186084</v>
      </c>
      <c r="BY45" s="106">
        <v>1898.0025432258858</v>
      </c>
      <c r="BZ45" s="106">
        <v>1.0203811690477855</v>
      </c>
      <c r="CA45" s="106">
        <v>1274.6601563744937</v>
      </c>
      <c r="CB45" s="106">
        <v>0.88220142027114279</v>
      </c>
      <c r="CC45" s="106">
        <v>1102.0460142027116</v>
      </c>
      <c r="CD45" s="106">
        <v>0</v>
      </c>
      <c r="CE45" s="106">
        <v>0</v>
      </c>
      <c r="CF45" s="106">
        <v>1.2535719573946633</v>
      </c>
      <c r="CG45" s="106">
        <v>1565.9620891774134</v>
      </c>
      <c r="CH45" s="106">
        <v>4.4727402645068075</v>
      </c>
      <c r="CI45" s="106">
        <v>5587.3471384219038</v>
      </c>
      <c r="CJ45" s="106">
        <v>2.5413802285050346</v>
      </c>
      <c r="CK45" s="106">
        <v>3174.6921814484895</v>
      </c>
      <c r="CL45" s="106">
        <v>0</v>
      </c>
      <c r="CM45" s="106">
        <v>0</v>
      </c>
      <c r="CN45" s="106">
        <v>1.3758606734297432</v>
      </c>
      <c r="CO45" s="106">
        <v>1718.7251532484352</v>
      </c>
      <c r="CP45" s="106">
        <v>0</v>
      </c>
      <c r="CQ45" s="106">
        <v>0</v>
      </c>
      <c r="CR45" s="106">
        <v>2.4898877840400293</v>
      </c>
      <c r="CS45" s="106">
        <v>3110.3678198228049</v>
      </c>
      <c r="CT45" s="106">
        <v>3.4449515625163847</v>
      </c>
      <c r="CU45" s="106">
        <v>4303.4334918954683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5.79772653616621</v>
      </c>
      <c r="O46" s="106">
        <v>7026.8445618334463</v>
      </c>
      <c r="P46" s="106">
        <v>3.8168600301605577</v>
      </c>
      <c r="Q46" s="106">
        <v>4626.0343565545963</v>
      </c>
      <c r="R46" s="106">
        <v>3.9730692614694831</v>
      </c>
      <c r="S46" s="106">
        <v>4815.3599449010135</v>
      </c>
      <c r="T46" s="106">
        <v>2.3103049907578561</v>
      </c>
      <c r="U46" s="106">
        <v>2800.0896487985215</v>
      </c>
      <c r="V46" s="106">
        <v>0</v>
      </c>
      <c r="W46" s="106">
        <v>0</v>
      </c>
      <c r="X46" s="106">
        <v>4.2828594206749937</v>
      </c>
      <c r="Y46" s="106">
        <v>5190.8256178580923</v>
      </c>
      <c r="Z46" s="106">
        <v>0</v>
      </c>
      <c r="AA46" s="106">
        <v>0</v>
      </c>
      <c r="AB46" s="106">
        <v>6.0889644983819347</v>
      </c>
      <c r="AC46" s="106">
        <v>7379.8249720389049</v>
      </c>
      <c r="AD46" s="106">
        <v>2.6291525075312472</v>
      </c>
      <c r="AE46" s="106">
        <v>3186.5328391278717</v>
      </c>
      <c r="AF46" s="106">
        <v>4.5402344489334716</v>
      </c>
      <c r="AG46" s="106">
        <v>5502.7641521073674</v>
      </c>
      <c r="AH46" s="106">
        <v>2.4068201948627101</v>
      </c>
      <c r="AI46" s="106">
        <v>2917.0660761736049</v>
      </c>
      <c r="AJ46" s="106">
        <v>0</v>
      </c>
      <c r="AK46" s="106">
        <v>0</v>
      </c>
      <c r="AL46" s="106">
        <v>10.406522697223446</v>
      </c>
      <c r="AM46" s="106">
        <v>12612.705509034817</v>
      </c>
      <c r="AN46" s="106">
        <v>0</v>
      </c>
      <c r="AO46" s="106">
        <v>0</v>
      </c>
      <c r="AP46" s="106">
        <v>11.451212415130939</v>
      </c>
      <c r="AQ46" s="106">
        <v>13878.869447138699</v>
      </c>
      <c r="AR46" s="106">
        <v>0</v>
      </c>
      <c r="AS46" s="106">
        <v>0</v>
      </c>
      <c r="AT46" s="106">
        <v>6.2419379258137786</v>
      </c>
      <c r="AU46" s="106">
        <v>7565.2287660862994</v>
      </c>
      <c r="AV46" s="106">
        <v>0</v>
      </c>
      <c r="AW46" s="106">
        <v>0</v>
      </c>
      <c r="AX46" s="106">
        <v>4.5539582796977323</v>
      </c>
      <c r="AY46" s="106">
        <v>5519.3974349936516</v>
      </c>
      <c r="AZ46" s="106">
        <v>4.7963555258054962</v>
      </c>
      <c r="BA46" s="106">
        <v>5813.1828972762614</v>
      </c>
      <c r="BB46" s="106">
        <v>1.1561257400736233</v>
      </c>
      <c r="BC46" s="106">
        <v>1401.2243969692315</v>
      </c>
      <c r="BD46" s="106">
        <v>0.68464436579518217</v>
      </c>
      <c r="BE46" s="106">
        <v>829.78897134376075</v>
      </c>
      <c r="BF46" s="106">
        <v>0</v>
      </c>
      <c r="BG46" s="106">
        <v>0</v>
      </c>
      <c r="BH46" s="106">
        <v>7.9091301419543818</v>
      </c>
      <c r="BI46" s="106">
        <v>9585.8657320487109</v>
      </c>
      <c r="BJ46" s="106">
        <v>9.2422218080229239</v>
      </c>
      <c r="BK46" s="106">
        <v>11201.572831323783</v>
      </c>
      <c r="BL46" s="106">
        <v>9.0132972483708702</v>
      </c>
      <c r="BM46" s="106">
        <v>10924.116265025496</v>
      </c>
      <c r="BN46" s="106">
        <v>6.2418792934249261</v>
      </c>
      <c r="BO46" s="106">
        <v>7565.15770363101</v>
      </c>
      <c r="BP46" s="106">
        <v>0</v>
      </c>
      <c r="BQ46" s="106">
        <v>0</v>
      </c>
      <c r="BR46" s="106">
        <v>5.2115750801102907</v>
      </c>
      <c r="BS46" s="106">
        <v>6316.4289970936725</v>
      </c>
      <c r="BT46" s="106">
        <v>20.130284728213979</v>
      </c>
      <c r="BU46" s="106">
        <v>24397.905090595345</v>
      </c>
      <c r="BV46" s="106">
        <v>0</v>
      </c>
      <c r="BW46" s="106">
        <v>0</v>
      </c>
      <c r="BX46" s="106">
        <v>1.2923186478152393</v>
      </c>
      <c r="BY46" s="106">
        <v>1566.29020115207</v>
      </c>
      <c r="BZ46" s="106">
        <v>1.0203811690477855</v>
      </c>
      <c r="CA46" s="106">
        <v>1236.7019768859161</v>
      </c>
      <c r="CB46" s="106">
        <v>0.92523563589412516</v>
      </c>
      <c r="CC46" s="106">
        <v>1121.3855907036798</v>
      </c>
      <c r="CD46" s="106">
        <v>0</v>
      </c>
      <c r="CE46" s="106">
        <v>0</v>
      </c>
      <c r="CF46" s="106">
        <v>1.0721339109296462</v>
      </c>
      <c r="CG46" s="106">
        <v>1299.4263000467311</v>
      </c>
      <c r="CH46" s="106">
        <v>5.019112774127179</v>
      </c>
      <c r="CI46" s="106">
        <v>6083.1646822421408</v>
      </c>
      <c r="CJ46" s="106">
        <v>2.6866019558481797</v>
      </c>
      <c r="CK46" s="106">
        <v>3256.1615704879937</v>
      </c>
      <c r="CL46" s="106">
        <v>0</v>
      </c>
      <c r="CM46" s="106">
        <v>0</v>
      </c>
      <c r="CN46" s="106">
        <v>1.4028383336930714</v>
      </c>
      <c r="CO46" s="106">
        <v>1700.2400604360025</v>
      </c>
      <c r="CP46" s="106">
        <v>0</v>
      </c>
      <c r="CQ46" s="106">
        <v>0</v>
      </c>
      <c r="CR46" s="106">
        <v>2.5346687274782527</v>
      </c>
      <c r="CS46" s="106">
        <v>3072.0184977036424</v>
      </c>
      <c r="CT46" s="106">
        <v>3.4004999662986668</v>
      </c>
      <c r="CU46" s="106">
        <v>4121.4059591539844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5.2536237620513431</v>
      </c>
      <c r="O47" s="106">
        <v>8025.4356589096315</v>
      </c>
      <c r="P47" s="106">
        <v>3.2775046965784624</v>
      </c>
      <c r="Q47" s="106">
        <v>5006.7161744932591</v>
      </c>
      <c r="R47" s="106">
        <v>3.6703867377166146</v>
      </c>
      <c r="S47" s="106">
        <v>5606.8827805359006</v>
      </c>
      <c r="T47" s="106">
        <v>1.9802614206495905</v>
      </c>
      <c r="U47" s="106">
        <v>3025.0473461843144</v>
      </c>
      <c r="V47" s="106">
        <v>0</v>
      </c>
      <c r="W47" s="106">
        <v>0</v>
      </c>
      <c r="X47" s="106">
        <v>4.0836566569226678</v>
      </c>
      <c r="Y47" s="106">
        <v>6238.1939091150671</v>
      </c>
      <c r="Z47" s="106">
        <v>0</v>
      </c>
      <c r="AA47" s="106">
        <v>0</v>
      </c>
      <c r="AB47" s="106">
        <v>6.093750819596921</v>
      </c>
      <c r="AC47" s="106">
        <v>9308.8137520162563</v>
      </c>
      <c r="AD47" s="106">
        <v>2.3512970119172016</v>
      </c>
      <c r="AE47" s="106">
        <v>3591.8413154047171</v>
      </c>
      <c r="AF47" s="106">
        <v>4.3313600407919157</v>
      </c>
      <c r="AG47" s="106">
        <v>6616.5855983137299</v>
      </c>
      <c r="AH47" s="106">
        <v>2.3238263950398586</v>
      </c>
      <c r="AI47" s="106">
        <v>3549.8772010628877</v>
      </c>
      <c r="AJ47" s="106">
        <v>0</v>
      </c>
      <c r="AK47" s="106">
        <v>0</v>
      </c>
      <c r="AL47" s="106">
        <v>9.9109739973556614</v>
      </c>
      <c r="AM47" s="106">
        <v>15140.003878360507</v>
      </c>
      <c r="AN47" s="106">
        <v>0</v>
      </c>
      <c r="AO47" s="106">
        <v>0</v>
      </c>
      <c r="AP47" s="106">
        <v>10.087972841901065</v>
      </c>
      <c r="AQ47" s="106">
        <v>15410.387313288065</v>
      </c>
      <c r="AR47" s="106">
        <v>0</v>
      </c>
      <c r="AS47" s="106">
        <v>0</v>
      </c>
      <c r="AT47" s="106">
        <v>6.5256623769871309</v>
      </c>
      <c r="AU47" s="106">
        <v>9968.6018470855397</v>
      </c>
      <c r="AV47" s="106">
        <v>0</v>
      </c>
      <c r="AW47" s="106">
        <v>0</v>
      </c>
      <c r="AX47" s="106">
        <v>4.7359001559620726</v>
      </c>
      <c r="AY47" s="106">
        <v>7234.5610782476615</v>
      </c>
      <c r="AZ47" s="106">
        <v>4.5430715888134765</v>
      </c>
      <c r="BA47" s="106">
        <v>6939.9961590714665</v>
      </c>
      <c r="BB47" s="106">
        <v>1.1511361166669651</v>
      </c>
      <c r="BC47" s="106">
        <v>1758.4755318204559</v>
      </c>
      <c r="BD47" s="106">
        <v>0.55627354720858546</v>
      </c>
      <c r="BE47" s="106">
        <v>849.76347071583507</v>
      </c>
      <c r="BF47" s="106">
        <v>0</v>
      </c>
      <c r="BG47" s="106">
        <v>0</v>
      </c>
      <c r="BH47" s="106">
        <v>6.9859232262543971</v>
      </c>
      <c r="BI47" s="106">
        <v>10671.696320426216</v>
      </c>
      <c r="BJ47" s="106">
        <v>8.3798734749975132</v>
      </c>
      <c r="BK47" s="106">
        <v>12801.094720406201</v>
      </c>
      <c r="BL47" s="106">
        <v>7.5093493116567158</v>
      </c>
      <c r="BM47" s="106">
        <v>11471.282008486798</v>
      </c>
      <c r="BN47" s="106">
        <v>5.7239941118743864</v>
      </c>
      <c r="BO47" s="106">
        <v>8743.9734052993117</v>
      </c>
      <c r="BP47" s="106">
        <v>0</v>
      </c>
      <c r="BQ47" s="106">
        <v>0</v>
      </c>
      <c r="BR47" s="106">
        <v>4.5941964339410957</v>
      </c>
      <c r="BS47" s="106">
        <v>7018.0944724884175</v>
      </c>
      <c r="BT47" s="106">
        <v>17.254529767040552</v>
      </c>
      <c r="BU47" s="106">
        <v>26358.019672131144</v>
      </c>
      <c r="BV47" s="106">
        <v>0</v>
      </c>
      <c r="BW47" s="106">
        <v>0</v>
      </c>
      <c r="BX47" s="106">
        <v>1.248898645296048</v>
      </c>
      <c r="BY47" s="106">
        <v>1907.8175705542428</v>
      </c>
      <c r="BZ47" s="106">
        <v>1.0611964158096971</v>
      </c>
      <c r="CA47" s="106">
        <v>1621.0836447908932</v>
      </c>
      <c r="CB47" s="106">
        <v>0.753098773402195</v>
      </c>
      <c r="CC47" s="106">
        <v>1150.433686249193</v>
      </c>
      <c r="CD47" s="106">
        <v>0</v>
      </c>
      <c r="CE47" s="106">
        <v>0</v>
      </c>
      <c r="CF47" s="106">
        <v>0.98966207162736564</v>
      </c>
      <c r="CG47" s="106">
        <v>1511.8077806179635</v>
      </c>
      <c r="CH47" s="106">
        <v>4.6925514623921254</v>
      </c>
      <c r="CI47" s="106">
        <v>7168.3416139502106</v>
      </c>
      <c r="CJ47" s="106">
        <v>2.58978747095275</v>
      </c>
      <c r="CK47" s="106">
        <v>3956.1593406274205</v>
      </c>
      <c r="CL47" s="106">
        <v>0</v>
      </c>
      <c r="CM47" s="106">
        <v>0</v>
      </c>
      <c r="CN47" s="106">
        <v>1.2139947118497734</v>
      </c>
      <c r="CO47" s="106">
        <v>1854.4983218217137</v>
      </c>
      <c r="CP47" s="106">
        <v>0</v>
      </c>
      <c r="CQ47" s="106">
        <v>0</v>
      </c>
      <c r="CR47" s="106">
        <v>2.3328048340663528</v>
      </c>
      <c r="CS47" s="106">
        <v>3563.5926645197601</v>
      </c>
      <c r="CT47" s="106">
        <v>3.2234692461372223</v>
      </c>
      <c r="CU47" s="106">
        <v>4924.17162039922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5.866244714904381</v>
      </c>
      <c r="O48" s="106">
        <v>5089.5539146510409</v>
      </c>
      <c r="P48" s="106">
        <v>4.546274170265848</v>
      </c>
      <c r="Q48" s="106">
        <v>3944.3474701226501</v>
      </c>
      <c r="R48" s="106">
        <v>4.4441668901927986</v>
      </c>
      <c r="S48" s="106">
        <v>3855.7591939312724</v>
      </c>
      <c r="T48" s="106">
        <v>2.3103049907578561</v>
      </c>
      <c r="U48" s="106">
        <v>2004.420609981516</v>
      </c>
      <c r="V48" s="106">
        <v>0</v>
      </c>
      <c r="W48" s="106">
        <v>0</v>
      </c>
      <c r="X48" s="106">
        <v>4.5816635663034813</v>
      </c>
      <c r="Y48" s="106">
        <v>3975.0513101249003</v>
      </c>
      <c r="Z48" s="106">
        <v>0</v>
      </c>
      <c r="AA48" s="106">
        <v>0</v>
      </c>
      <c r="AB48" s="106">
        <v>6.1128961044568646</v>
      </c>
      <c r="AC48" s="106">
        <v>5303.5486602267756</v>
      </c>
      <c r="AD48" s="106">
        <v>2.3884807886817603</v>
      </c>
      <c r="AE48" s="106">
        <v>2072.2459322602954</v>
      </c>
      <c r="AF48" s="106">
        <v>4.9793658203575939</v>
      </c>
      <c r="AG48" s="106">
        <v>4320.0977857422486</v>
      </c>
      <c r="AH48" s="106">
        <v>2.8217891939769708</v>
      </c>
      <c r="AI48" s="106">
        <v>2448.18430469442</v>
      </c>
      <c r="AJ48" s="106">
        <v>0</v>
      </c>
      <c r="AK48" s="106">
        <v>0</v>
      </c>
      <c r="AL48" s="106">
        <v>12.140943146760685</v>
      </c>
      <c r="AM48" s="106">
        <v>10533.48227412957</v>
      </c>
      <c r="AN48" s="106">
        <v>0</v>
      </c>
      <c r="AO48" s="106">
        <v>0</v>
      </c>
      <c r="AP48" s="106">
        <v>12.54180407371484</v>
      </c>
      <c r="AQ48" s="106">
        <v>10881.269214354996</v>
      </c>
      <c r="AR48" s="106">
        <v>0</v>
      </c>
      <c r="AS48" s="106">
        <v>0</v>
      </c>
      <c r="AT48" s="106">
        <v>7.0931112793338382</v>
      </c>
      <c r="AU48" s="106">
        <v>6153.9833459500378</v>
      </c>
      <c r="AV48" s="106">
        <v>0</v>
      </c>
      <c r="AW48" s="106">
        <v>0</v>
      </c>
      <c r="AX48" s="106">
        <v>4.8979825725979786</v>
      </c>
      <c r="AY48" s="106">
        <v>4249.4896799860062</v>
      </c>
      <c r="AZ48" s="106">
        <v>4.9219710105206511</v>
      </c>
      <c r="BA48" s="106">
        <v>4270.3020487277172</v>
      </c>
      <c r="BB48" s="106">
        <v>1.2002893839126481</v>
      </c>
      <c r="BC48" s="106">
        <v>1041.3710694826134</v>
      </c>
      <c r="BD48" s="106">
        <v>0.66324922936408259</v>
      </c>
      <c r="BE48" s="106">
        <v>575.43503139627808</v>
      </c>
      <c r="BF48" s="106">
        <v>0</v>
      </c>
      <c r="BG48" s="106">
        <v>0</v>
      </c>
      <c r="BH48" s="106">
        <v>7.9071897540905312</v>
      </c>
      <c r="BI48" s="106">
        <v>6860.2778306489454</v>
      </c>
      <c r="BJ48" s="106">
        <v>9.7800565019828429</v>
      </c>
      <c r="BK48" s="106">
        <v>8485.1770211203147</v>
      </c>
      <c r="BL48" s="106">
        <v>8.6949216675512009</v>
      </c>
      <c r="BM48" s="106">
        <v>7543.7140387674217</v>
      </c>
      <c r="BN48" s="106">
        <v>7.904563297350343</v>
      </c>
      <c r="BO48" s="106">
        <v>6857.9991167811577</v>
      </c>
      <c r="BP48" s="106">
        <v>0</v>
      </c>
      <c r="BQ48" s="106">
        <v>0</v>
      </c>
      <c r="BR48" s="106">
        <v>5.2579340437873165</v>
      </c>
      <c r="BS48" s="106">
        <v>4561.7835763898756</v>
      </c>
      <c r="BT48" s="106">
        <v>20.130284728213979</v>
      </c>
      <c r="BU48" s="106">
        <v>17465.035030198447</v>
      </c>
      <c r="BV48" s="106">
        <v>0</v>
      </c>
      <c r="BW48" s="106">
        <v>0</v>
      </c>
      <c r="BX48" s="106">
        <v>1.4098021612529883</v>
      </c>
      <c r="BY48" s="106">
        <v>1223.1443551030927</v>
      </c>
      <c r="BZ48" s="106">
        <v>1.0203811690477855</v>
      </c>
      <c r="CA48" s="106">
        <v>885.2827022658588</v>
      </c>
      <c r="CB48" s="106">
        <v>0.83916720464816008</v>
      </c>
      <c r="CC48" s="106">
        <v>728.06146675274374</v>
      </c>
      <c r="CD48" s="106">
        <v>0</v>
      </c>
      <c r="CE48" s="106">
        <v>0</v>
      </c>
      <c r="CF48" s="106">
        <v>1.3525381645573997</v>
      </c>
      <c r="CG48" s="106">
        <v>1173.4621115699999</v>
      </c>
      <c r="CH48" s="106">
        <v>5.1139908660968025</v>
      </c>
      <c r="CI48" s="106">
        <v>4436.8984754255862</v>
      </c>
      <c r="CJ48" s="106">
        <v>2.5655838497288923</v>
      </c>
      <c r="CK48" s="106">
        <v>2225.900548024787</v>
      </c>
      <c r="CL48" s="106">
        <v>0</v>
      </c>
      <c r="CM48" s="106">
        <v>0</v>
      </c>
      <c r="CN48" s="106">
        <v>1.4028383336930714</v>
      </c>
      <c r="CO48" s="106">
        <v>1217.1025383121089</v>
      </c>
      <c r="CP48" s="106">
        <v>0</v>
      </c>
      <c r="CQ48" s="106">
        <v>0</v>
      </c>
      <c r="CR48" s="106">
        <v>2.9355539993446769</v>
      </c>
      <c r="CS48" s="106">
        <v>2546.8866498314419</v>
      </c>
      <c r="CT48" s="106">
        <v>4.0995362045390946</v>
      </c>
      <c r="CU48" s="106">
        <v>3556.7576110581185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20.143499712161745</v>
      </c>
      <c r="O49" s="106">
        <v>19845.375916421748</v>
      </c>
      <c r="P49" s="106">
        <v>20.826249424257668</v>
      </c>
      <c r="Q49" s="106">
        <v>20518.020932778654</v>
      </c>
      <c r="R49" s="106">
        <v>12.195313133755743</v>
      </c>
      <c r="S49" s="106">
        <v>12014.822499376158</v>
      </c>
      <c r="T49" s="106">
        <v>10.320914229540428</v>
      </c>
      <c r="U49" s="106">
        <v>10168.164698943228</v>
      </c>
      <c r="V49" s="106">
        <v>0</v>
      </c>
      <c r="W49" s="106">
        <v>0</v>
      </c>
      <c r="X49" s="106">
        <v>3.9698650892018801</v>
      </c>
      <c r="Y49" s="106">
        <v>3911.1110858816919</v>
      </c>
      <c r="Z49" s="106">
        <v>3.7151743050074622</v>
      </c>
      <c r="AA49" s="106">
        <v>3660.1897252933513</v>
      </c>
      <c r="AB49" s="106">
        <v>1.229869202034823</v>
      </c>
      <c r="AC49" s="106">
        <v>1211.6671378447074</v>
      </c>
      <c r="AD49" s="106">
        <v>2.1291455948895397</v>
      </c>
      <c r="AE49" s="106">
        <v>2097.6342400851745</v>
      </c>
      <c r="AF49" s="106">
        <v>0</v>
      </c>
      <c r="AG49" s="106">
        <v>0</v>
      </c>
      <c r="AH49" s="106">
        <v>4.2175910016166096</v>
      </c>
      <c r="AI49" s="106">
        <v>4155.1706547926833</v>
      </c>
      <c r="AJ49" s="106">
        <v>3.6660529344073658</v>
      </c>
      <c r="AK49" s="106">
        <v>3611.7953509781364</v>
      </c>
      <c r="AL49" s="106">
        <v>0</v>
      </c>
      <c r="AM49" s="106">
        <v>0</v>
      </c>
      <c r="AN49" s="106">
        <v>4.7271428916503018</v>
      </c>
      <c r="AO49" s="106">
        <v>4657.1811768538773</v>
      </c>
      <c r="AP49" s="106">
        <v>4.9714416225756342</v>
      </c>
      <c r="AQ49" s="106">
        <v>4897.8642865615147</v>
      </c>
      <c r="AR49" s="106">
        <v>2.1699581859118684</v>
      </c>
      <c r="AS49" s="106">
        <v>2137.8428047603725</v>
      </c>
      <c r="AT49" s="106">
        <v>0</v>
      </c>
      <c r="AU49" s="106">
        <v>0</v>
      </c>
      <c r="AV49" s="106">
        <v>5.1870315363546116</v>
      </c>
      <c r="AW49" s="106">
        <v>5110.2634696165633</v>
      </c>
      <c r="AX49" s="106">
        <v>2.2618434890770174</v>
      </c>
      <c r="AY49" s="106">
        <v>2228.3682054386773</v>
      </c>
      <c r="AZ49" s="106">
        <v>13.157872340425532</v>
      </c>
      <c r="BA49" s="106">
        <v>12963.135829787234</v>
      </c>
      <c r="BB49" s="106">
        <v>50.501160008067274</v>
      </c>
      <c r="BC49" s="106">
        <v>49753.742839947874</v>
      </c>
      <c r="BD49" s="106">
        <v>37.377234003004723</v>
      </c>
      <c r="BE49" s="106">
        <v>36824.050939760251</v>
      </c>
      <c r="BF49" s="106">
        <v>30.464772101602634</v>
      </c>
      <c r="BG49" s="106">
        <v>30013.893474498913</v>
      </c>
      <c r="BH49" s="106">
        <v>3.0698676404308505</v>
      </c>
      <c r="BI49" s="106">
        <v>3024.4335993524737</v>
      </c>
      <c r="BJ49" s="106">
        <v>1.7953060875512996</v>
      </c>
      <c r="BK49" s="106">
        <v>1768.7355574555402</v>
      </c>
      <c r="BL49" s="106">
        <v>0</v>
      </c>
      <c r="BM49" s="106">
        <v>0</v>
      </c>
      <c r="BN49" s="106">
        <v>1.5426468455313762</v>
      </c>
      <c r="BO49" s="106">
        <v>1519.8156722175117</v>
      </c>
      <c r="BP49" s="106">
        <v>2.1974105796100063</v>
      </c>
      <c r="BQ49" s="106">
        <v>2164.8889030317782</v>
      </c>
      <c r="BR49" s="106">
        <v>4.533825949045001</v>
      </c>
      <c r="BS49" s="106">
        <v>4466.7253249991345</v>
      </c>
      <c r="BT49" s="106">
        <v>1.104933697347894</v>
      </c>
      <c r="BU49" s="106">
        <v>1088.5806786271451</v>
      </c>
      <c r="BV49" s="106">
        <v>0</v>
      </c>
      <c r="BW49" s="106">
        <v>0</v>
      </c>
      <c r="BX49" s="106">
        <v>3.3004053515507921</v>
      </c>
      <c r="BY49" s="106">
        <v>3251.5593523478401</v>
      </c>
      <c r="BZ49" s="106">
        <v>5.2575342465753421</v>
      </c>
      <c r="CA49" s="106">
        <v>5179.7227397260267</v>
      </c>
      <c r="CB49" s="106">
        <v>0</v>
      </c>
      <c r="CC49" s="106">
        <v>0</v>
      </c>
      <c r="CD49" s="106">
        <v>7.3134352347393268</v>
      </c>
      <c r="CE49" s="106">
        <v>7205.1963932651843</v>
      </c>
      <c r="CF49" s="106">
        <v>4.1895486880197366</v>
      </c>
      <c r="CG49" s="106">
        <v>4127.5433674370443</v>
      </c>
      <c r="CH49" s="106">
        <v>3.2149579829777988</v>
      </c>
      <c r="CI49" s="106">
        <v>3167.3766048297271</v>
      </c>
      <c r="CJ49" s="106">
        <v>5.0342043802728478</v>
      </c>
      <c r="CK49" s="106">
        <v>4959.6981554448093</v>
      </c>
      <c r="CL49" s="106">
        <v>4.2748167752442994</v>
      </c>
      <c r="CM49" s="106">
        <v>4211.5494869706836</v>
      </c>
      <c r="CN49" s="106">
        <v>0</v>
      </c>
      <c r="CO49" s="106">
        <v>0</v>
      </c>
      <c r="CP49" s="106">
        <v>5.4112116450645278</v>
      </c>
      <c r="CQ49" s="106">
        <v>5331.1257127175722</v>
      </c>
      <c r="CR49" s="106">
        <v>4.4003693669975199</v>
      </c>
      <c r="CS49" s="106">
        <v>4335.2439003659565</v>
      </c>
      <c r="CT49" s="106">
        <v>3.9002167003756139</v>
      </c>
      <c r="CU49" s="106">
        <v>3842.4934932100546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8.6635157281955948</v>
      </c>
      <c r="O50" s="106">
        <v>2443.1114353511575</v>
      </c>
      <c r="P50" s="106">
        <v>5.2250146181484185</v>
      </c>
      <c r="Q50" s="106">
        <v>1473.4541223178539</v>
      </c>
      <c r="R50" s="106">
        <v>2.5933943918534985</v>
      </c>
      <c r="S50" s="106">
        <v>731.3372185026866</v>
      </c>
      <c r="T50" s="106">
        <v>6.5348626881436491</v>
      </c>
      <c r="U50" s="106">
        <v>1842.8312780565091</v>
      </c>
      <c r="V50" s="106">
        <v>0</v>
      </c>
      <c r="W50" s="106">
        <v>0</v>
      </c>
      <c r="X50" s="106">
        <v>8.3665160775976624</v>
      </c>
      <c r="Y50" s="106">
        <v>2359.3575338825408</v>
      </c>
      <c r="Z50" s="106">
        <v>0</v>
      </c>
      <c r="AA50" s="106">
        <v>0</v>
      </c>
      <c r="AB50" s="106">
        <v>3.61755936324196</v>
      </c>
      <c r="AC50" s="106">
        <v>1020.1517404342327</v>
      </c>
      <c r="AD50" s="106">
        <v>2.0736083516908996</v>
      </c>
      <c r="AE50" s="106">
        <v>584.75755517683365</v>
      </c>
      <c r="AF50" s="106">
        <v>3.6410017462165976</v>
      </c>
      <c r="AG50" s="106">
        <v>1026.7624924330805</v>
      </c>
      <c r="AH50" s="106">
        <v>1.5768821966341895</v>
      </c>
      <c r="AI50" s="106">
        <v>444.68077945084144</v>
      </c>
      <c r="AJ50" s="106">
        <v>0</v>
      </c>
      <c r="AK50" s="106">
        <v>0</v>
      </c>
      <c r="AL50" s="106">
        <v>7.433230498016747</v>
      </c>
      <c r="AM50" s="106">
        <v>2096.1710004407228</v>
      </c>
      <c r="AN50" s="106">
        <v>0</v>
      </c>
      <c r="AO50" s="106">
        <v>0</v>
      </c>
      <c r="AP50" s="106">
        <v>7.3614936954413182</v>
      </c>
      <c r="AQ50" s="106">
        <v>2075.9412221144516</v>
      </c>
      <c r="AR50" s="106">
        <v>0</v>
      </c>
      <c r="AS50" s="106">
        <v>0</v>
      </c>
      <c r="AT50" s="106">
        <v>11.348978046934141</v>
      </c>
      <c r="AU50" s="106">
        <v>3200.4118092354279</v>
      </c>
      <c r="AV50" s="106">
        <v>0</v>
      </c>
      <c r="AW50" s="106">
        <v>0</v>
      </c>
      <c r="AX50" s="106">
        <v>5.7207839851797546</v>
      </c>
      <c r="AY50" s="106">
        <v>1613.2610838206908</v>
      </c>
      <c r="AZ50" s="106">
        <v>17.648395163566882</v>
      </c>
      <c r="BA50" s="106">
        <v>4976.8474361258604</v>
      </c>
      <c r="BB50" s="106">
        <v>4.4887290050375546</v>
      </c>
      <c r="BC50" s="106">
        <v>1265.8215794205903</v>
      </c>
      <c r="BD50" s="106">
        <v>4.6641397419796782</v>
      </c>
      <c r="BE50" s="106">
        <v>1315.2874072382692</v>
      </c>
      <c r="BF50" s="106">
        <v>0</v>
      </c>
      <c r="BG50" s="106">
        <v>0</v>
      </c>
      <c r="BH50" s="106">
        <v>1.1558814966079967</v>
      </c>
      <c r="BI50" s="106">
        <v>325.95858204345507</v>
      </c>
      <c r="BJ50" s="106">
        <v>0.68216290665931223</v>
      </c>
      <c r="BK50" s="106">
        <v>192.36993967792606</v>
      </c>
      <c r="BL50" s="106">
        <v>0.82780846039350386</v>
      </c>
      <c r="BM50" s="106">
        <v>233.44198583096809</v>
      </c>
      <c r="BN50" s="106">
        <v>0.59965652600588815</v>
      </c>
      <c r="BO50" s="106">
        <v>169.10314033366046</v>
      </c>
      <c r="BP50" s="106">
        <v>0</v>
      </c>
      <c r="BQ50" s="106">
        <v>0</v>
      </c>
      <c r="BR50" s="106">
        <v>3.0344647691273421</v>
      </c>
      <c r="BS50" s="106">
        <v>855.71906489391051</v>
      </c>
      <c r="BT50" s="106">
        <v>3.0674719585849868</v>
      </c>
      <c r="BU50" s="106">
        <v>865.02709232096629</v>
      </c>
      <c r="BV50" s="106">
        <v>0</v>
      </c>
      <c r="BW50" s="106">
        <v>0</v>
      </c>
      <c r="BX50" s="106">
        <v>0.93986810750199223</v>
      </c>
      <c r="BY50" s="106">
        <v>265.04280631556179</v>
      </c>
      <c r="BZ50" s="106">
        <v>1.5917946237145455</v>
      </c>
      <c r="CA50" s="106">
        <v>448.88608388750185</v>
      </c>
      <c r="CB50" s="106">
        <v>0.7746158812136863</v>
      </c>
      <c r="CC50" s="106">
        <v>218.44167850225955</v>
      </c>
      <c r="CD50" s="106">
        <v>0</v>
      </c>
      <c r="CE50" s="106">
        <v>0</v>
      </c>
      <c r="CF50" s="106">
        <v>0.55223968987443617</v>
      </c>
      <c r="CG50" s="106">
        <v>155.731592544591</v>
      </c>
      <c r="CH50" s="106">
        <v>1.5104174574481697</v>
      </c>
      <c r="CI50" s="106">
        <v>425.93772300038387</v>
      </c>
      <c r="CJ50" s="106">
        <v>1.1859774399690162</v>
      </c>
      <c r="CK50" s="106">
        <v>334.44563807126258</v>
      </c>
      <c r="CL50" s="106">
        <v>0</v>
      </c>
      <c r="CM50" s="106">
        <v>0</v>
      </c>
      <c r="CN50" s="106">
        <v>3.9117607381826027</v>
      </c>
      <c r="CO50" s="106">
        <v>1103.1165281674939</v>
      </c>
      <c r="CP50" s="106">
        <v>0</v>
      </c>
      <c r="CQ50" s="106">
        <v>0</v>
      </c>
      <c r="CR50" s="106">
        <v>8.091633491939362</v>
      </c>
      <c r="CS50" s="106">
        <v>2281.8406447268999</v>
      </c>
      <c r="CT50" s="106">
        <v>5.5646026935000146</v>
      </c>
      <c r="CU50" s="106">
        <v>1569.2179595670041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7.6258728479246134</v>
      </c>
      <c r="O51" s="106">
        <v>6515.5457612667897</v>
      </c>
      <c r="P51" s="106">
        <v>4.0714649785726786</v>
      </c>
      <c r="Q51" s="106">
        <v>3478.6596776924966</v>
      </c>
      <c r="R51" s="106">
        <v>2.5916007355178734</v>
      </c>
      <c r="S51" s="106">
        <v>2214.2636684264708</v>
      </c>
      <c r="T51" s="106">
        <v>5.412714549775548</v>
      </c>
      <c r="U51" s="106">
        <v>4624.6233113282278</v>
      </c>
      <c r="V51" s="106">
        <v>0</v>
      </c>
      <c r="W51" s="106">
        <v>0</v>
      </c>
      <c r="X51" s="106">
        <v>7.6693064044645229</v>
      </c>
      <c r="Y51" s="106">
        <v>6552.6553919744883</v>
      </c>
      <c r="Z51" s="106">
        <v>0</v>
      </c>
      <c r="AA51" s="106">
        <v>0</v>
      </c>
      <c r="AB51" s="106">
        <v>3.1359230507710811</v>
      </c>
      <c r="AC51" s="106">
        <v>2679.3326545788118</v>
      </c>
      <c r="AD51" s="106">
        <v>1.9313002605416443</v>
      </c>
      <c r="AE51" s="106">
        <v>1650.1029426067807</v>
      </c>
      <c r="AF51" s="106">
        <v>3.3985754022852315</v>
      </c>
      <c r="AG51" s="106">
        <v>2903.7428237125018</v>
      </c>
      <c r="AH51" s="106">
        <v>1.4108945969884854</v>
      </c>
      <c r="AI51" s="106">
        <v>1205.4683436669618</v>
      </c>
      <c r="AJ51" s="106">
        <v>0</v>
      </c>
      <c r="AK51" s="106">
        <v>0</v>
      </c>
      <c r="AL51" s="106">
        <v>6.9376817981489642</v>
      </c>
      <c r="AM51" s="106">
        <v>5927.5553283384752</v>
      </c>
      <c r="AN51" s="106">
        <v>0</v>
      </c>
      <c r="AO51" s="106">
        <v>0</v>
      </c>
      <c r="AP51" s="106">
        <v>6.5435499515033939</v>
      </c>
      <c r="AQ51" s="106">
        <v>5590.8090785644999</v>
      </c>
      <c r="AR51" s="106">
        <v>0</v>
      </c>
      <c r="AS51" s="106">
        <v>0</v>
      </c>
      <c r="AT51" s="106">
        <v>12.483875851627557</v>
      </c>
      <c r="AU51" s="106">
        <v>10666.223527630584</v>
      </c>
      <c r="AV51" s="106">
        <v>0</v>
      </c>
      <c r="AW51" s="106">
        <v>0</v>
      </c>
      <c r="AX51" s="106">
        <v>4.8406633720751771</v>
      </c>
      <c r="AY51" s="106">
        <v>4135.8627851010315</v>
      </c>
      <c r="AZ51" s="106">
        <v>14.418961513632848</v>
      </c>
      <c r="BA51" s="106">
        <v>12319.560717247905</v>
      </c>
      <c r="BB51" s="106">
        <v>3.8601023428059884</v>
      </c>
      <c r="BC51" s="106">
        <v>3298.0714416934366</v>
      </c>
      <c r="BD51" s="106">
        <v>4.2790272862198888</v>
      </c>
      <c r="BE51" s="106">
        <v>3656.0009133462727</v>
      </c>
      <c r="BF51" s="106">
        <v>0</v>
      </c>
      <c r="BG51" s="106">
        <v>0</v>
      </c>
      <c r="BH51" s="106">
        <v>1.0274597726934467</v>
      </c>
      <c r="BI51" s="106">
        <v>877.86162978928087</v>
      </c>
      <c r="BJ51" s="106">
        <v>0.65057550814051446</v>
      </c>
      <c r="BK51" s="106">
        <v>555.85171415525554</v>
      </c>
      <c r="BL51" s="106">
        <v>0.79804897669434882</v>
      </c>
      <c r="BM51" s="106">
        <v>681.85304568765162</v>
      </c>
      <c r="BN51" s="106">
        <v>0.57239941118743876</v>
      </c>
      <c r="BO51" s="106">
        <v>489.05805691854766</v>
      </c>
      <c r="BP51" s="106">
        <v>0</v>
      </c>
      <c r="BQ51" s="106">
        <v>0</v>
      </c>
      <c r="BR51" s="106">
        <v>2.9470469619212722</v>
      </c>
      <c r="BS51" s="106">
        <v>2517.9569242655348</v>
      </c>
      <c r="BT51" s="106">
        <v>3.0674719585849868</v>
      </c>
      <c r="BU51" s="106">
        <v>2620.8480414150126</v>
      </c>
      <c r="BV51" s="106">
        <v>0</v>
      </c>
      <c r="BW51" s="106">
        <v>0</v>
      </c>
      <c r="BX51" s="106">
        <v>0.90070693635607579</v>
      </c>
      <c r="BY51" s="106">
        <v>769.56400642263111</v>
      </c>
      <c r="BZ51" s="106">
        <v>1.3877183899049885</v>
      </c>
      <c r="CA51" s="106">
        <v>1185.6665923348221</v>
      </c>
      <c r="CB51" s="106">
        <v>0.79613298902517748</v>
      </c>
      <c r="CC51" s="106">
        <v>680.21602582311164</v>
      </c>
      <c r="CD51" s="106">
        <v>0</v>
      </c>
      <c r="CE51" s="106">
        <v>0</v>
      </c>
      <c r="CF51" s="106">
        <v>0.53092163444067819</v>
      </c>
      <c r="CG51" s="106">
        <v>453.61944446611545</v>
      </c>
      <c r="CH51" s="106">
        <v>1.2795822392456033</v>
      </c>
      <c r="CI51" s="106">
        <v>1093.2750652114435</v>
      </c>
      <c r="CJ51" s="106">
        <v>0.99234847017815642</v>
      </c>
      <c r="CK51" s="106">
        <v>847.86253292021684</v>
      </c>
      <c r="CL51" s="106">
        <v>0</v>
      </c>
      <c r="CM51" s="106">
        <v>0</v>
      </c>
      <c r="CN51" s="106">
        <v>3.6150064752859916</v>
      </c>
      <c r="CO51" s="106">
        <v>3088.661532484351</v>
      </c>
      <c r="CP51" s="106">
        <v>0</v>
      </c>
      <c r="CQ51" s="106">
        <v>0</v>
      </c>
      <c r="CR51" s="106">
        <v>6.3956880026398437</v>
      </c>
      <c r="CS51" s="106">
        <v>5464.4758294554822</v>
      </c>
      <c r="CT51" s="106">
        <v>4.199710605105702</v>
      </c>
      <c r="CU51" s="106">
        <v>3588.2327410023117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8.23464619132492</v>
      </c>
      <c r="O52" s="106">
        <v>4446.708943315457</v>
      </c>
      <c r="P52" s="106">
        <v>4.7927713279223338</v>
      </c>
      <c r="Q52" s="106">
        <v>2588.0965170780601</v>
      </c>
      <c r="R52" s="106">
        <v>2.701286635235602</v>
      </c>
      <c r="S52" s="106">
        <v>1458.694783027225</v>
      </c>
      <c r="T52" s="106">
        <v>5.4787232637972005</v>
      </c>
      <c r="U52" s="106">
        <v>2958.5105624504881</v>
      </c>
      <c r="V52" s="106">
        <v>0</v>
      </c>
      <c r="W52" s="106">
        <v>0</v>
      </c>
      <c r="X52" s="106">
        <v>7.868509168216848</v>
      </c>
      <c r="Y52" s="106">
        <v>4248.9949508370983</v>
      </c>
      <c r="Z52" s="106">
        <v>0</v>
      </c>
      <c r="AA52" s="106">
        <v>0</v>
      </c>
      <c r="AB52" s="106">
        <v>3.4394640812967192</v>
      </c>
      <c r="AC52" s="106">
        <v>1857.3106039002284</v>
      </c>
      <c r="AD52" s="106">
        <v>1.9380609472261094</v>
      </c>
      <c r="AE52" s="106">
        <v>1046.5529115020991</v>
      </c>
      <c r="AF52" s="106">
        <v>3.3901874183377787</v>
      </c>
      <c r="AG52" s="106">
        <v>1830.7012059024005</v>
      </c>
      <c r="AH52" s="106">
        <v>1.4108945969884854</v>
      </c>
      <c r="AI52" s="106">
        <v>761.88308237378214</v>
      </c>
      <c r="AJ52" s="106">
        <v>0</v>
      </c>
      <c r="AK52" s="106">
        <v>0</v>
      </c>
      <c r="AL52" s="106">
        <v>6.4421330982811797</v>
      </c>
      <c r="AM52" s="106">
        <v>3478.7518730718371</v>
      </c>
      <c r="AN52" s="106">
        <v>0</v>
      </c>
      <c r="AO52" s="106">
        <v>0</v>
      </c>
      <c r="AP52" s="106">
        <v>7.3614936954413182</v>
      </c>
      <c r="AQ52" s="106">
        <v>3975.2065955383118</v>
      </c>
      <c r="AR52" s="106">
        <v>0</v>
      </c>
      <c r="AS52" s="106">
        <v>0</v>
      </c>
      <c r="AT52" s="106">
        <v>12.767600302800908</v>
      </c>
      <c r="AU52" s="106">
        <v>6894.5041635124899</v>
      </c>
      <c r="AV52" s="106">
        <v>0</v>
      </c>
      <c r="AW52" s="106">
        <v>0</v>
      </c>
      <c r="AX52" s="106">
        <v>5.1340369097767029</v>
      </c>
      <c r="AY52" s="106">
        <v>2772.3799312794195</v>
      </c>
      <c r="AZ52" s="106">
        <v>15.980108950269987</v>
      </c>
      <c r="BA52" s="106">
        <v>8629.2588331457937</v>
      </c>
      <c r="BB52" s="106">
        <v>3.6813093574184652</v>
      </c>
      <c r="BC52" s="106">
        <v>1987.9070530059712</v>
      </c>
      <c r="BD52" s="106">
        <v>4.1934467404954905</v>
      </c>
      <c r="BE52" s="106">
        <v>2264.4612398675649</v>
      </c>
      <c r="BF52" s="106">
        <v>0</v>
      </c>
      <c r="BG52" s="106">
        <v>0</v>
      </c>
      <c r="BH52" s="106">
        <v>1.1185720209173908</v>
      </c>
      <c r="BI52" s="106">
        <v>604.02889129539108</v>
      </c>
      <c r="BJ52" s="106">
        <v>0.59459215855260028</v>
      </c>
      <c r="BK52" s="106">
        <v>321.07976561840417</v>
      </c>
      <c r="BL52" s="106">
        <v>0.83015623151896989</v>
      </c>
      <c r="BM52" s="106">
        <v>448.28436502024374</v>
      </c>
      <c r="BN52" s="106">
        <v>0.54514229636898914</v>
      </c>
      <c r="BO52" s="106">
        <v>294.37684003925415</v>
      </c>
      <c r="BP52" s="106">
        <v>0</v>
      </c>
      <c r="BQ52" s="106">
        <v>0</v>
      </c>
      <c r="BR52" s="106">
        <v>2.7613033560557154</v>
      </c>
      <c r="BS52" s="106">
        <v>1491.1038122700863</v>
      </c>
      <c r="BT52" s="106">
        <v>3.0674719585849868</v>
      </c>
      <c r="BU52" s="106">
        <v>1656.434857635893</v>
      </c>
      <c r="BV52" s="106">
        <v>0</v>
      </c>
      <c r="BW52" s="106">
        <v>0</v>
      </c>
      <c r="BX52" s="106">
        <v>0.86154576521015946</v>
      </c>
      <c r="BY52" s="106">
        <v>465.23471321348609</v>
      </c>
      <c r="BZ52" s="106">
        <v>1.5917946237145455</v>
      </c>
      <c r="CA52" s="106">
        <v>859.56909680585454</v>
      </c>
      <c r="CB52" s="106">
        <v>0.88220142027114279</v>
      </c>
      <c r="CC52" s="106">
        <v>476.38876694641709</v>
      </c>
      <c r="CD52" s="106">
        <v>0</v>
      </c>
      <c r="CE52" s="106">
        <v>0</v>
      </c>
      <c r="CF52" s="106">
        <v>0.61459939563628407</v>
      </c>
      <c r="CG52" s="106">
        <v>331.8836736435934</v>
      </c>
      <c r="CH52" s="106">
        <v>1.2791582384641706</v>
      </c>
      <c r="CI52" s="106">
        <v>690.74544877065216</v>
      </c>
      <c r="CJ52" s="106">
        <v>1.1375701975213013</v>
      </c>
      <c r="CK52" s="106">
        <v>614.28790666150269</v>
      </c>
      <c r="CL52" s="106">
        <v>0</v>
      </c>
      <c r="CM52" s="106">
        <v>0</v>
      </c>
      <c r="CN52" s="106">
        <v>3.9657160587092597</v>
      </c>
      <c r="CO52" s="106">
        <v>2141.4866717030004</v>
      </c>
      <c r="CP52" s="106">
        <v>0</v>
      </c>
      <c r="CQ52" s="106">
        <v>0</v>
      </c>
      <c r="CR52" s="106">
        <v>7.3929267811304964</v>
      </c>
      <c r="CS52" s="106">
        <v>3992.1804618104679</v>
      </c>
      <c r="CT52" s="106">
        <v>4.5241851240842657</v>
      </c>
      <c r="CU52" s="106">
        <v>2443.0599670055035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9.0508003524972214</v>
      </c>
      <c r="O53" s="106">
        <v>3681.8655833958696</v>
      </c>
      <c r="P53" s="106">
        <v>4.7934469771519703</v>
      </c>
      <c r="Q53" s="106">
        <v>1949.9742303054215</v>
      </c>
      <c r="R53" s="106">
        <v>2.809178878617705</v>
      </c>
      <c r="S53" s="106">
        <v>1142.7739678216824</v>
      </c>
      <c r="T53" s="106">
        <v>6.0067929759704244</v>
      </c>
      <c r="U53" s="106">
        <v>2443.5633826247686</v>
      </c>
      <c r="V53" s="106">
        <v>0</v>
      </c>
      <c r="W53" s="106">
        <v>0</v>
      </c>
      <c r="X53" s="106">
        <v>7.1712994950837095</v>
      </c>
      <c r="Y53" s="106">
        <v>2917.2846346000529</v>
      </c>
      <c r="Z53" s="106">
        <v>0</v>
      </c>
      <c r="AA53" s="106">
        <v>0</v>
      </c>
      <c r="AB53" s="106">
        <v>3.2948730478563788</v>
      </c>
      <c r="AC53" s="106">
        <v>1340.3543558679748</v>
      </c>
      <c r="AD53" s="106">
        <v>2.0058346494585044</v>
      </c>
      <c r="AE53" s="106">
        <v>815.97353539971959</v>
      </c>
      <c r="AF53" s="106">
        <v>3.6368077542428714</v>
      </c>
      <c r="AG53" s="106">
        <v>1479.4533944260002</v>
      </c>
      <c r="AH53" s="106">
        <v>1.4108945969884854</v>
      </c>
      <c r="AI53" s="106">
        <v>573.95192205491583</v>
      </c>
      <c r="AJ53" s="106">
        <v>0</v>
      </c>
      <c r="AK53" s="106">
        <v>0</v>
      </c>
      <c r="AL53" s="106">
        <v>7.6810048479506383</v>
      </c>
      <c r="AM53" s="106">
        <v>3124.6327721463199</v>
      </c>
      <c r="AN53" s="106">
        <v>0</v>
      </c>
      <c r="AO53" s="106">
        <v>0</v>
      </c>
      <c r="AP53" s="106">
        <v>7.3614936954413182</v>
      </c>
      <c r="AQ53" s="106">
        <v>2994.6556353055284</v>
      </c>
      <c r="AR53" s="106">
        <v>0</v>
      </c>
      <c r="AS53" s="106">
        <v>0</v>
      </c>
      <c r="AT53" s="106">
        <v>12.200151400454203</v>
      </c>
      <c r="AU53" s="106">
        <v>4963.0215897047701</v>
      </c>
      <c r="AV53" s="106">
        <v>0</v>
      </c>
      <c r="AW53" s="106">
        <v>0</v>
      </c>
      <c r="AX53" s="106">
        <v>5.7207839851797546</v>
      </c>
      <c r="AY53" s="106">
        <v>2327.2149251711244</v>
      </c>
      <c r="AZ53" s="106">
        <v>17.292078385038526</v>
      </c>
      <c r="BA53" s="106">
        <v>7034.4174870336728</v>
      </c>
      <c r="BB53" s="106">
        <v>4.6030585330260623</v>
      </c>
      <c r="BC53" s="106">
        <v>1872.5242112350022</v>
      </c>
      <c r="BD53" s="106">
        <v>4.6213494691174795</v>
      </c>
      <c r="BE53" s="106">
        <v>1879.9649640369908</v>
      </c>
      <c r="BF53" s="106">
        <v>0</v>
      </c>
      <c r="BG53" s="106">
        <v>0</v>
      </c>
      <c r="BH53" s="106">
        <v>1.1195422148493164</v>
      </c>
      <c r="BI53" s="106">
        <v>455.42977300070191</v>
      </c>
      <c r="BJ53" s="106">
        <v>0.62078597148413717</v>
      </c>
      <c r="BK53" s="106">
        <v>252.535733199747</v>
      </c>
      <c r="BL53" s="106">
        <v>0.79804897669434882</v>
      </c>
      <c r="BM53" s="106">
        <v>324.64632371926109</v>
      </c>
      <c r="BN53" s="106">
        <v>0.54514229636898914</v>
      </c>
      <c r="BO53" s="106">
        <v>221.76388616290478</v>
      </c>
      <c r="BP53" s="106">
        <v>0</v>
      </c>
      <c r="BQ53" s="106">
        <v>0</v>
      </c>
      <c r="BR53" s="106">
        <v>2.7503953646022969</v>
      </c>
      <c r="BS53" s="106">
        <v>1118.8608343202145</v>
      </c>
      <c r="BT53" s="106">
        <v>3.0674719585849868</v>
      </c>
      <c r="BU53" s="106">
        <v>1247.8475927523727</v>
      </c>
      <c r="BV53" s="106">
        <v>0</v>
      </c>
      <c r="BW53" s="106">
        <v>0</v>
      </c>
      <c r="BX53" s="106">
        <v>0.93986810750199223</v>
      </c>
      <c r="BY53" s="106">
        <v>382.33834613181045</v>
      </c>
      <c r="BZ53" s="106">
        <v>1.5101641301907227</v>
      </c>
      <c r="CA53" s="106">
        <v>614.334768161586</v>
      </c>
      <c r="CB53" s="106">
        <v>0.83916720464816008</v>
      </c>
      <c r="CC53" s="106">
        <v>341.37321885087152</v>
      </c>
      <c r="CD53" s="106">
        <v>0</v>
      </c>
      <c r="CE53" s="106">
        <v>0</v>
      </c>
      <c r="CF53" s="106">
        <v>0.54771748277446564</v>
      </c>
      <c r="CG53" s="106">
        <v>222.81147199265263</v>
      </c>
      <c r="CH53" s="106">
        <v>1.6040235470734943</v>
      </c>
      <c r="CI53" s="106">
        <v>652.51677894949751</v>
      </c>
      <c r="CJ53" s="106">
        <v>1.064959333849729</v>
      </c>
      <c r="CK53" s="106">
        <v>433.22545701006976</v>
      </c>
      <c r="CL53" s="106">
        <v>0</v>
      </c>
      <c r="CM53" s="106">
        <v>0</v>
      </c>
      <c r="CN53" s="106">
        <v>3.8578054176559466</v>
      </c>
      <c r="CO53" s="106">
        <v>1569.355243902439</v>
      </c>
      <c r="CP53" s="106">
        <v>0</v>
      </c>
      <c r="CQ53" s="106">
        <v>0</v>
      </c>
      <c r="CR53" s="106">
        <v>7.4952799853151335</v>
      </c>
      <c r="CS53" s="106">
        <v>3049.0798980261966</v>
      </c>
      <c r="CT53" s="106">
        <v>5.3473470801700413</v>
      </c>
      <c r="CU53" s="106">
        <v>2175.3007922131728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8.7825965748925192</v>
      </c>
      <c r="O54" s="106">
        <v>2940.4133332740157</v>
      </c>
      <c r="P54" s="106">
        <v>4.6482397983605477</v>
      </c>
      <c r="Q54" s="106">
        <v>1556.2306844911113</v>
      </c>
      <c r="R54" s="106">
        <v>2.754634871481445</v>
      </c>
      <c r="S54" s="106">
        <v>922.25175497198779</v>
      </c>
      <c r="T54" s="106">
        <v>6.0728016899920778</v>
      </c>
      <c r="U54" s="106">
        <v>2033.1740058093478</v>
      </c>
      <c r="V54" s="106">
        <v>0</v>
      </c>
      <c r="W54" s="106">
        <v>0</v>
      </c>
      <c r="X54" s="106">
        <v>8.1673133138453355</v>
      </c>
      <c r="Y54" s="106">
        <v>2734.4164974754185</v>
      </c>
      <c r="Z54" s="106">
        <v>0</v>
      </c>
      <c r="AA54" s="106">
        <v>0</v>
      </c>
      <c r="AB54" s="106">
        <v>3.593627757167031</v>
      </c>
      <c r="AC54" s="106">
        <v>1203.1465730995219</v>
      </c>
      <c r="AD54" s="106">
        <v>1.8092742294457846</v>
      </c>
      <c r="AE54" s="106">
        <v>605.74501201844873</v>
      </c>
      <c r="AF54" s="106">
        <v>3.6577777141115027</v>
      </c>
      <c r="AG54" s="106">
        <v>1224.623978684531</v>
      </c>
      <c r="AH54" s="106">
        <v>1.3279007971656334</v>
      </c>
      <c r="AI54" s="106">
        <v>444.58118689105407</v>
      </c>
      <c r="AJ54" s="106">
        <v>0</v>
      </c>
      <c r="AK54" s="106">
        <v>0</v>
      </c>
      <c r="AL54" s="106">
        <v>7.433230498016747</v>
      </c>
      <c r="AM54" s="106">
        <v>2488.6455707360069</v>
      </c>
      <c r="AN54" s="106">
        <v>0</v>
      </c>
      <c r="AO54" s="106">
        <v>0</v>
      </c>
      <c r="AP54" s="106">
        <v>8.1794374393792424</v>
      </c>
      <c r="AQ54" s="106">
        <v>2738.4756547041707</v>
      </c>
      <c r="AR54" s="106">
        <v>0</v>
      </c>
      <c r="AS54" s="106">
        <v>0</v>
      </c>
      <c r="AT54" s="106">
        <v>12.767600302800908</v>
      </c>
      <c r="AU54" s="106">
        <v>4274.592581377744</v>
      </c>
      <c r="AV54" s="106">
        <v>0</v>
      </c>
      <c r="AW54" s="106">
        <v>0</v>
      </c>
      <c r="AX54" s="106">
        <v>4.8406633720751771</v>
      </c>
      <c r="AY54" s="106">
        <v>1620.6540969707694</v>
      </c>
      <c r="AZ54" s="106">
        <v>19.205436665080594</v>
      </c>
      <c r="BA54" s="106">
        <v>6429.9801954689829</v>
      </c>
      <c r="BB54" s="106">
        <v>4.1767322847891482</v>
      </c>
      <c r="BC54" s="106">
        <v>1398.369968947407</v>
      </c>
      <c r="BD54" s="106">
        <v>4.6641397419796782</v>
      </c>
      <c r="BE54" s="106">
        <v>1561.5539856147964</v>
      </c>
      <c r="BF54" s="106">
        <v>0</v>
      </c>
      <c r="BG54" s="106">
        <v>0</v>
      </c>
      <c r="BH54" s="106">
        <v>1.0264895787615214</v>
      </c>
      <c r="BI54" s="106">
        <v>343.66871096935733</v>
      </c>
      <c r="BJ54" s="106">
        <v>0.71135315602821603</v>
      </c>
      <c r="BK54" s="106">
        <v>238.16103663824674</v>
      </c>
      <c r="BL54" s="106">
        <v>0.74792109379790306</v>
      </c>
      <c r="BM54" s="106">
        <v>250.40398220353796</v>
      </c>
      <c r="BN54" s="106">
        <v>0.62691364082433754</v>
      </c>
      <c r="BO54" s="106">
        <v>209.8906869479882</v>
      </c>
      <c r="BP54" s="106">
        <v>0</v>
      </c>
      <c r="BQ54" s="106">
        <v>0</v>
      </c>
      <c r="BR54" s="106">
        <v>2.6602505595328729</v>
      </c>
      <c r="BS54" s="106">
        <v>890.65188733160585</v>
      </c>
      <c r="BT54" s="106">
        <v>3.0674719585849868</v>
      </c>
      <c r="BU54" s="106">
        <v>1026.9896117342537</v>
      </c>
      <c r="BV54" s="106">
        <v>0</v>
      </c>
      <c r="BW54" s="106">
        <v>0</v>
      </c>
      <c r="BX54" s="106">
        <v>0.90070693635607579</v>
      </c>
      <c r="BY54" s="106">
        <v>301.55668229201416</v>
      </c>
      <c r="BZ54" s="106">
        <v>1.5509793769526343</v>
      </c>
      <c r="CA54" s="106">
        <v>519.26789540374205</v>
      </c>
      <c r="CB54" s="106">
        <v>0.86068431245965138</v>
      </c>
      <c r="CC54" s="106">
        <v>288.1571078114913</v>
      </c>
      <c r="CD54" s="106">
        <v>0</v>
      </c>
      <c r="CE54" s="106">
        <v>0</v>
      </c>
      <c r="CF54" s="106">
        <v>0.61791568084292925</v>
      </c>
      <c r="CG54" s="106">
        <v>206.87816994621272</v>
      </c>
      <c r="CH54" s="106">
        <v>1.5582805042144137</v>
      </c>
      <c r="CI54" s="106">
        <v>521.71231281098574</v>
      </c>
      <c r="CJ54" s="106">
        <v>1.1859774399690162</v>
      </c>
      <c r="CK54" s="106">
        <v>397.06524690162661</v>
      </c>
      <c r="CL54" s="106">
        <v>0</v>
      </c>
      <c r="CM54" s="106">
        <v>0</v>
      </c>
      <c r="CN54" s="106">
        <v>3.9657160587092597</v>
      </c>
      <c r="CO54" s="106">
        <v>1327.7217364558601</v>
      </c>
      <c r="CP54" s="106">
        <v>0</v>
      </c>
      <c r="CQ54" s="106">
        <v>0</v>
      </c>
      <c r="CR54" s="106">
        <v>7.4448140119621593</v>
      </c>
      <c r="CS54" s="106">
        <v>2492.5237312049312</v>
      </c>
      <c r="CT54" s="106">
        <v>4.8571130491612067</v>
      </c>
      <c r="CU54" s="106">
        <v>1626.161448859172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7.4741848440483487</v>
      </c>
      <c r="O55" s="106">
        <v>4959.8690625104846</v>
      </c>
      <c r="P55" s="106">
        <v>4.9019103189672535</v>
      </c>
      <c r="Q55" s="106">
        <v>3252.9076876666695</v>
      </c>
      <c r="R55" s="106">
        <v>2.7540369860362359</v>
      </c>
      <c r="S55" s="106">
        <v>1827.5789439336463</v>
      </c>
      <c r="T55" s="106">
        <v>5.544731977818854</v>
      </c>
      <c r="U55" s="106">
        <v>3679.4841404805916</v>
      </c>
      <c r="V55" s="106">
        <v>0</v>
      </c>
      <c r="W55" s="106">
        <v>0</v>
      </c>
      <c r="X55" s="106">
        <v>6.9720967313313844</v>
      </c>
      <c r="Y55" s="106">
        <v>4626.6833909115066</v>
      </c>
      <c r="Z55" s="106">
        <v>0</v>
      </c>
      <c r="AA55" s="106">
        <v>0</v>
      </c>
      <c r="AB55" s="106">
        <v>3.3044456902863502</v>
      </c>
      <c r="AC55" s="106">
        <v>2192.8301600740219</v>
      </c>
      <c r="AD55" s="106">
        <v>1.6703464816387619</v>
      </c>
      <c r="AE55" s="106">
        <v>1108.4419252154823</v>
      </c>
      <c r="AF55" s="106">
        <v>3.4069633862326838</v>
      </c>
      <c r="AG55" s="106">
        <v>2260.8609031040091</v>
      </c>
      <c r="AH55" s="106">
        <v>1.4108945969884854</v>
      </c>
      <c r="AI55" s="106">
        <v>936.26965456155892</v>
      </c>
      <c r="AJ55" s="106">
        <v>0</v>
      </c>
      <c r="AK55" s="106">
        <v>0</v>
      </c>
      <c r="AL55" s="106">
        <v>6.4421330982811797</v>
      </c>
      <c r="AM55" s="106">
        <v>4274.9995240193912</v>
      </c>
      <c r="AN55" s="106">
        <v>0</v>
      </c>
      <c r="AO55" s="106">
        <v>0</v>
      </c>
      <c r="AP55" s="106">
        <v>8.1794374393792424</v>
      </c>
      <c r="AQ55" s="106">
        <v>5427.8746847720658</v>
      </c>
      <c r="AR55" s="106">
        <v>0</v>
      </c>
      <c r="AS55" s="106">
        <v>0</v>
      </c>
      <c r="AT55" s="106">
        <v>12.483875851627557</v>
      </c>
      <c r="AU55" s="106">
        <v>8284.3000151400465</v>
      </c>
      <c r="AV55" s="106">
        <v>0</v>
      </c>
      <c r="AW55" s="106">
        <v>0</v>
      </c>
      <c r="AX55" s="106">
        <v>5.1340369097767029</v>
      </c>
      <c r="AY55" s="106">
        <v>3406.9468933278204</v>
      </c>
      <c r="AZ55" s="106">
        <v>16.933708638948456</v>
      </c>
      <c r="BA55" s="106">
        <v>11237.209052806196</v>
      </c>
      <c r="BB55" s="106">
        <v>4.0406773365530322</v>
      </c>
      <c r="BC55" s="106">
        <v>2681.3934805365921</v>
      </c>
      <c r="BD55" s="106">
        <v>4.6427446055485788</v>
      </c>
      <c r="BE55" s="106">
        <v>3080.9253202420368</v>
      </c>
      <c r="BF55" s="106">
        <v>0</v>
      </c>
      <c r="BG55" s="106">
        <v>0</v>
      </c>
      <c r="BH55" s="106">
        <v>1.0715606059075307</v>
      </c>
      <c r="BI55" s="106">
        <v>711.08761808023735</v>
      </c>
      <c r="BJ55" s="106">
        <v>0.59758859498996741</v>
      </c>
      <c r="BK55" s="106">
        <v>396.55979163534238</v>
      </c>
      <c r="BL55" s="106">
        <v>0.85639405852992578</v>
      </c>
      <c r="BM55" s="106">
        <v>568.30309724045878</v>
      </c>
      <c r="BN55" s="106">
        <v>0.57239941118743876</v>
      </c>
      <c r="BO55" s="106">
        <v>379.84424926398435</v>
      </c>
      <c r="BP55" s="106">
        <v>0</v>
      </c>
      <c r="BQ55" s="106">
        <v>0</v>
      </c>
      <c r="BR55" s="106">
        <v>2.7831193389625515</v>
      </c>
      <c r="BS55" s="106">
        <v>1846.8779933355493</v>
      </c>
      <c r="BT55" s="106">
        <v>2.8757549611734254</v>
      </c>
      <c r="BU55" s="106">
        <v>1908.3509922346852</v>
      </c>
      <c r="BV55" s="106">
        <v>0</v>
      </c>
      <c r="BW55" s="106">
        <v>0</v>
      </c>
      <c r="BX55" s="106">
        <v>0.97902927864790845</v>
      </c>
      <c r="BY55" s="106">
        <v>649.68382931075212</v>
      </c>
      <c r="BZ55" s="106">
        <v>1.4285336366669001</v>
      </c>
      <c r="CA55" s="106">
        <v>947.97492129215493</v>
      </c>
      <c r="CB55" s="106">
        <v>0.753098773402195</v>
      </c>
      <c r="CC55" s="106">
        <v>499.7563460296966</v>
      </c>
      <c r="CD55" s="106">
        <v>0</v>
      </c>
      <c r="CE55" s="106">
        <v>0</v>
      </c>
      <c r="CF55" s="106">
        <v>0.56451333110825319</v>
      </c>
      <c r="CG55" s="106">
        <v>374.61104652343681</v>
      </c>
      <c r="CH55" s="106">
        <v>1.4625544106819259</v>
      </c>
      <c r="CI55" s="106">
        <v>970.55110692852611</v>
      </c>
      <c r="CJ55" s="106">
        <v>1.064959333849729</v>
      </c>
      <c r="CK55" s="106">
        <v>706.70701394268019</v>
      </c>
      <c r="CL55" s="106">
        <v>0</v>
      </c>
      <c r="CM55" s="106">
        <v>0</v>
      </c>
      <c r="CN55" s="106">
        <v>3.4531405137060216</v>
      </c>
      <c r="CO55" s="106">
        <v>2291.5040448953159</v>
      </c>
      <c r="CP55" s="106">
        <v>0</v>
      </c>
      <c r="CQ55" s="106">
        <v>0</v>
      </c>
      <c r="CR55" s="106">
        <v>7.2927054631638883</v>
      </c>
      <c r="CS55" s="106">
        <v>4839.4393453555567</v>
      </c>
      <c r="CT55" s="106">
        <v>4.3097473127870849</v>
      </c>
      <c r="CU55" s="106">
        <v>2859.9483167655098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18.61537214779085</v>
      </c>
      <c r="O56" s="106">
        <v>21422.570267677711</v>
      </c>
      <c r="P56" s="106">
        <v>21.73500545237998</v>
      </c>
      <c r="Q56" s="106">
        <v>25012.644274598879</v>
      </c>
      <c r="R56" s="106">
        <v>12.166185289496223</v>
      </c>
      <c r="S56" s="106">
        <v>14000.846031152252</v>
      </c>
      <c r="T56" s="106">
        <v>9.3379700172032454</v>
      </c>
      <c r="U56" s="106">
        <v>10746.135895797494</v>
      </c>
      <c r="V56" s="106">
        <v>0</v>
      </c>
      <c r="W56" s="106">
        <v>0</v>
      </c>
      <c r="X56" s="106">
        <v>3.9103485410907495</v>
      </c>
      <c r="Y56" s="106">
        <v>4500.0291010872343</v>
      </c>
      <c r="Z56" s="106">
        <v>3.5188986344973645</v>
      </c>
      <c r="AA56" s="106">
        <v>4049.5485485795671</v>
      </c>
      <c r="AB56" s="106">
        <v>1.3562002356864056</v>
      </c>
      <c r="AC56" s="106">
        <v>1560.7152312279154</v>
      </c>
      <c r="AD56" s="106">
        <v>2.3065743944636679</v>
      </c>
      <c r="AE56" s="106">
        <v>2654.4058131487886</v>
      </c>
      <c r="AF56" s="106">
        <v>0</v>
      </c>
      <c r="AG56" s="106">
        <v>0</v>
      </c>
      <c r="AH56" s="106">
        <v>4.4006437461363141</v>
      </c>
      <c r="AI56" s="106">
        <v>5064.2608230536698</v>
      </c>
      <c r="AJ56" s="106">
        <v>3.6660529344073658</v>
      </c>
      <c r="AK56" s="106">
        <v>4218.8937169159963</v>
      </c>
      <c r="AL56" s="106">
        <v>0</v>
      </c>
      <c r="AM56" s="106">
        <v>0</v>
      </c>
      <c r="AN56" s="106">
        <v>5.0023484099530808</v>
      </c>
      <c r="AO56" s="106">
        <v>5756.7025501740054</v>
      </c>
      <c r="AP56" s="106">
        <v>4.9921359560073384</v>
      </c>
      <c r="AQ56" s="106">
        <v>5744.9500581732445</v>
      </c>
      <c r="AR56" s="106">
        <v>1.9891283370858797</v>
      </c>
      <c r="AS56" s="106">
        <v>2289.08889031843</v>
      </c>
      <c r="AT56" s="106">
        <v>0</v>
      </c>
      <c r="AU56" s="106">
        <v>0</v>
      </c>
      <c r="AV56" s="106">
        <v>5.0743294127347633</v>
      </c>
      <c r="AW56" s="106">
        <v>5839.5382881751657</v>
      </c>
      <c r="AX56" s="106">
        <v>2.1949109917243192</v>
      </c>
      <c r="AY56" s="106">
        <v>2525.9035692763464</v>
      </c>
      <c r="AZ56" s="106">
        <v>12.061382978723405</v>
      </c>
      <c r="BA56" s="106">
        <v>13880.239531914893</v>
      </c>
      <c r="BB56" s="106">
        <v>42.186944640885471</v>
      </c>
      <c r="BC56" s="106">
        <v>48548.735892730998</v>
      </c>
      <c r="BD56" s="106">
        <v>30.160837339058268</v>
      </c>
      <c r="BE56" s="106">
        <v>34709.091609788251</v>
      </c>
      <c r="BF56" s="106">
        <v>30.474066603932179</v>
      </c>
      <c r="BG56" s="106">
        <v>35069.555847805153</v>
      </c>
      <c r="BH56" s="106">
        <v>2.9352266670178828</v>
      </c>
      <c r="BI56" s="106">
        <v>3377.8588484041793</v>
      </c>
      <c r="BJ56" s="106">
        <v>1.7953060875512996</v>
      </c>
      <c r="BK56" s="106">
        <v>2066.0382455540357</v>
      </c>
      <c r="BL56" s="106">
        <v>0</v>
      </c>
      <c r="BM56" s="106">
        <v>0</v>
      </c>
      <c r="BN56" s="106">
        <v>1.7288258319378296</v>
      </c>
      <c r="BO56" s="106">
        <v>1989.5327673940542</v>
      </c>
      <c r="BP56" s="106">
        <v>2.1766313232667089</v>
      </c>
      <c r="BQ56" s="106">
        <v>2504.8673268153284</v>
      </c>
      <c r="BR56" s="106">
        <v>4.2757410482778893</v>
      </c>
      <c r="BS56" s="106">
        <v>4920.5227983581944</v>
      </c>
      <c r="BT56" s="106">
        <v>1.0399375975039002</v>
      </c>
      <c r="BU56" s="106">
        <v>1196.7601872074883</v>
      </c>
      <c r="BV56" s="106">
        <v>0</v>
      </c>
      <c r="BW56" s="106">
        <v>0</v>
      </c>
      <c r="BX56" s="106">
        <v>3.1628884619028423</v>
      </c>
      <c r="BY56" s="106">
        <v>3639.8520419577908</v>
      </c>
      <c r="BZ56" s="106">
        <v>4.8424657534246576</v>
      </c>
      <c r="CA56" s="106">
        <v>5572.7095890410956</v>
      </c>
      <c r="CB56" s="106">
        <v>0</v>
      </c>
      <c r="CC56" s="106">
        <v>0</v>
      </c>
      <c r="CD56" s="106">
        <v>7.3134352347393268</v>
      </c>
      <c r="CE56" s="106">
        <v>8416.3012681380169</v>
      </c>
      <c r="CF56" s="106">
        <v>4.3592736690502045</v>
      </c>
      <c r="CG56" s="106">
        <v>5016.6521383429754</v>
      </c>
      <c r="CH56" s="106">
        <v>2.8388554725736106</v>
      </c>
      <c r="CI56" s="106">
        <v>3266.9548778377111</v>
      </c>
      <c r="CJ56" s="106">
        <v>4.4987565448209557</v>
      </c>
      <c r="CK56" s="106">
        <v>5177.1690317799557</v>
      </c>
      <c r="CL56" s="106">
        <v>4.0712540716612375</v>
      </c>
      <c r="CM56" s="106">
        <v>4685.1991856677523</v>
      </c>
      <c r="CN56" s="106">
        <v>0</v>
      </c>
      <c r="CO56" s="106">
        <v>0</v>
      </c>
      <c r="CP56" s="106">
        <v>4.8503092463463044</v>
      </c>
      <c r="CQ56" s="106">
        <v>5581.7358806953271</v>
      </c>
      <c r="CR56" s="106">
        <v>4.4322707139607562</v>
      </c>
      <c r="CS56" s="106">
        <v>5100.6571376260381</v>
      </c>
      <c r="CT56" s="106">
        <v>3.7076134065299047</v>
      </c>
      <c r="CU56" s="106">
        <v>4266.7215082346138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6.9159741686067981</v>
      </c>
      <c r="O57" s="106">
        <v>9759.8227467379147</v>
      </c>
      <c r="P57" s="106">
        <v>3.9276090982405298</v>
      </c>
      <c r="Q57" s="106">
        <v>5542.6419594370354</v>
      </c>
      <c r="R57" s="106">
        <v>2.1193073359041406</v>
      </c>
      <c r="S57" s="106">
        <v>2990.7665124279233</v>
      </c>
      <c r="T57" s="106">
        <v>5.0166622656456292</v>
      </c>
      <c r="U57" s="106">
        <v>7079.5137892791126</v>
      </c>
      <c r="V57" s="106">
        <v>0</v>
      </c>
      <c r="W57" s="106">
        <v>0</v>
      </c>
      <c r="X57" s="106">
        <v>5.7768801488174333</v>
      </c>
      <c r="Y57" s="106">
        <v>8152.3332660111619</v>
      </c>
      <c r="Z57" s="106">
        <v>0</v>
      </c>
      <c r="AA57" s="106">
        <v>0</v>
      </c>
      <c r="AB57" s="106">
        <v>2.8323820202454431</v>
      </c>
      <c r="AC57" s="106">
        <v>3997.0575069703696</v>
      </c>
      <c r="AD57" s="106">
        <v>1.7923725127346217</v>
      </c>
      <c r="AE57" s="106">
        <v>2529.3960899710983</v>
      </c>
      <c r="AF57" s="106">
        <v>2.784121558509363</v>
      </c>
      <c r="AG57" s="106">
        <v>3928.952343368413</v>
      </c>
      <c r="AH57" s="106">
        <v>1.1619131975199293</v>
      </c>
      <c r="AI57" s="106">
        <v>1639.6919043401242</v>
      </c>
      <c r="AJ57" s="106">
        <v>0</v>
      </c>
      <c r="AK57" s="106">
        <v>0</v>
      </c>
      <c r="AL57" s="106">
        <v>5.946584398413397</v>
      </c>
      <c r="AM57" s="106">
        <v>8391.8199030409869</v>
      </c>
      <c r="AN57" s="106">
        <v>0</v>
      </c>
      <c r="AO57" s="106">
        <v>0</v>
      </c>
      <c r="AP57" s="106">
        <v>7.3614936954413182</v>
      </c>
      <c r="AQ57" s="106">
        <v>10388.539903006789</v>
      </c>
      <c r="AR57" s="106">
        <v>0</v>
      </c>
      <c r="AS57" s="106">
        <v>0</v>
      </c>
      <c r="AT57" s="106">
        <v>11.348978046934141</v>
      </c>
      <c r="AU57" s="106">
        <v>16015.67781983346</v>
      </c>
      <c r="AV57" s="106">
        <v>0</v>
      </c>
      <c r="AW57" s="106">
        <v>0</v>
      </c>
      <c r="AX57" s="106">
        <v>4.6939766032244146</v>
      </c>
      <c r="AY57" s="106">
        <v>6624.1397824702944</v>
      </c>
      <c r="AZ57" s="106">
        <v>12.6250598156208</v>
      </c>
      <c r="BA57" s="106">
        <v>17816.484411804075</v>
      </c>
      <c r="BB57" s="106">
        <v>3.1833916183444524</v>
      </c>
      <c r="BC57" s="106">
        <v>4492.4022518076918</v>
      </c>
      <c r="BD57" s="106">
        <v>3.6371731932869049</v>
      </c>
      <c r="BE57" s="106">
        <v>5132.7788103664807</v>
      </c>
      <c r="BF57" s="106">
        <v>0</v>
      </c>
      <c r="BG57" s="106">
        <v>0</v>
      </c>
      <c r="BH57" s="106">
        <v>0.97074641836433206</v>
      </c>
      <c r="BI57" s="106">
        <v>1369.9173455957455</v>
      </c>
      <c r="BJ57" s="106">
        <v>0.61778953504677014</v>
      </c>
      <c r="BK57" s="106">
        <v>871.82459185800201</v>
      </c>
      <c r="BL57" s="106">
        <v>0.68605435527412706</v>
      </c>
      <c r="BM57" s="106">
        <v>968.15990616284819</v>
      </c>
      <c r="BN57" s="106">
        <v>0.49062806673209025</v>
      </c>
      <c r="BO57" s="106">
        <v>692.37432777232573</v>
      </c>
      <c r="BP57" s="106">
        <v>0</v>
      </c>
      <c r="BQ57" s="106">
        <v>0</v>
      </c>
      <c r="BR57" s="106">
        <v>2.810543193174821</v>
      </c>
      <c r="BS57" s="106">
        <v>3966.2385542083075</v>
      </c>
      <c r="BT57" s="106">
        <v>3.0674719585849868</v>
      </c>
      <c r="BU57" s="106">
        <v>4328.8164279551338</v>
      </c>
      <c r="BV57" s="106">
        <v>0</v>
      </c>
      <c r="BW57" s="106">
        <v>0</v>
      </c>
      <c r="BX57" s="106">
        <v>0.78322342291832669</v>
      </c>
      <c r="BY57" s="106">
        <v>1105.2848944223426</v>
      </c>
      <c r="BZ57" s="106">
        <v>1.4285336366669001</v>
      </c>
      <c r="CA57" s="106">
        <v>2015.9466680643295</v>
      </c>
      <c r="CB57" s="106">
        <v>0.68854744996772121</v>
      </c>
      <c r="CC57" s="106">
        <v>971.67816139444824</v>
      </c>
      <c r="CD57" s="106">
        <v>0</v>
      </c>
      <c r="CE57" s="106">
        <v>0</v>
      </c>
      <c r="CF57" s="106">
        <v>0.48023260896598441</v>
      </c>
      <c r="CG57" s="106">
        <v>677.70425777279718</v>
      </c>
      <c r="CH57" s="106">
        <v>1.1347210966025743</v>
      </c>
      <c r="CI57" s="106">
        <v>1601.3184115255528</v>
      </c>
      <c r="CJ57" s="106">
        <v>0.89553398528272654</v>
      </c>
      <c r="CK57" s="106">
        <v>1263.7775600309838</v>
      </c>
      <c r="CL57" s="106">
        <v>0</v>
      </c>
      <c r="CM57" s="106">
        <v>0</v>
      </c>
      <c r="CN57" s="106">
        <v>2.9675426289661129</v>
      </c>
      <c r="CO57" s="106">
        <v>4187.7961579969788</v>
      </c>
      <c r="CP57" s="106">
        <v>0</v>
      </c>
      <c r="CQ57" s="106">
        <v>0</v>
      </c>
      <c r="CR57" s="106">
        <v>6.0950240487400258</v>
      </c>
      <c r="CS57" s="106">
        <v>8601.297937581925</v>
      </c>
      <c r="CT57" s="106">
        <v>3.6495270666987882</v>
      </c>
      <c r="CU57" s="106">
        <v>5150.2125965253299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17.08724458341996</v>
      </c>
      <c r="O58" s="106">
        <v>20115.104323601976</v>
      </c>
      <c r="P58" s="106">
        <v>21.439911050712418</v>
      </c>
      <c r="Q58" s="106">
        <v>25239.063288898658</v>
      </c>
      <c r="R58" s="106">
        <v>13.435800612546105</v>
      </c>
      <c r="S58" s="106">
        <v>15816.624481089275</v>
      </c>
      <c r="T58" s="106">
        <v>10.198046202998279</v>
      </c>
      <c r="U58" s="106">
        <v>12005.139990169575</v>
      </c>
      <c r="V58" s="106">
        <v>0</v>
      </c>
      <c r="W58" s="106">
        <v>0</v>
      </c>
      <c r="X58" s="106">
        <v>3.7930373157332005</v>
      </c>
      <c r="Y58" s="106">
        <v>4465.1635280811233</v>
      </c>
      <c r="Z58" s="106">
        <v>3.6626977739960922</v>
      </c>
      <c r="AA58" s="106">
        <v>4311.7278195481995</v>
      </c>
      <c r="AB58" s="106">
        <v>1.4223381907466754</v>
      </c>
      <c r="AC58" s="106">
        <v>1674.3765181469864</v>
      </c>
      <c r="AD58" s="106">
        <v>2.3952887942507322</v>
      </c>
      <c r="AE58" s="106">
        <v>2819.7339685919619</v>
      </c>
      <c r="AF58" s="106">
        <v>0</v>
      </c>
      <c r="AG58" s="106">
        <v>0</v>
      </c>
      <c r="AH58" s="106">
        <v>4.4367768420980349</v>
      </c>
      <c r="AI58" s="106">
        <v>5222.973698517807</v>
      </c>
      <c r="AJ58" s="106">
        <v>3.6660529344073658</v>
      </c>
      <c r="AK58" s="106">
        <v>4315.6775143843515</v>
      </c>
      <c r="AL58" s="106">
        <v>0</v>
      </c>
      <c r="AM58" s="106">
        <v>0</v>
      </c>
      <c r="AN58" s="106">
        <v>5.0080537444017343</v>
      </c>
      <c r="AO58" s="106">
        <v>5895.4808679097223</v>
      </c>
      <c r="AP58" s="106">
        <v>4.7700466475882344</v>
      </c>
      <c r="AQ58" s="106">
        <v>5615.2989135408698</v>
      </c>
      <c r="AR58" s="106">
        <v>2.260373110324863</v>
      </c>
      <c r="AS58" s="106">
        <v>2660.9112254744286</v>
      </c>
      <c r="AT58" s="106">
        <v>0</v>
      </c>
      <c r="AU58" s="106">
        <v>0</v>
      </c>
      <c r="AV58" s="106">
        <v>4.1109736753343746</v>
      </c>
      <c r="AW58" s="106">
        <v>4839.4382106036264</v>
      </c>
      <c r="AX58" s="106">
        <v>2.0686067720633132</v>
      </c>
      <c r="AY58" s="106">
        <v>2435.1638920729324</v>
      </c>
      <c r="AZ58" s="106">
        <v>11.263936170212766</v>
      </c>
      <c r="BA58" s="106">
        <v>13259.905659574468</v>
      </c>
      <c r="BB58" s="106">
        <v>43.110746348350112</v>
      </c>
      <c r="BC58" s="106">
        <v>50749.970601277753</v>
      </c>
      <c r="BD58" s="106">
        <v>32.381267081811025</v>
      </c>
      <c r="BE58" s="106">
        <v>38119.227608707937</v>
      </c>
      <c r="BF58" s="106">
        <v>29.739866083264292</v>
      </c>
      <c r="BG58" s="106">
        <v>35009.77035321873</v>
      </c>
      <c r="BH58" s="106">
        <v>3.0519066028732595</v>
      </c>
      <c r="BI58" s="106">
        <v>3592.7044529024015</v>
      </c>
      <c r="BJ58" s="106">
        <v>1.7953060875512996</v>
      </c>
      <c r="BK58" s="106">
        <v>2113.4343262653902</v>
      </c>
      <c r="BL58" s="106">
        <v>0</v>
      </c>
      <c r="BM58" s="106">
        <v>0</v>
      </c>
      <c r="BN58" s="106">
        <v>1.7411902287050802</v>
      </c>
      <c r="BO58" s="106">
        <v>2049.7291372316204</v>
      </c>
      <c r="BP58" s="106">
        <v>2.1454624387517627</v>
      </c>
      <c r="BQ58" s="106">
        <v>2525.6383828985749</v>
      </c>
      <c r="BR58" s="106">
        <v>4.6904875195777205</v>
      </c>
      <c r="BS58" s="106">
        <v>5521.6419080468931</v>
      </c>
      <c r="BT58" s="106">
        <v>0.90994539781591266</v>
      </c>
      <c r="BU58" s="106">
        <v>1071.1877223088925</v>
      </c>
      <c r="BV58" s="106">
        <v>0</v>
      </c>
      <c r="BW58" s="106">
        <v>0</v>
      </c>
      <c r="BX58" s="106">
        <v>3.1628884619028423</v>
      </c>
      <c r="BY58" s="106">
        <v>3723.3522973520262</v>
      </c>
      <c r="BZ58" s="106">
        <v>4.565753424657534</v>
      </c>
      <c r="CA58" s="106">
        <v>5374.8049315068492</v>
      </c>
      <c r="CB58" s="106">
        <v>0</v>
      </c>
      <c r="CC58" s="106">
        <v>0</v>
      </c>
      <c r="CD58" s="106">
        <v>7.5350544842768814</v>
      </c>
      <c r="CE58" s="106">
        <v>8870.2661388907454</v>
      </c>
      <c r="CF58" s="106">
        <v>4.5904446054443131</v>
      </c>
      <c r="CG58" s="106">
        <v>5403.8713895290457</v>
      </c>
      <c r="CH58" s="106">
        <v>2.7940474703473384</v>
      </c>
      <c r="CI58" s="106">
        <v>3289.1526820928871</v>
      </c>
      <c r="CJ58" s="106">
        <v>4.508703815071601</v>
      </c>
      <c r="CK58" s="106">
        <v>5307.6461311022886</v>
      </c>
      <c r="CL58" s="106">
        <v>4.4783794788273621</v>
      </c>
      <c r="CM58" s="106">
        <v>5271.9483224755704</v>
      </c>
      <c r="CN58" s="106">
        <v>0</v>
      </c>
      <c r="CO58" s="106">
        <v>0</v>
      </c>
      <c r="CP58" s="106">
        <v>5.1796554123457614</v>
      </c>
      <c r="CQ58" s="106">
        <v>6097.4903514134303</v>
      </c>
      <c r="CR58" s="106">
        <v>4.6765897785450514</v>
      </c>
      <c r="CS58" s="106">
        <v>5505.2814873032348</v>
      </c>
      <c r="CT58" s="106">
        <v>3.7557642299913319</v>
      </c>
      <c r="CU58" s="106">
        <v>4421.2856515457961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8.6750585565537879</v>
      </c>
      <c r="O59" s="106">
        <v>2633.7477777697295</v>
      </c>
      <c r="P59" s="106">
        <v>4.5936703028380883</v>
      </c>
      <c r="Q59" s="106">
        <v>1394.6383039416435</v>
      </c>
      <c r="R59" s="106">
        <v>2.7594179550431126</v>
      </c>
      <c r="S59" s="106">
        <v>837.75929115108886</v>
      </c>
      <c r="T59" s="106">
        <v>6.0067929759704244</v>
      </c>
      <c r="U59" s="106">
        <v>1823.6623475046206</v>
      </c>
      <c r="V59" s="106">
        <v>0</v>
      </c>
      <c r="W59" s="106">
        <v>0</v>
      </c>
      <c r="X59" s="106">
        <v>7.868509168216848</v>
      </c>
      <c r="Y59" s="106">
        <v>2388.8793834706348</v>
      </c>
      <c r="Z59" s="106">
        <v>0</v>
      </c>
      <c r="AA59" s="106">
        <v>0</v>
      </c>
      <c r="AB59" s="106">
        <v>3.7382187906073709</v>
      </c>
      <c r="AC59" s="106">
        <v>1134.9232248283977</v>
      </c>
      <c r="AD59" s="106">
        <v>1.8025135427613193</v>
      </c>
      <c r="AE59" s="106">
        <v>547.2431115823365</v>
      </c>
      <c r="AF59" s="106">
        <v>3.532370550172093</v>
      </c>
      <c r="AG59" s="106">
        <v>1072.4276990322473</v>
      </c>
      <c r="AH59" s="106">
        <v>1.4938883968113377</v>
      </c>
      <c r="AI59" s="106">
        <v>453.54451727192207</v>
      </c>
      <c r="AJ59" s="106">
        <v>0</v>
      </c>
      <c r="AK59" s="106">
        <v>0</v>
      </c>
      <c r="AL59" s="106">
        <v>7.6810048479506383</v>
      </c>
      <c r="AM59" s="106">
        <v>2331.9530718378137</v>
      </c>
      <c r="AN59" s="106">
        <v>0</v>
      </c>
      <c r="AO59" s="106">
        <v>0</v>
      </c>
      <c r="AP59" s="106">
        <v>8.1794374393792424</v>
      </c>
      <c r="AQ59" s="106">
        <v>2483.2772065955378</v>
      </c>
      <c r="AR59" s="106">
        <v>0</v>
      </c>
      <c r="AS59" s="106">
        <v>0</v>
      </c>
      <c r="AT59" s="106">
        <v>12.767600302800908</v>
      </c>
      <c r="AU59" s="106">
        <v>3876.2434519303551</v>
      </c>
      <c r="AV59" s="106">
        <v>0</v>
      </c>
      <c r="AW59" s="106">
        <v>0</v>
      </c>
      <c r="AX59" s="106">
        <v>4.8406633720751771</v>
      </c>
      <c r="AY59" s="106">
        <v>1469.6253997620236</v>
      </c>
      <c r="AZ59" s="106">
        <v>19.800666607668997</v>
      </c>
      <c r="BA59" s="106">
        <v>6011.4823820883066</v>
      </c>
      <c r="BB59" s="106">
        <v>4.5125928353165872</v>
      </c>
      <c r="BC59" s="106">
        <v>1370.0231848021158</v>
      </c>
      <c r="BD59" s="106">
        <v>5.3059938349126607</v>
      </c>
      <c r="BE59" s="106">
        <v>1610.8997282794837</v>
      </c>
      <c r="BF59" s="106">
        <v>0</v>
      </c>
      <c r="BG59" s="106">
        <v>0</v>
      </c>
      <c r="BH59" s="106">
        <v>1.0725307998394562</v>
      </c>
      <c r="BI59" s="106">
        <v>325.62035083125886</v>
      </c>
      <c r="BJ59" s="106">
        <v>0.62558026978392456</v>
      </c>
      <c r="BK59" s="106">
        <v>189.92616990639948</v>
      </c>
      <c r="BL59" s="106">
        <v>0.75026886492336908</v>
      </c>
      <c r="BM59" s="106">
        <v>227.78162739073483</v>
      </c>
      <c r="BN59" s="106">
        <v>0.65417075564278704</v>
      </c>
      <c r="BO59" s="106">
        <v>198.60624141315012</v>
      </c>
      <c r="BP59" s="106">
        <v>0</v>
      </c>
      <c r="BQ59" s="106">
        <v>0</v>
      </c>
      <c r="BR59" s="106">
        <v>2.9361389704678542</v>
      </c>
      <c r="BS59" s="106">
        <v>891.41179143404042</v>
      </c>
      <c r="BT59" s="106">
        <v>3.4509059534081103</v>
      </c>
      <c r="BU59" s="106">
        <v>1047.6950474547023</v>
      </c>
      <c r="BV59" s="106">
        <v>0</v>
      </c>
      <c r="BW59" s="106">
        <v>0</v>
      </c>
      <c r="BX59" s="106">
        <v>0.93986810750199223</v>
      </c>
      <c r="BY59" s="106">
        <v>285.34395743760479</v>
      </c>
      <c r="BZ59" s="106">
        <v>1.7142403640002801</v>
      </c>
      <c r="CA59" s="106">
        <v>520.443374510485</v>
      </c>
      <c r="CB59" s="106">
        <v>0.83916720464816008</v>
      </c>
      <c r="CC59" s="106">
        <v>254.77116333118138</v>
      </c>
      <c r="CD59" s="106">
        <v>0</v>
      </c>
      <c r="CE59" s="106">
        <v>0</v>
      </c>
      <c r="CF59" s="106">
        <v>0.51804503226019849</v>
      </c>
      <c r="CG59" s="106">
        <v>157.27847179419624</v>
      </c>
      <c r="CH59" s="106">
        <v>1.5531924948372222</v>
      </c>
      <c r="CI59" s="106">
        <v>471.54924143258063</v>
      </c>
      <c r="CJ59" s="106">
        <v>1.1617738187451587</v>
      </c>
      <c r="CK59" s="106">
        <v>352.71453137103015</v>
      </c>
      <c r="CL59" s="106">
        <v>0</v>
      </c>
      <c r="CM59" s="106">
        <v>0</v>
      </c>
      <c r="CN59" s="106">
        <v>4.1275820202892293</v>
      </c>
      <c r="CO59" s="106">
        <v>1253.1339013598099</v>
      </c>
      <c r="CP59" s="106">
        <v>0</v>
      </c>
      <c r="CQ59" s="106">
        <v>0</v>
      </c>
      <c r="CR59" s="106">
        <v>7.4945693565757896</v>
      </c>
      <c r="CS59" s="106">
        <v>2275.3512566564095</v>
      </c>
      <c r="CT59" s="106">
        <v>5.1872231722053543</v>
      </c>
      <c r="CU59" s="106">
        <v>1574.8409550815454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7.6879783442415643</v>
      </c>
      <c r="O60" s="106">
        <v>5009.4866891078036</v>
      </c>
      <c r="P60" s="106">
        <v>4.5882651090009983</v>
      </c>
      <c r="Q60" s="106">
        <v>2989.7135450250507</v>
      </c>
      <c r="R60" s="106">
        <v>2.479523294019311</v>
      </c>
      <c r="S60" s="106">
        <v>1615.6573783829831</v>
      </c>
      <c r="T60" s="106">
        <v>5.544731977818854</v>
      </c>
      <c r="U60" s="106">
        <v>3612.9473567467653</v>
      </c>
      <c r="V60" s="106">
        <v>0</v>
      </c>
      <c r="W60" s="106">
        <v>0</v>
      </c>
      <c r="X60" s="106">
        <v>7.7689077863406855</v>
      </c>
      <c r="Y60" s="106">
        <v>5062.2203135795908</v>
      </c>
      <c r="Z60" s="106">
        <v>0</v>
      </c>
      <c r="AA60" s="106">
        <v>0</v>
      </c>
      <c r="AB60" s="106">
        <v>3.6032003995970023</v>
      </c>
      <c r="AC60" s="106">
        <v>2347.8453803774069</v>
      </c>
      <c r="AD60" s="106">
        <v>1.9956936194318069</v>
      </c>
      <c r="AE60" s="106">
        <v>1300.3939624217653</v>
      </c>
      <c r="AF60" s="106">
        <v>3.0433238703356342</v>
      </c>
      <c r="AG60" s="106">
        <v>1983.0298339106994</v>
      </c>
      <c r="AH60" s="106">
        <v>1.4108945969884854</v>
      </c>
      <c r="AI60" s="106">
        <v>919.33891939769717</v>
      </c>
      <c r="AJ60" s="106">
        <v>0</v>
      </c>
      <c r="AK60" s="106">
        <v>0</v>
      </c>
      <c r="AL60" s="106">
        <v>7.1854561480828547</v>
      </c>
      <c r="AM60" s="106">
        <v>4682.0432260907883</v>
      </c>
      <c r="AN60" s="106">
        <v>0</v>
      </c>
      <c r="AO60" s="106">
        <v>0</v>
      </c>
      <c r="AP60" s="106">
        <v>7.0888457807953431</v>
      </c>
      <c r="AQ60" s="106">
        <v>4619.0919107662457</v>
      </c>
      <c r="AR60" s="106">
        <v>0</v>
      </c>
      <c r="AS60" s="106">
        <v>0</v>
      </c>
      <c r="AT60" s="106">
        <v>13.051324753974262</v>
      </c>
      <c r="AU60" s="106">
        <v>8504.24320968963</v>
      </c>
      <c r="AV60" s="106">
        <v>0</v>
      </c>
      <c r="AW60" s="106">
        <v>0</v>
      </c>
      <c r="AX60" s="106">
        <v>5.2807236786274663</v>
      </c>
      <c r="AY60" s="106">
        <v>3440.9195489936574</v>
      </c>
      <c r="AZ60" s="106">
        <v>16.700954377573542</v>
      </c>
      <c r="BA60" s="106">
        <v>10882.34187242692</v>
      </c>
      <c r="BB60" s="106">
        <v>3.7261858046012981</v>
      </c>
      <c r="BC60" s="106">
        <v>2427.9826702782061</v>
      </c>
      <c r="BD60" s="106">
        <v>4.7497202877040756</v>
      </c>
      <c r="BE60" s="106">
        <v>3094.9177394679759</v>
      </c>
      <c r="BF60" s="106">
        <v>0</v>
      </c>
      <c r="BG60" s="106">
        <v>0</v>
      </c>
      <c r="BH60" s="106">
        <v>1.1108104694619874</v>
      </c>
      <c r="BI60" s="106">
        <v>723.80410190143095</v>
      </c>
      <c r="BJ60" s="106">
        <v>0.64817835899062082</v>
      </c>
      <c r="BK60" s="106">
        <v>422.35301871828852</v>
      </c>
      <c r="BL60" s="106">
        <v>0.7957012055688828</v>
      </c>
      <c r="BM60" s="106">
        <v>518.478905548684</v>
      </c>
      <c r="BN60" s="106">
        <v>0.59965652600588815</v>
      </c>
      <c r="BO60" s="106">
        <v>390.73619234543673</v>
      </c>
      <c r="BP60" s="106">
        <v>0</v>
      </c>
      <c r="BQ60" s="106">
        <v>0</v>
      </c>
      <c r="BR60" s="106">
        <v>2.6547965638061637</v>
      </c>
      <c r="BS60" s="106">
        <v>1729.8654409760964</v>
      </c>
      <c r="BT60" s="106">
        <v>3.259188955996549</v>
      </c>
      <c r="BU60" s="106">
        <v>2123.6875237273516</v>
      </c>
      <c r="BV60" s="106">
        <v>0</v>
      </c>
      <c r="BW60" s="106">
        <v>0</v>
      </c>
      <c r="BX60" s="106">
        <v>0.97902927864790845</v>
      </c>
      <c r="BY60" s="106">
        <v>637.93547796697715</v>
      </c>
      <c r="BZ60" s="106">
        <v>1.5917946237145455</v>
      </c>
      <c r="CA60" s="106">
        <v>1037.2133768123979</v>
      </c>
      <c r="CB60" s="106">
        <v>0.753098773402195</v>
      </c>
      <c r="CC60" s="106">
        <v>490.71916074887025</v>
      </c>
      <c r="CD60" s="106">
        <v>0</v>
      </c>
      <c r="CE60" s="106">
        <v>0</v>
      </c>
      <c r="CF60" s="106">
        <v>0.54651156088114017</v>
      </c>
      <c r="CG60" s="106">
        <v>356.10693307015094</v>
      </c>
      <c r="CH60" s="106">
        <v>1.4142673631342497</v>
      </c>
      <c r="CI60" s="106">
        <v>921.53661381827715</v>
      </c>
      <c r="CJ60" s="106">
        <v>1.0891629550735864</v>
      </c>
      <c r="CK60" s="106">
        <v>709.69858152594895</v>
      </c>
      <c r="CL60" s="106">
        <v>0</v>
      </c>
      <c r="CM60" s="106">
        <v>0</v>
      </c>
      <c r="CN60" s="106">
        <v>3.9387383984459308</v>
      </c>
      <c r="CO60" s="106">
        <v>2566.4819404273685</v>
      </c>
      <c r="CP60" s="106">
        <v>0</v>
      </c>
      <c r="CQ60" s="106">
        <v>0</v>
      </c>
      <c r="CR60" s="106">
        <v>7.3424608077775195</v>
      </c>
      <c r="CS60" s="106">
        <v>4784.3474623478323</v>
      </c>
      <c r="CT60" s="106">
        <v>4.6899446361145376</v>
      </c>
      <c r="CU60" s="106">
        <v>3055.967924892233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7.1944382380854508</v>
      </c>
      <c r="O61" s="106">
        <v>6846.2274273621142</v>
      </c>
      <c r="P61" s="106">
        <v>4.2998776991070642</v>
      </c>
      <c r="Q61" s="106">
        <v>4091.7636184702819</v>
      </c>
      <c r="R61" s="106">
        <v>2.1498677094209175</v>
      </c>
      <c r="S61" s="106">
        <v>2045.8141122849449</v>
      </c>
      <c r="T61" s="106">
        <v>5.0166622656456292</v>
      </c>
      <c r="U61" s="106">
        <v>4773.8558119883801</v>
      </c>
      <c r="V61" s="106">
        <v>0</v>
      </c>
      <c r="W61" s="106">
        <v>0</v>
      </c>
      <c r="X61" s="106">
        <v>7.0716981132075469</v>
      </c>
      <c r="Y61" s="106">
        <v>6729.4279245283014</v>
      </c>
      <c r="Z61" s="106">
        <v>0</v>
      </c>
      <c r="AA61" s="106">
        <v>0</v>
      </c>
      <c r="AB61" s="106">
        <v>3.429891438866747</v>
      </c>
      <c r="AC61" s="106">
        <v>3263.884693225596</v>
      </c>
      <c r="AD61" s="106">
        <v>2.0092149928007372</v>
      </c>
      <c r="AE61" s="106">
        <v>1911.9689871491814</v>
      </c>
      <c r="AF61" s="106">
        <v>2.8969467465275942</v>
      </c>
      <c r="AG61" s="106">
        <v>2756.7345239956585</v>
      </c>
      <c r="AH61" s="106">
        <v>1.3279007971656334</v>
      </c>
      <c r="AI61" s="106">
        <v>1263.6303985828165</v>
      </c>
      <c r="AJ61" s="106">
        <v>0</v>
      </c>
      <c r="AK61" s="106">
        <v>0</v>
      </c>
      <c r="AL61" s="106">
        <v>6.9376817981489642</v>
      </c>
      <c r="AM61" s="106">
        <v>6601.8979991185533</v>
      </c>
      <c r="AN61" s="106">
        <v>0</v>
      </c>
      <c r="AO61" s="106">
        <v>0</v>
      </c>
      <c r="AP61" s="106">
        <v>7.3614936954413182</v>
      </c>
      <c r="AQ61" s="106">
        <v>7005.1974005819575</v>
      </c>
      <c r="AR61" s="106">
        <v>0</v>
      </c>
      <c r="AS61" s="106">
        <v>0</v>
      </c>
      <c r="AT61" s="106">
        <v>11.065253595760787</v>
      </c>
      <c r="AU61" s="106">
        <v>10529.695321725963</v>
      </c>
      <c r="AV61" s="106">
        <v>0</v>
      </c>
      <c r="AW61" s="106">
        <v>0</v>
      </c>
      <c r="AX61" s="106">
        <v>4.9873501409259404</v>
      </c>
      <c r="AY61" s="106">
        <v>4745.9623941051241</v>
      </c>
      <c r="AZ61" s="106">
        <v>13.702222021452712</v>
      </c>
      <c r="BA61" s="106">
        <v>13039.0344756144</v>
      </c>
      <c r="BB61" s="106">
        <v>3.365392218779113</v>
      </c>
      <c r="BC61" s="106">
        <v>3202.5072353902037</v>
      </c>
      <c r="BD61" s="106">
        <v>3.9153099668911979</v>
      </c>
      <c r="BE61" s="106">
        <v>3725.8089644936636</v>
      </c>
      <c r="BF61" s="106">
        <v>0</v>
      </c>
      <c r="BG61" s="106">
        <v>0</v>
      </c>
      <c r="BH61" s="106">
        <v>0.93731771840142819</v>
      </c>
      <c r="BI61" s="106">
        <v>891.95154083079899</v>
      </c>
      <c r="BJ61" s="106">
        <v>0.59459215855260028</v>
      </c>
      <c r="BK61" s="106">
        <v>565.81389807865435</v>
      </c>
      <c r="BL61" s="106">
        <v>0.82193903257983869</v>
      </c>
      <c r="BM61" s="106">
        <v>782.1571834029744</v>
      </c>
      <c r="BN61" s="106">
        <v>0.57239941118743876</v>
      </c>
      <c r="BO61" s="106">
        <v>544.69527968596663</v>
      </c>
      <c r="BP61" s="106">
        <v>0</v>
      </c>
      <c r="BQ61" s="106">
        <v>0</v>
      </c>
      <c r="BR61" s="106">
        <v>2.6793395445763548</v>
      </c>
      <c r="BS61" s="106">
        <v>2549.6595106188588</v>
      </c>
      <c r="BT61" s="106">
        <v>3.4509059534081103</v>
      </c>
      <c r="BU61" s="106">
        <v>3283.8821052631574</v>
      </c>
      <c r="BV61" s="106">
        <v>0</v>
      </c>
      <c r="BW61" s="106">
        <v>0</v>
      </c>
      <c r="BX61" s="106">
        <v>0.82238459406424314</v>
      </c>
      <c r="BY61" s="106">
        <v>782.58117971153365</v>
      </c>
      <c r="BZ61" s="106">
        <v>1.5509793769526343</v>
      </c>
      <c r="CA61" s="106">
        <v>1475.9119751081266</v>
      </c>
      <c r="CB61" s="106">
        <v>0.7100645577792124</v>
      </c>
      <c r="CC61" s="106">
        <v>675.69743318269843</v>
      </c>
      <c r="CD61" s="106">
        <v>0</v>
      </c>
      <c r="CE61" s="106">
        <v>0</v>
      </c>
      <c r="CF61" s="106">
        <v>0.48264445275263529</v>
      </c>
      <c r="CG61" s="106">
        <v>459.28446123940768</v>
      </c>
      <c r="CH61" s="106">
        <v>1.2736462283055467</v>
      </c>
      <c r="CI61" s="106">
        <v>1212.0017508555582</v>
      </c>
      <c r="CJ61" s="106">
        <v>1.0891629550735864</v>
      </c>
      <c r="CK61" s="106">
        <v>1036.4474680480248</v>
      </c>
      <c r="CL61" s="106">
        <v>0</v>
      </c>
      <c r="CM61" s="106">
        <v>0</v>
      </c>
      <c r="CN61" s="106">
        <v>3.6150064752859916</v>
      </c>
      <c r="CO61" s="106">
        <v>3440.0401618821493</v>
      </c>
      <c r="CP61" s="106">
        <v>0</v>
      </c>
      <c r="CQ61" s="106">
        <v>0</v>
      </c>
      <c r="CR61" s="106">
        <v>6.8456179903805543</v>
      </c>
      <c r="CS61" s="106">
        <v>6514.2900796461345</v>
      </c>
      <c r="CT61" s="106">
        <v>4.3027028077051028</v>
      </c>
      <c r="CU61" s="106">
        <v>4094.4519918121755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6.215053244678689</v>
      </c>
      <c r="O62" s="106">
        <v>10597.908792826101</v>
      </c>
      <c r="P62" s="106">
        <v>3.4135115647307557</v>
      </c>
      <c r="Q62" s="106">
        <v>5820.7199201788844</v>
      </c>
      <c r="R62" s="106">
        <v>1.8675815066162815</v>
      </c>
      <c r="S62" s="106">
        <v>3184.5999850820835</v>
      </c>
      <c r="T62" s="106">
        <v>4.2905664114074469</v>
      </c>
      <c r="U62" s="106">
        <v>7316.2738447319789</v>
      </c>
      <c r="V62" s="106">
        <v>0</v>
      </c>
      <c r="W62" s="106">
        <v>0</v>
      </c>
      <c r="X62" s="106">
        <v>5.3784746213127823</v>
      </c>
      <c r="Y62" s="106">
        <v>9171.3749242625563</v>
      </c>
      <c r="Z62" s="106">
        <v>0</v>
      </c>
      <c r="AA62" s="106">
        <v>0</v>
      </c>
      <c r="AB62" s="106">
        <v>2.837168341460429</v>
      </c>
      <c r="AC62" s="106">
        <v>4837.9394558583235</v>
      </c>
      <c r="AD62" s="106">
        <v>1.5246580471472739</v>
      </c>
      <c r="AE62" s="106">
        <v>2599.8469019955314</v>
      </c>
      <c r="AF62" s="106">
        <v>2.7757335745619107</v>
      </c>
      <c r="AG62" s="106">
        <v>4733.1808913429704</v>
      </c>
      <c r="AH62" s="106">
        <v>1.1619131975199293</v>
      </c>
      <c r="AI62" s="106">
        <v>1981.2943844109834</v>
      </c>
      <c r="AJ62" s="106">
        <v>0</v>
      </c>
      <c r="AK62" s="106">
        <v>0</v>
      </c>
      <c r="AL62" s="106">
        <v>5.6988100484795057</v>
      </c>
      <c r="AM62" s="106">
        <v>9717.6108946672539</v>
      </c>
      <c r="AN62" s="106">
        <v>0</v>
      </c>
      <c r="AO62" s="106">
        <v>0</v>
      </c>
      <c r="AP62" s="106">
        <v>6.8161978661493681</v>
      </c>
      <c r="AQ62" s="106">
        <v>11622.980601357902</v>
      </c>
      <c r="AR62" s="106">
        <v>0</v>
      </c>
      <c r="AS62" s="106">
        <v>0</v>
      </c>
      <c r="AT62" s="106">
        <v>9.9303557910673739</v>
      </c>
      <c r="AU62" s="106">
        <v>16933.242694928085</v>
      </c>
      <c r="AV62" s="106">
        <v>0</v>
      </c>
      <c r="AW62" s="106">
        <v>0</v>
      </c>
      <c r="AX62" s="106">
        <v>4.5472898343736512</v>
      </c>
      <c r="AY62" s="106">
        <v>7754.0386255739504</v>
      </c>
      <c r="AZ62" s="106">
        <v>12.256425231722178</v>
      </c>
      <c r="BA62" s="106">
        <v>20899.656305132659</v>
      </c>
      <c r="BB62" s="106">
        <v>2.9137765335755503</v>
      </c>
      <c r="BC62" s="106">
        <v>4968.5717450530283</v>
      </c>
      <c r="BD62" s="106">
        <v>3.2092704646649164</v>
      </c>
      <c r="BE62" s="106">
        <v>5472.4479963466156</v>
      </c>
      <c r="BF62" s="106">
        <v>0</v>
      </c>
      <c r="BG62" s="106">
        <v>0</v>
      </c>
      <c r="BH62" s="106">
        <v>0.93052636087794993</v>
      </c>
      <c r="BI62" s="106">
        <v>1586.7335505690803</v>
      </c>
      <c r="BJ62" s="106">
        <v>0.55761117444654196</v>
      </c>
      <c r="BK62" s="106">
        <v>950.8385746662434</v>
      </c>
      <c r="BL62" s="106">
        <v>0.65277321488677287</v>
      </c>
      <c r="BM62" s="106">
        <v>1113.1088860249251</v>
      </c>
      <c r="BN62" s="106">
        <v>0.46337095191364081</v>
      </c>
      <c r="BO62" s="106">
        <v>790.14014720314037</v>
      </c>
      <c r="BP62" s="106">
        <v>0</v>
      </c>
      <c r="BQ62" s="106">
        <v>0</v>
      </c>
      <c r="BR62" s="106">
        <v>2.6329805808993281</v>
      </c>
      <c r="BS62" s="106">
        <v>4489.7584865495346</v>
      </c>
      <c r="BT62" s="106">
        <v>3.0674719585849868</v>
      </c>
      <c r="BU62" s="106">
        <v>5230.6531837791199</v>
      </c>
      <c r="BV62" s="106">
        <v>0</v>
      </c>
      <c r="BW62" s="106">
        <v>0</v>
      </c>
      <c r="BX62" s="106">
        <v>0.82238459406424314</v>
      </c>
      <c r="BY62" s="106">
        <v>1402.3302097983474</v>
      </c>
      <c r="BZ62" s="106">
        <v>1.2652726496192541</v>
      </c>
      <c r="CA62" s="106">
        <v>2157.5429221307522</v>
      </c>
      <c r="CB62" s="106">
        <v>0.66703034215622981</v>
      </c>
      <c r="CC62" s="106">
        <v>1137.420139444803</v>
      </c>
      <c r="CD62" s="106">
        <v>0</v>
      </c>
      <c r="CE62" s="106">
        <v>0</v>
      </c>
      <c r="CF62" s="106">
        <v>0.47782076517933342</v>
      </c>
      <c r="CG62" s="106">
        <v>814.7799687837994</v>
      </c>
      <c r="CH62" s="106">
        <v>1.088554052962061</v>
      </c>
      <c r="CI62" s="106">
        <v>1856.2023711109064</v>
      </c>
      <c r="CJ62" s="106">
        <v>0.99234847017815642</v>
      </c>
      <c r="CK62" s="106">
        <v>1692.1526113477923</v>
      </c>
      <c r="CL62" s="106">
        <v>0</v>
      </c>
      <c r="CM62" s="106">
        <v>0</v>
      </c>
      <c r="CN62" s="106">
        <v>2.9675426289661129</v>
      </c>
      <c r="CO62" s="106">
        <v>5060.2536909130158</v>
      </c>
      <c r="CP62" s="106">
        <v>0</v>
      </c>
      <c r="CQ62" s="106">
        <v>0</v>
      </c>
      <c r="CR62" s="106">
        <v>5.44962582624151</v>
      </c>
      <c r="CS62" s="106">
        <v>9292.7019589070223</v>
      </c>
      <c r="CT62" s="106">
        <v>3.3709130449543401</v>
      </c>
      <c r="CU62" s="106">
        <v>5748.0809242561409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7.9523345123935343</v>
      </c>
      <c r="O63" s="106">
        <v>6326.8773380602961</v>
      </c>
      <c r="P63" s="106">
        <v>4.4471118255873945</v>
      </c>
      <c r="Q63" s="106">
        <v>3538.1221684373313</v>
      </c>
      <c r="R63" s="106">
        <v>2.3434622189012653</v>
      </c>
      <c r="S63" s="106">
        <v>1864.4585413578468</v>
      </c>
      <c r="T63" s="106">
        <v>6.0067929759704244</v>
      </c>
      <c r="U63" s="106">
        <v>4779.0044916820698</v>
      </c>
      <c r="V63" s="106">
        <v>0</v>
      </c>
      <c r="W63" s="106">
        <v>0</v>
      </c>
      <c r="X63" s="106">
        <v>6.8724953494552219</v>
      </c>
      <c r="Y63" s="106">
        <v>5467.7573000265747</v>
      </c>
      <c r="Z63" s="106">
        <v>0</v>
      </c>
      <c r="AA63" s="106">
        <v>0</v>
      </c>
      <c r="AB63" s="106">
        <v>3.1359230507710811</v>
      </c>
      <c r="AC63" s="106">
        <v>2494.9403791934724</v>
      </c>
      <c r="AD63" s="106">
        <v>1.7415005272133894</v>
      </c>
      <c r="AE63" s="106">
        <v>1385.5378194509726</v>
      </c>
      <c r="AF63" s="106">
        <v>3.1435670824326856</v>
      </c>
      <c r="AG63" s="106">
        <v>2501.0219707834449</v>
      </c>
      <c r="AH63" s="106">
        <v>1.4938883968113377</v>
      </c>
      <c r="AI63" s="106">
        <v>1188.5376085031003</v>
      </c>
      <c r="AJ63" s="106">
        <v>0</v>
      </c>
      <c r="AK63" s="106">
        <v>0</v>
      </c>
      <c r="AL63" s="106">
        <v>6.9376817981489642</v>
      </c>
      <c r="AM63" s="106">
        <v>5519.6196386073161</v>
      </c>
      <c r="AN63" s="106">
        <v>0</v>
      </c>
      <c r="AO63" s="106">
        <v>0</v>
      </c>
      <c r="AP63" s="106">
        <v>7.6341416100872932</v>
      </c>
      <c r="AQ63" s="106">
        <v>6073.7230649854509</v>
      </c>
      <c r="AR63" s="106">
        <v>0</v>
      </c>
      <c r="AS63" s="106">
        <v>0</v>
      </c>
      <c r="AT63" s="106">
        <v>11.065253595760787</v>
      </c>
      <c r="AU63" s="106">
        <v>8803.5157607872825</v>
      </c>
      <c r="AV63" s="106">
        <v>0</v>
      </c>
      <c r="AW63" s="106">
        <v>0</v>
      </c>
      <c r="AX63" s="106">
        <v>5.1340369097767029</v>
      </c>
      <c r="AY63" s="106">
        <v>4084.6397654183447</v>
      </c>
      <c r="AZ63" s="106">
        <v>14.773225324599496</v>
      </c>
      <c r="BA63" s="106">
        <v>11753.57806825136</v>
      </c>
      <c r="BB63" s="106">
        <v>3.8369513158707633</v>
      </c>
      <c r="BC63" s="106">
        <v>3052.6784669067792</v>
      </c>
      <c r="BD63" s="106">
        <v>4.5999543326863801</v>
      </c>
      <c r="BE63" s="106">
        <v>3659.723667085284</v>
      </c>
      <c r="BF63" s="106">
        <v>0</v>
      </c>
      <c r="BG63" s="106">
        <v>0</v>
      </c>
      <c r="BH63" s="106">
        <v>1.0637990544521272</v>
      </c>
      <c r="BI63" s="106">
        <v>846.3585277221124</v>
      </c>
      <c r="BJ63" s="106">
        <v>0.64877764627809431</v>
      </c>
      <c r="BK63" s="106">
        <v>516.16749537885187</v>
      </c>
      <c r="BL63" s="106">
        <v>0.74439943710970402</v>
      </c>
      <c r="BM63" s="106">
        <v>592.24419216448052</v>
      </c>
      <c r="BN63" s="106">
        <v>0.62691364082433754</v>
      </c>
      <c r="BO63" s="106">
        <v>498.77249263984294</v>
      </c>
      <c r="BP63" s="106">
        <v>0</v>
      </c>
      <c r="BQ63" s="106">
        <v>0</v>
      </c>
      <c r="BR63" s="106">
        <v>3.0099217883571514</v>
      </c>
      <c r="BS63" s="106">
        <v>2394.6937748169498</v>
      </c>
      <c r="BT63" s="106">
        <v>3.259188955996549</v>
      </c>
      <c r="BU63" s="106">
        <v>2593.0107333908545</v>
      </c>
      <c r="BV63" s="106">
        <v>0</v>
      </c>
      <c r="BW63" s="106">
        <v>0</v>
      </c>
      <c r="BX63" s="106">
        <v>0.90070693635607579</v>
      </c>
      <c r="BY63" s="106">
        <v>716.60243856489387</v>
      </c>
      <c r="BZ63" s="106">
        <v>1.4285336366669001</v>
      </c>
      <c r="CA63" s="106">
        <v>1136.5413613321857</v>
      </c>
      <c r="CB63" s="106">
        <v>0.86068431245965138</v>
      </c>
      <c r="CC63" s="106">
        <v>684.76043899289868</v>
      </c>
      <c r="CD63" s="106">
        <v>0</v>
      </c>
      <c r="CE63" s="106">
        <v>0</v>
      </c>
      <c r="CF63" s="106">
        <v>0.5138243056335593</v>
      </c>
      <c r="CG63" s="106">
        <v>408.7986175620598</v>
      </c>
      <c r="CH63" s="106">
        <v>1.3227812774160883</v>
      </c>
      <c r="CI63" s="106">
        <v>1052.4047843122398</v>
      </c>
      <c r="CJ63" s="106">
        <v>0.99234847017815642</v>
      </c>
      <c r="CK63" s="106">
        <v>789.51244287374129</v>
      </c>
      <c r="CL63" s="106">
        <v>0</v>
      </c>
      <c r="CM63" s="106">
        <v>0</v>
      </c>
      <c r="CN63" s="106">
        <v>3.5070958342326786</v>
      </c>
      <c r="CO63" s="106">
        <v>2790.2454457155191</v>
      </c>
      <c r="CP63" s="106">
        <v>0</v>
      </c>
      <c r="CQ63" s="106">
        <v>0</v>
      </c>
      <c r="CR63" s="106">
        <v>7.3417501790381765</v>
      </c>
      <c r="CS63" s="106">
        <v>5841.096442442773</v>
      </c>
      <c r="CT63" s="106">
        <v>4.4169662184356753</v>
      </c>
      <c r="CU63" s="106">
        <v>3514.1383233874235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6.9249519239965052</v>
      </c>
      <c r="O64" s="106">
        <v>6988.6614816972715</v>
      </c>
      <c r="P64" s="106">
        <v>3.8716883042587966</v>
      </c>
      <c r="Q64" s="106">
        <v>3907.3078366579766</v>
      </c>
      <c r="R64" s="106">
        <v>2.4243814014378429</v>
      </c>
      <c r="S64" s="106">
        <v>2446.6857103310704</v>
      </c>
      <c r="T64" s="106">
        <v>5.3467058357538946</v>
      </c>
      <c r="U64" s="106">
        <v>5395.8955294428297</v>
      </c>
      <c r="V64" s="106">
        <v>0</v>
      </c>
      <c r="W64" s="106">
        <v>0</v>
      </c>
      <c r="X64" s="106">
        <v>6.9720967313313844</v>
      </c>
      <c r="Y64" s="106">
        <v>7036.2400212596322</v>
      </c>
      <c r="Z64" s="106">
        <v>0</v>
      </c>
      <c r="AA64" s="106">
        <v>0</v>
      </c>
      <c r="AB64" s="106">
        <v>3.1454956932010529</v>
      </c>
      <c r="AC64" s="106">
        <v>3174.4342535785022</v>
      </c>
      <c r="AD64" s="106">
        <v>1.8092742294457846</v>
      </c>
      <c r="AE64" s="106">
        <v>1825.9195523566855</v>
      </c>
      <c r="AF64" s="106">
        <v>3.0391298783619081</v>
      </c>
      <c r="AG64" s="106">
        <v>3067.0898732428373</v>
      </c>
      <c r="AH64" s="106">
        <v>1.3279007971656334</v>
      </c>
      <c r="AI64" s="106">
        <v>1340.1174844995569</v>
      </c>
      <c r="AJ64" s="106">
        <v>0</v>
      </c>
      <c r="AK64" s="106">
        <v>0</v>
      </c>
      <c r="AL64" s="106">
        <v>6.1943587483472893</v>
      </c>
      <c r="AM64" s="106">
        <v>6251.3468488320832</v>
      </c>
      <c r="AN64" s="106">
        <v>0</v>
      </c>
      <c r="AO64" s="106">
        <v>0</v>
      </c>
      <c r="AP64" s="106">
        <v>6.8161978661493681</v>
      </c>
      <c r="AQ64" s="106">
        <v>6878.9068865179406</v>
      </c>
      <c r="AR64" s="106">
        <v>0</v>
      </c>
      <c r="AS64" s="106">
        <v>0</v>
      </c>
      <c r="AT64" s="106">
        <v>10.781529144587434</v>
      </c>
      <c r="AU64" s="106">
        <v>10880.719212717637</v>
      </c>
      <c r="AV64" s="106">
        <v>0</v>
      </c>
      <c r="AW64" s="106">
        <v>0</v>
      </c>
      <c r="AX64" s="106">
        <v>4.8406633720751771</v>
      </c>
      <c r="AY64" s="106">
        <v>4885.1974750982681</v>
      </c>
      <c r="AZ64" s="106">
        <v>15.498176687026472</v>
      </c>
      <c r="BA64" s="106">
        <v>15640.759912547113</v>
      </c>
      <c r="BB64" s="106">
        <v>3.8362385125269554</v>
      </c>
      <c r="BC64" s="106">
        <v>3871.5319068422027</v>
      </c>
      <c r="BD64" s="106">
        <v>4.3646078319442863</v>
      </c>
      <c r="BE64" s="106">
        <v>4404.7622239981729</v>
      </c>
      <c r="BF64" s="106">
        <v>0</v>
      </c>
      <c r="BG64" s="106">
        <v>0</v>
      </c>
      <c r="BH64" s="106">
        <v>1.0216386091018941</v>
      </c>
      <c r="BI64" s="106">
        <v>1031.0376843056313</v>
      </c>
      <c r="BJ64" s="106">
        <v>0.64817835899062082</v>
      </c>
      <c r="BK64" s="106">
        <v>654.14159989333439</v>
      </c>
      <c r="BL64" s="106">
        <v>0.69192378308779223</v>
      </c>
      <c r="BM64" s="106">
        <v>698.28948189219977</v>
      </c>
      <c r="BN64" s="106">
        <v>0.54514229636898914</v>
      </c>
      <c r="BO64" s="106">
        <v>550.15760549558377</v>
      </c>
      <c r="BP64" s="106">
        <v>0</v>
      </c>
      <c r="BQ64" s="106">
        <v>0</v>
      </c>
      <c r="BR64" s="106">
        <v>2.7313063795588155</v>
      </c>
      <c r="BS64" s="106">
        <v>2756.4343982507562</v>
      </c>
      <c r="BT64" s="106">
        <v>3.259188955996549</v>
      </c>
      <c r="BU64" s="106">
        <v>3289.1734943917168</v>
      </c>
      <c r="BV64" s="106">
        <v>0</v>
      </c>
      <c r="BW64" s="106">
        <v>0</v>
      </c>
      <c r="BX64" s="106">
        <v>0.82238459406424314</v>
      </c>
      <c r="BY64" s="106">
        <v>829.95053232963403</v>
      </c>
      <c r="BZ64" s="106">
        <v>1.3877183899049885</v>
      </c>
      <c r="CA64" s="106">
        <v>1400.4853990921142</v>
      </c>
      <c r="CB64" s="106">
        <v>0.68854744996772121</v>
      </c>
      <c r="CC64" s="106">
        <v>694.88208650742411</v>
      </c>
      <c r="CD64" s="106">
        <v>0</v>
      </c>
      <c r="CE64" s="106">
        <v>0</v>
      </c>
      <c r="CF64" s="106">
        <v>0.48324741369929808</v>
      </c>
      <c r="CG64" s="106">
        <v>487.69328990533154</v>
      </c>
      <c r="CH64" s="106">
        <v>1.4604344067747628</v>
      </c>
      <c r="CI64" s="106">
        <v>1473.8704033170902</v>
      </c>
      <c r="CJ64" s="106">
        <v>0.96814484895429898</v>
      </c>
      <c r="CK64" s="106">
        <v>977.05178156467832</v>
      </c>
      <c r="CL64" s="106">
        <v>0</v>
      </c>
      <c r="CM64" s="106">
        <v>0</v>
      </c>
      <c r="CN64" s="106">
        <v>3.5880288150226631</v>
      </c>
      <c r="CO64" s="106">
        <v>3621.038680120871</v>
      </c>
      <c r="CP64" s="106">
        <v>0</v>
      </c>
      <c r="CQ64" s="106">
        <v>0</v>
      </c>
      <c r="CR64" s="106">
        <v>6.0985771924367445</v>
      </c>
      <c r="CS64" s="106">
        <v>6154.6841026071615</v>
      </c>
      <c r="CT64" s="106">
        <v>3.8625559769795719</v>
      </c>
      <c r="CU64" s="106">
        <v>3898.0914919677834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7.6233077749561247</v>
      </c>
      <c r="O65" s="106">
        <v>7821.513777104984</v>
      </c>
      <c r="P65" s="106">
        <v>4.3585010900073407</v>
      </c>
      <c r="Q65" s="106">
        <v>4471.8221183475316</v>
      </c>
      <c r="R65" s="106">
        <v>2.2577599528030197</v>
      </c>
      <c r="S65" s="106">
        <v>2316.4617115758983</v>
      </c>
      <c r="T65" s="106">
        <v>5.280697121732242</v>
      </c>
      <c r="U65" s="106">
        <v>5417.9952468972806</v>
      </c>
      <c r="V65" s="106">
        <v>0</v>
      </c>
      <c r="W65" s="106">
        <v>0</v>
      </c>
      <c r="X65" s="106">
        <v>6.2748870581982459</v>
      </c>
      <c r="Y65" s="106">
        <v>6438.0341217114001</v>
      </c>
      <c r="Z65" s="106">
        <v>0</v>
      </c>
      <c r="AA65" s="106">
        <v>0</v>
      </c>
      <c r="AB65" s="106">
        <v>3.429891438866747</v>
      </c>
      <c r="AC65" s="106">
        <v>3519.0686162772822</v>
      </c>
      <c r="AD65" s="106">
        <v>1.9313002605416443</v>
      </c>
      <c r="AE65" s="106">
        <v>1981.5140673157271</v>
      </c>
      <c r="AF65" s="106">
        <v>2.7883155504830892</v>
      </c>
      <c r="AG65" s="106">
        <v>2860.8117547956494</v>
      </c>
      <c r="AH65" s="106">
        <v>1.3279007971656334</v>
      </c>
      <c r="AI65" s="106">
        <v>1362.4262178919398</v>
      </c>
      <c r="AJ65" s="106">
        <v>0</v>
      </c>
      <c r="AK65" s="106">
        <v>0</v>
      </c>
      <c r="AL65" s="106">
        <v>6.9376817981489642</v>
      </c>
      <c r="AM65" s="106">
        <v>7118.061524900837</v>
      </c>
      <c r="AN65" s="106">
        <v>0</v>
      </c>
      <c r="AO65" s="106">
        <v>0</v>
      </c>
      <c r="AP65" s="106">
        <v>6.2709020368574198</v>
      </c>
      <c r="AQ65" s="106">
        <v>6433.9454898157128</v>
      </c>
      <c r="AR65" s="106">
        <v>0</v>
      </c>
      <c r="AS65" s="106">
        <v>0</v>
      </c>
      <c r="AT65" s="106">
        <v>10.49780469341408</v>
      </c>
      <c r="AU65" s="106">
        <v>10770.747615442846</v>
      </c>
      <c r="AV65" s="106">
        <v>0</v>
      </c>
      <c r="AW65" s="106">
        <v>0</v>
      </c>
      <c r="AX65" s="106">
        <v>4.4006030655228887</v>
      </c>
      <c r="AY65" s="106">
        <v>4515.0187452264836</v>
      </c>
      <c r="AZ65" s="106">
        <v>14.054432864857651</v>
      </c>
      <c r="BA65" s="106">
        <v>14419.848119343949</v>
      </c>
      <c r="BB65" s="106">
        <v>3.4555015148166834</v>
      </c>
      <c r="BC65" s="106">
        <v>3545.3445542019172</v>
      </c>
      <c r="BD65" s="106">
        <v>4.3218175590820875</v>
      </c>
      <c r="BE65" s="106">
        <v>4434.1848156182214</v>
      </c>
      <c r="BF65" s="106">
        <v>0</v>
      </c>
      <c r="BG65" s="106">
        <v>0</v>
      </c>
      <c r="BH65" s="106">
        <v>0.88642552766386618</v>
      </c>
      <c r="BI65" s="106">
        <v>909.47259138312666</v>
      </c>
      <c r="BJ65" s="106">
        <v>0.65057550814051446</v>
      </c>
      <c r="BK65" s="106">
        <v>667.49047135216779</v>
      </c>
      <c r="BL65" s="106">
        <v>0.71405301062918247</v>
      </c>
      <c r="BM65" s="106">
        <v>732.61838890554122</v>
      </c>
      <c r="BN65" s="106">
        <v>0.59965652600588815</v>
      </c>
      <c r="BO65" s="106">
        <v>615.24759568204126</v>
      </c>
      <c r="BP65" s="106">
        <v>0</v>
      </c>
      <c r="BQ65" s="106">
        <v>0</v>
      </c>
      <c r="BR65" s="106">
        <v>2.7340333774221701</v>
      </c>
      <c r="BS65" s="106">
        <v>2805.1182452351463</v>
      </c>
      <c r="BT65" s="106">
        <v>2.8757549611734254</v>
      </c>
      <c r="BU65" s="106">
        <v>2950.5245901639346</v>
      </c>
      <c r="BV65" s="106">
        <v>0</v>
      </c>
      <c r="BW65" s="106">
        <v>0</v>
      </c>
      <c r="BX65" s="106">
        <v>0.90070693635607579</v>
      </c>
      <c r="BY65" s="106">
        <v>924.12531670133376</v>
      </c>
      <c r="BZ65" s="106">
        <v>1.3877183899049885</v>
      </c>
      <c r="CA65" s="106">
        <v>1423.7990680425182</v>
      </c>
      <c r="CB65" s="106">
        <v>0.7315816655907037</v>
      </c>
      <c r="CC65" s="106">
        <v>750.60278889606195</v>
      </c>
      <c r="CD65" s="106">
        <v>0</v>
      </c>
      <c r="CE65" s="106">
        <v>0</v>
      </c>
      <c r="CF65" s="106">
        <v>0.54862192419445976</v>
      </c>
      <c r="CG65" s="106">
        <v>562.88609422351567</v>
      </c>
      <c r="CH65" s="106">
        <v>1.457042400523302</v>
      </c>
      <c r="CI65" s="106">
        <v>1494.9255029369078</v>
      </c>
      <c r="CJ65" s="106">
        <v>1.1133665762974438</v>
      </c>
      <c r="CK65" s="106">
        <v>1142.3141072811775</v>
      </c>
      <c r="CL65" s="106">
        <v>0</v>
      </c>
      <c r="CM65" s="106">
        <v>0</v>
      </c>
      <c r="CN65" s="106">
        <v>3.372207532916037</v>
      </c>
      <c r="CO65" s="106">
        <v>3459.884928771854</v>
      </c>
      <c r="CP65" s="106">
        <v>0</v>
      </c>
      <c r="CQ65" s="106">
        <v>0</v>
      </c>
      <c r="CR65" s="106">
        <v>6.3445114005475247</v>
      </c>
      <c r="CS65" s="106">
        <v>6509.4686969617605</v>
      </c>
      <c r="CT65" s="106">
        <v>3.918278781328461</v>
      </c>
      <c r="CU65" s="106">
        <v>4020.1540296430007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7.4703372345956174</v>
      </c>
      <c r="O66" s="106">
        <v>8892.689444062622</v>
      </c>
      <c r="P66" s="106">
        <v>3.6139638882742737</v>
      </c>
      <c r="Q66" s="106">
        <v>4302.062612601695</v>
      </c>
      <c r="R66" s="106">
        <v>2.1726555721499836</v>
      </c>
      <c r="S66" s="106">
        <v>2586.3291930873402</v>
      </c>
      <c r="T66" s="106">
        <v>5.544731977818854</v>
      </c>
      <c r="U66" s="106">
        <v>6600.4489463955633</v>
      </c>
      <c r="V66" s="106">
        <v>0</v>
      </c>
      <c r="W66" s="106">
        <v>0</v>
      </c>
      <c r="X66" s="106">
        <v>7.0716981132075469</v>
      </c>
      <c r="Y66" s="106">
        <v>8418.1494339622623</v>
      </c>
      <c r="Z66" s="106">
        <v>0</v>
      </c>
      <c r="AA66" s="106">
        <v>0</v>
      </c>
      <c r="AB66" s="106">
        <v>3.1311367295560952</v>
      </c>
      <c r="AC66" s="106">
        <v>3727.3051628635753</v>
      </c>
      <c r="AD66" s="106">
        <v>1.5856710626952037</v>
      </c>
      <c r="AE66" s="106">
        <v>1887.5828330323702</v>
      </c>
      <c r="AF66" s="106">
        <v>2.8969467465275942</v>
      </c>
      <c r="AG66" s="106">
        <v>3448.5254070664478</v>
      </c>
      <c r="AH66" s="106">
        <v>1.3279007971656334</v>
      </c>
      <c r="AI66" s="106">
        <v>1580.7331089459697</v>
      </c>
      <c r="AJ66" s="106">
        <v>0</v>
      </c>
      <c r="AK66" s="106">
        <v>0</v>
      </c>
      <c r="AL66" s="106">
        <v>5.946584398413397</v>
      </c>
      <c r="AM66" s="106">
        <v>7078.8140678713071</v>
      </c>
      <c r="AN66" s="106">
        <v>0</v>
      </c>
      <c r="AO66" s="106">
        <v>0</v>
      </c>
      <c r="AP66" s="106">
        <v>6.8161978661493681</v>
      </c>
      <c r="AQ66" s="106">
        <v>8114.0019398642071</v>
      </c>
      <c r="AR66" s="106">
        <v>0</v>
      </c>
      <c r="AS66" s="106">
        <v>0</v>
      </c>
      <c r="AT66" s="106">
        <v>11.065253595760787</v>
      </c>
      <c r="AU66" s="106">
        <v>13172.077880393639</v>
      </c>
      <c r="AV66" s="106">
        <v>0</v>
      </c>
      <c r="AW66" s="106">
        <v>0</v>
      </c>
      <c r="AX66" s="106">
        <v>4.6939766032244146</v>
      </c>
      <c r="AY66" s="106">
        <v>5587.7097484783426</v>
      </c>
      <c r="AZ66" s="106">
        <v>14.659927645254607</v>
      </c>
      <c r="BA66" s="106">
        <v>17451.177868911083</v>
      </c>
      <c r="BB66" s="106">
        <v>3.0291752665797702</v>
      </c>
      <c r="BC66" s="106">
        <v>3605.9302373365581</v>
      </c>
      <c r="BD66" s="106">
        <v>3.9367051033222973</v>
      </c>
      <c r="BE66" s="106">
        <v>4686.253754994862</v>
      </c>
      <c r="BF66" s="106">
        <v>0</v>
      </c>
      <c r="BG66" s="106">
        <v>0</v>
      </c>
      <c r="BH66" s="106">
        <v>0.88933610945964248</v>
      </c>
      <c r="BI66" s="106">
        <v>1058.6657047007582</v>
      </c>
      <c r="BJ66" s="106">
        <v>0.64997622085304108</v>
      </c>
      <c r="BK66" s="106">
        <v>773.73169330346002</v>
      </c>
      <c r="BL66" s="106">
        <v>0.71405301062918247</v>
      </c>
      <c r="BM66" s="106">
        <v>850.00870385297867</v>
      </c>
      <c r="BN66" s="106">
        <v>0.51788518155053975</v>
      </c>
      <c r="BO66" s="106">
        <v>616.49052011776246</v>
      </c>
      <c r="BP66" s="106">
        <v>0</v>
      </c>
      <c r="BQ66" s="106">
        <v>0</v>
      </c>
      <c r="BR66" s="106">
        <v>2.6411615744893915</v>
      </c>
      <c r="BS66" s="106">
        <v>3144.0387382721715</v>
      </c>
      <c r="BT66" s="106">
        <v>3.0674719585849868</v>
      </c>
      <c r="BU66" s="106">
        <v>3651.5186194995676</v>
      </c>
      <c r="BV66" s="106">
        <v>0</v>
      </c>
      <c r="BW66" s="106">
        <v>0</v>
      </c>
      <c r="BX66" s="106">
        <v>0.93986810750199223</v>
      </c>
      <c r="BY66" s="106">
        <v>1118.8189951703714</v>
      </c>
      <c r="BZ66" s="106">
        <v>1.4285336366669001</v>
      </c>
      <c r="CA66" s="106">
        <v>1700.5264410882778</v>
      </c>
      <c r="CB66" s="106">
        <v>0.7315816655907037</v>
      </c>
      <c r="CC66" s="106">
        <v>870.87481471917363</v>
      </c>
      <c r="CD66" s="106">
        <v>0</v>
      </c>
      <c r="CE66" s="106">
        <v>0</v>
      </c>
      <c r="CF66" s="106">
        <v>0.49672697682644046</v>
      </c>
      <c r="CG66" s="106">
        <v>591.30379321419468</v>
      </c>
      <c r="CH66" s="106">
        <v>1.2334151956050901</v>
      </c>
      <c r="CI66" s="106">
        <v>1468.257448848299</v>
      </c>
      <c r="CJ66" s="106">
        <v>0.99234847017815642</v>
      </c>
      <c r="CK66" s="106">
        <v>1181.2916189000773</v>
      </c>
      <c r="CL66" s="106">
        <v>0</v>
      </c>
      <c r="CM66" s="106">
        <v>0</v>
      </c>
      <c r="CN66" s="106">
        <v>3.291274552126052</v>
      </c>
      <c r="CO66" s="106">
        <v>3917.933226850852</v>
      </c>
      <c r="CP66" s="106">
        <v>0</v>
      </c>
      <c r="CQ66" s="106">
        <v>0</v>
      </c>
      <c r="CR66" s="106">
        <v>6.0459793328657376</v>
      </c>
      <c r="CS66" s="106">
        <v>7197.133797843373</v>
      </c>
      <c r="CT66" s="106">
        <v>3.7010231679984886</v>
      </c>
      <c r="CU66" s="106">
        <v>4405.6979791854001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6.8084361502680677</v>
      </c>
      <c r="O67" s="106">
        <v>7647.2354839810941</v>
      </c>
      <c r="P67" s="106">
        <v>3.9030269473978447</v>
      </c>
      <c r="Q67" s="106">
        <v>4383.8798673172596</v>
      </c>
      <c r="R67" s="106">
        <v>2.2038138311119684</v>
      </c>
      <c r="S67" s="106">
        <v>2475.323695104963</v>
      </c>
      <c r="T67" s="106">
        <v>5.6107406918405074</v>
      </c>
      <c r="U67" s="106">
        <v>6301.9839450752579</v>
      </c>
      <c r="V67" s="106">
        <v>0</v>
      </c>
      <c r="W67" s="106">
        <v>0</v>
      </c>
      <c r="X67" s="106">
        <v>6.3744884400744084</v>
      </c>
      <c r="Y67" s="106">
        <v>7159.8254158915761</v>
      </c>
      <c r="Z67" s="106">
        <v>0</v>
      </c>
      <c r="AA67" s="106">
        <v>0</v>
      </c>
      <c r="AB67" s="106">
        <v>3.2948730478563788</v>
      </c>
      <c r="AC67" s="106">
        <v>3700.801407352285</v>
      </c>
      <c r="AD67" s="106">
        <v>1.8601462149670167</v>
      </c>
      <c r="AE67" s="106">
        <v>2089.3162286509532</v>
      </c>
      <c r="AF67" s="106">
        <v>3.1393730904589603</v>
      </c>
      <c r="AG67" s="106">
        <v>3526.1438552035042</v>
      </c>
      <c r="AH67" s="106">
        <v>1.3279007971656334</v>
      </c>
      <c r="AI67" s="106">
        <v>1491.4981753764393</v>
      </c>
      <c r="AJ67" s="106">
        <v>0</v>
      </c>
      <c r="AK67" s="106">
        <v>0</v>
      </c>
      <c r="AL67" s="106">
        <v>6.9376817981489642</v>
      </c>
      <c r="AM67" s="106">
        <v>7792.4041956809169</v>
      </c>
      <c r="AN67" s="106">
        <v>0</v>
      </c>
      <c r="AO67" s="106">
        <v>0</v>
      </c>
      <c r="AP67" s="106">
        <v>7.0888457807953431</v>
      </c>
      <c r="AQ67" s="106">
        <v>7962.1915809893299</v>
      </c>
      <c r="AR67" s="106">
        <v>0</v>
      </c>
      <c r="AS67" s="106">
        <v>0</v>
      </c>
      <c r="AT67" s="106">
        <v>11.916426949280849</v>
      </c>
      <c r="AU67" s="106">
        <v>13384.53074943225</v>
      </c>
      <c r="AV67" s="106">
        <v>0</v>
      </c>
      <c r="AW67" s="106">
        <v>0</v>
      </c>
      <c r="AX67" s="106">
        <v>5.1340369097767029</v>
      </c>
      <c r="AY67" s="106">
        <v>5766.5502570611925</v>
      </c>
      <c r="AZ67" s="106">
        <v>13.337693372677514</v>
      </c>
      <c r="BA67" s="106">
        <v>14980.897196191383</v>
      </c>
      <c r="BB67" s="106">
        <v>3.5206777755595082</v>
      </c>
      <c r="BC67" s="106">
        <v>3954.4252775084396</v>
      </c>
      <c r="BD67" s="106">
        <v>4.2362370133576901</v>
      </c>
      <c r="BE67" s="106">
        <v>4758.1414134033575</v>
      </c>
      <c r="BF67" s="106">
        <v>0</v>
      </c>
      <c r="BG67" s="106">
        <v>0</v>
      </c>
      <c r="BH67" s="106">
        <v>0.93149655480987548</v>
      </c>
      <c r="BI67" s="106">
        <v>1046.2569303624521</v>
      </c>
      <c r="BJ67" s="106">
        <v>0.62198454605908393</v>
      </c>
      <c r="BK67" s="106">
        <v>698.61304213356311</v>
      </c>
      <c r="BL67" s="106">
        <v>0.71463995341054898</v>
      </c>
      <c r="BM67" s="106">
        <v>802.68359567072866</v>
      </c>
      <c r="BN67" s="106">
        <v>0.51788518155053975</v>
      </c>
      <c r="BO67" s="106">
        <v>581.68863591756633</v>
      </c>
      <c r="BP67" s="106">
        <v>0</v>
      </c>
      <c r="BQ67" s="106">
        <v>0</v>
      </c>
      <c r="BR67" s="106">
        <v>2.7613033560557154</v>
      </c>
      <c r="BS67" s="106">
        <v>3101.4959295217795</v>
      </c>
      <c r="BT67" s="106">
        <v>3.0674719585849868</v>
      </c>
      <c r="BU67" s="106">
        <v>3445.3845038826571</v>
      </c>
      <c r="BV67" s="106">
        <v>0</v>
      </c>
      <c r="BW67" s="106">
        <v>0</v>
      </c>
      <c r="BX67" s="106">
        <v>0.78322342291832669</v>
      </c>
      <c r="BY67" s="106">
        <v>879.7165486218646</v>
      </c>
      <c r="BZ67" s="106">
        <v>1.4693488834288113</v>
      </c>
      <c r="CA67" s="106">
        <v>1650.372665867241</v>
      </c>
      <c r="CB67" s="106">
        <v>0.81765009683666889</v>
      </c>
      <c r="CC67" s="106">
        <v>918.38458876694654</v>
      </c>
      <c r="CD67" s="106">
        <v>0</v>
      </c>
      <c r="CE67" s="106">
        <v>0</v>
      </c>
      <c r="CF67" s="106">
        <v>0.54651156088114017</v>
      </c>
      <c r="CG67" s="106">
        <v>613.84178518169665</v>
      </c>
      <c r="CH67" s="106">
        <v>1.3659803155865733</v>
      </c>
      <c r="CI67" s="106">
        <v>1534.2690904668391</v>
      </c>
      <c r="CJ67" s="106">
        <v>1.1133665762974438</v>
      </c>
      <c r="CK67" s="106">
        <v>1250.5333384972889</v>
      </c>
      <c r="CL67" s="106">
        <v>0</v>
      </c>
      <c r="CM67" s="106">
        <v>0</v>
      </c>
      <c r="CN67" s="106">
        <v>3.3991851931793655</v>
      </c>
      <c r="CO67" s="106">
        <v>3817.9648089790635</v>
      </c>
      <c r="CP67" s="106">
        <v>0</v>
      </c>
      <c r="CQ67" s="106">
        <v>0</v>
      </c>
      <c r="CR67" s="106">
        <v>5.9990665032094821</v>
      </c>
      <c r="CS67" s="106">
        <v>6738.1514964048902</v>
      </c>
      <c r="CT67" s="106">
        <v>3.8068331726306819</v>
      </c>
      <c r="CU67" s="106">
        <v>4275.8350194987825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7.5144872201331516</v>
      </c>
      <c r="O68" s="106">
        <v>7763.9681958415722</v>
      </c>
      <c r="P68" s="106">
        <v>4.4710183272004418</v>
      </c>
      <c r="Q68" s="106">
        <v>4619.4561356634968</v>
      </c>
      <c r="R68" s="106">
        <v>2.369837394301582</v>
      </c>
      <c r="S68" s="106">
        <v>2448.5159957923947</v>
      </c>
      <c r="T68" s="106">
        <v>5.0826709796672827</v>
      </c>
      <c r="U68" s="106">
        <v>5251.4156561922364</v>
      </c>
      <c r="V68" s="106">
        <v>0</v>
      </c>
      <c r="W68" s="106">
        <v>0</v>
      </c>
      <c r="X68" s="106">
        <v>6.4740898219505709</v>
      </c>
      <c r="Y68" s="106">
        <v>6689.0296040393305</v>
      </c>
      <c r="Z68" s="106">
        <v>0</v>
      </c>
      <c r="AA68" s="106">
        <v>0</v>
      </c>
      <c r="AB68" s="106">
        <v>3.429891438866747</v>
      </c>
      <c r="AC68" s="106">
        <v>3543.7638346371232</v>
      </c>
      <c r="AD68" s="106">
        <v>1.941441290568342</v>
      </c>
      <c r="AE68" s="106">
        <v>2005.8971414152111</v>
      </c>
      <c r="AF68" s="106">
        <v>2.9011407385013195</v>
      </c>
      <c r="AG68" s="106">
        <v>2997.4586110195633</v>
      </c>
      <c r="AH68" s="106">
        <v>1.4108945969884854</v>
      </c>
      <c r="AI68" s="106">
        <v>1457.7362976085033</v>
      </c>
      <c r="AJ68" s="106">
        <v>0</v>
      </c>
      <c r="AK68" s="106">
        <v>0</v>
      </c>
      <c r="AL68" s="106">
        <v>5.946584398413397</v>
      </c>
      <c r="AM68" s="106">
        <v>6144.0110004407225</v>
      </c>
      <c r="AN68" s="106">
        <v>0</v>
      </c>
      <c r="AO68" s="106">
        <v>0</v>
      </c>
      <c r="AP68" s="106">
        <v>7.0888457807953431</v>
      </c>
      <c r="AQ68" s="106">
        <v>7324.1954607177486</v>
      </c>
      <c r="AR68" s="106">
        <v>0</v>
      </c>
      <c r="AS68" s="106">
        <v>0</v>
      </c>
      <c r="AT68" s="106">
        <v>10.214080242240726</v>
      </c>
      <c r="AU68" s="106">
        <v>10553.187706283119</v>
      </c>
      <c r="AV68" s="106">
        <v>0</v>
      </c>
      <c r="AW68" s="106">
        <v>0</v>
      </c>
      <c r="AX68" s="106">
        <v>4.6939766032244146</v>
      </c>
      <c r="AY68" s="106">
        <v>4849.8166264514657</v>
      </c>
      <c r="AZ68" s="106">
        <v>15.139806940936406</v>
      </c>
      <c r="BA68" s="106">
        <v>15642.448531375496</v>
      </c>
      <c r="BB68" s="106">
        <v>3.3222977799558016</v>
      </c>
      <c r="BC68" s="106">
        <v>3432.5980662503343</v>
      </c>
      <c r="BD68" s="106">
        <v>4.3432126955131869</v>
      </c>
      <c r="BE68" s="106">
        <v>4487.4073570042247</v>
      </c>
      <c r="BF68" s="106">
        <v>0</v>
      </c>
      <c r="BG68" s="106">
        <v>0</v>
      </c>
      <c r="BH68" s="106">
        <v>0.97947816375166119</v>
      </c>
      <c r="BI68" s="106">
        <v>1011.9968387882163</v>
      </c>
      <c r="BJ68" s="106">
        <v>0.6785671829344716</v>
      </c>
      <c r="BK68" s="106">
        <v>701.09561340789605</v>
      </c>
      <c r="BL68" s="106">
        <v>0.79217954888068376</v>
      </c>
      <c r="BM68" s="106">
        <v>818.47990990352253</v>
      </c>
      <c r="BN68" s="106">
        <v>0.59965652600588815</v>
      </c>
      <c r="BO68" s="106">
        <v>619.56512266928371</v>
      </c>
      <c r="BP68" s="106">
        <v>0</v>
      </c>
      <c r="BQ68" s="106">
        <v>0</v>
      </c>
      <c r="BR68" s="106">
        <v>2.6466155702161003</v>
      </c>
      <c r="BS68" s="106">
        <v>2734.4832071472752</v>
      </c>
      <c r="BT68" s="106">
        <v>3.0674719585849868</v>
      </c>
      <c r="BU68" s="106">
        <v>3169.3120276100085</v>
      </c>
      <c r="BV68" s="106">
        <v>0</v>
      </c>
      <c r="BW68" s="106">
        <v>0</v>
      </c>
      <c r="BX68" s="106">
        <v>0.82238459406424314</v>
      </c>
      <c r="BY68" s="106">
        <v>849.68776258717605</v>
      </c>
      <c r="BZ68" s="106">
        <v>1.5101641301907227</v>
      </c>
      <c r="CA68" s="106">
        <v>1560.3015793130548</v>
      </c>
      <c r="CB68" s="106">
        <v>0.68854744996772121</v>
      </c>
      <c r="CC68" s="106">
        <v>711.40722530664959</v>
      </c>
      <c r="CD68" s="106">
        <v>0</v>
      </c>
      <c r="CE68" s="106">
        <v>0</v>
      </c>
      <c r="CF68" s="106">
        <v>0.49582253540644639</v>
      </c>
      <c r="CG68" s="106">
        <v>512.28384358194046</v>
      </c>
      <c r="CH68" s="106">
        <v>1.1893681558717397</v>
      </c>
      <c r="CI68" s="106">
        <v>1228.8551786466815</v>
      </c>
      <c r="CJ68" s="106">
        <v>1.064959333849729</v>
      </c>
      <c r="CK68" s="106">
        <v>1100.31598373354</v>
      </c>
      <c r="CL68" s="106">
        <v>0</v>
      </c>
      <c r="CM68" s="106">
        <v>0</v>
      </c>
      <c r="CN68" s="106">
        <v>3.4531405137060216</v>
      </c>
      <c r="CO68" s="106">
        <v>3567.7847787610617</v>
      </c>
      <c r="CP68" s="106">
        <v>0</v>
      </c>
      <c r="CQ68" s="106">
        <v>0</v>
      </c>
      <c r="CR68" s="106">
        <v>6.1483325370503756</v>
      </c>
      <c r="CS68" s="106">
        <v>6352.4571772804484</v>
      </c>
      <c r="CT68" s="106">
        <v>4.3626523151031815</v>
      </c>
      <c r="CU68" s="106">
        <v>4507.4923719646076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7.9638773407517292</v>
      </c>
      <c r="O69" s="106">
        <v>6039.8045752261114</v>
      </c>
      <c r="P69" s="106">
        <v>4.5037082687987633</v>
      </c>
      <c r="Q69" s="106">
        <v>3415.6123510569819</v>
      </c>
      <c r="R69" s="106">
        <v>2.2583578382482288</v>
      </c>
      <c r="S69" s="106">
        <v>1712.7385845274566</v>
      </c>
      <c r="T69" s="106">
        <v>5.280697121732242</v>
      </c>
      <c r="U69" s="106">
        <v>4004.8806971217323</v>
      </c>
      <c r="V69" s="106">
        <v>0</v>
      </c>
      <c r="W69" s="106">
        <v>0</v>
      </c>
      <c r="X69" s="106">
        <v>7.3705022588360354</v>
      </c>
      <c r="Y69" s="106">
        <v>5589.7889131012489</v>
      </c>
      <c r="Z69" s="106">
        <v>0</v>
      </c>
      <c r="AA69" s="106">
        <v>0</v>
      </c>
      <c r="AB69" s="106">
        <v>3.2900867266413933</v>
      </c>
      <c r="AC69" s="106">
        <v>2495.2017734848328</v>
      </c>
      <c r="AD69" s="106">
        <v>1.873667588335947</v>
      </c>
      <c r="AE69" s="106">
        <v>1420.9894989939821</v>
      </c>
      <c r="AF69" s="106">
        <v>3.2689742463720952</v>
      </c>
      <c r="AG69" s="106">
        <v>2479.1900684485968</v>
      </c>
      <c r="AH69" s="106">
        <v>1.3279007971656334</v>
      </c>
      <c r="AI69" s="106">
        <v>1007.0799645704163</v>
      </c>
      <c r="AJ69" s="106">
        <v>0</v>
      </c>
      <c r="AK69" s="106">
        <v>0</v>
      </c>
      <c r="AL69" s="106">
        <v>6.1943587483472893</v>
      </c>
      <c r="AM69" s="106">
        <v>4697.8016747465845</v>
      </c>
      <c r="AN69" s="106">
        <v>0</v>
      </c>
      <c r="AO69" s="106">
        <v>0</v>
      </c>
      <c r="AP69" s="106">
        <v>7.3614936954413182</v>
      </c>
      <c r="AQ69" s="106">
        <v>5582.9568186226952</v>
      </c>
      <c r="AR69" s="106">
        <v>0</v>
      </c>
      <c r="AS69" s="106">
        <v>0</v>
      </c>
      <c r="AT69" s="106">
        <v>10.781529144587434</v>
      </c>
      <c r="AU69" s="106">
        <v>8176.7117032551096</v>
      </c>
      <c r="AV69" s="106">
        <v>0</v>
      </c>
      <c r="AW69" s="106">
        <v>0</v>
      </c>
      <c r="AX69" s="106">
        <v>4.5472898343736512</v>
      </c>
      <c r="AY69" s="106">
        <v>3448.6646103889771</v>
      </c>
      <c r="AZ69" s="106">
        <v>15.261316490528138</v>
      </c>
      <c r="BA69" s="106">
        <v>11574.182426416539</v>
      </c>
      <c r="BB69" s="106">
        <v>3.5466800158699665</v>
      </c>
      <c r="BC69" s="106">
        <v>2689.8021240357825</v>
      </c>
      <c r="BD69" s="106">
        <v>4.1292613312021924</v>
      </c>
      <c r="BE69" s="106">
        <v>3131.6317935837428</v>
      </c>
      <c r="BF69" s="106">
        <v>0</v>
      </c>
      <c r="BG69" s="106">
        <v>0</v>
      </c>
      <c r="BH69" s="106">
        <v>1.0206684151699685</v>
      </c>
      <c r="BI69" s="106">
        <v>774.07492606490416</v>
      </c>
      <c r="BJ69" s="106">
        <v>0.62318312063403081</v>
      </c>
      <c r="BK69" s="106">
        <v>472.62207868884894</v>
      </c>
      <c r="BL69" s="106">
        <v>0.84993768793489421</v>
      </c>
      <c r="BM69" s="106">
        <v>644.59274252982379</v>
      </c>
      <c r="BN69" s="106">
        <v>0.54514229636898914</v>
      </c>
      <c r="BO69" s="106">
        <v>413.43591756624136</v>
      </c>
      <c r="BP69" s="106">
        <v>0</v>
      </c>
      <c r="BQ69" s="106">
        <v>0</v>
      </c>
      <c r="BR69" s="106">
        <v>2.9334119726044992</v>
      </c>
      <c r="BS69" s="106">
        <v>2224.699640023252</v>
      </c>
      <c r="BT69" s="106">
        <v>2.8757549611734254</v>
      </c>
      <c r="BU69" s="106">
        <v>2180.9725625539259</v>
      </c>
      <c r="BV69" s="106">
        <v>0</v>
      </c>
      <c r="BW69" s="106">
        <v>0</v>
      </c>
      <c r="BX69" s="106">
        <v>0.93986810750199223</v>
      </c>
      <c r="BY69" s="106">
        <v>712.79597272951094</v>
      </c>
      <c r="BZ69" s="106">
        <v>1.3877183899049885</v>
      </c>
      <c r="CA69" s="106">
        <v>1052.4456269039433</v>
      </c>
      <c r="CB69" s="106">
        <v>0.79613298902517748</v>
      </c>
      <c r="CC69" s="106">
        <v>603.78725887669464</v>
      </c>
      <c r="CD69" s="106">
        <v>0</v>
      </c>
      <c r="CE69" s="106">
        <v>0</v>
      </c>
      <c r="CF69" s="106">
        <v>0.57980177707538361</v>
      </c>
      <c r="CG69" s="106">
        <v>439.72166773397089</v>
      </c>
      <c r="CH69" s="106">
        <v>1.4642504138076564</v>
      </c>
      <c r="CI69" s="106">
        <v>1110.4875138317266</v>
      </c>
      <c r="CJ69" s="106">
        <v>1.064959333849729</v>
      </c>
      <c r="CK69" s="106">
        <v>807.66515879163444</v>
      </c>
      <c r="CL69" s="106">
        <v>0</v>
      </c>
      <c r="CM69" s="106">
        <v>0</v>
      </c>
      <c r="CN69" s="106">
        <v>3.5070958342326786</v>
      </c>
      <c r="CO69" s="106">
        <v>2659.7814806820634</v>
      </c>
      <c r="CP69" s="106">
        <v>0</v>
      </c>
      <c r="CQ69" s="106">
        <v>0</v>
      </c>
      <c r="CR69" s="106">
        <v>6.4497071196895384</v>
      </c>
      <c r="CS69" s="106">
        <v>4891.4578795725456</v>
      </c>
      <c r="CT69" s="106">
        <v>4.5298207281498506</v>
      </c>
      <c r="CU69" s="106">
        <v>3435.4160402288467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7.5221824390386152</v>
      </c>
      <c r="O70" s="106">
        <v>4025.8720413734663</v>
      </c>
      <c r="P70" s="106">
        <v>4.5650342566175857</v>
      </c>
      <c r="Q70" s="106">
        <v>2443.2063341417315</v>
      </c>
      <c r="R70" s="106">
        <v>2.4549417749546194</v>
      </c>
      <c r="S70" s="106">
        <v>1313.8848379557121</v>
      </c>
      <c r="T70" s="106">
        <v>6.0728016899920778</v>
      </c>
      <c r="U70" s="106">
        <v>3250.1634644837595</v>
      </c>
      <c r="V70" s="106">
        <v>0</v>
      </c>
      <c r="W70" s="106">
        <v>0</v>
      </c>
      <c r="X70" s="106">
        <v>7.9681105500930114</v>
      </c>
      <c r="Y70" s="106">
        <v>4264.5327664097795</v>
      </c>
      <c r="Z70" s="106">
        <v>0</v>
      </c>
      <c r="AA70" s="106">
        <v>0</v>
      </c>
      <c r="AB70" s="106">
        <v>3.1550683356310243</v>
      </c>
      <c r="AC70" s="106">
        <v>1688.5925732297239</v>
      </c>
      <c r="AD70" s="106">
        <v>1.7957528560768543</v>
      </c>
      <c r="AE70" s="106">
        <v>961.08692857233234</v>
      </c>
      <c r="AF70" s="106">
        <v>3.2815562222932741</v>
      </c>
      <c r="AG70" s="106">
        <v>1756.2888901713602</v>
      </c>
      <c r="AH70" s="106">
        <v>1.5768821966341895</v>
      </c>
      <c r="AI70" s="106">
        <v>843.9473516386181</v>
      </c>
      <c r="AJ70" s="106">
        <v>0</v>
      </c>
      <c r="AK70" s="106">
        <v>0</v>
      </c>
      <c r="AL70" s="106">
        <v>6.689907448215072</v>
      </c>
      <c r="AM70" s="106">
        <v>3580.438466284706</v>
      </c>
      <c r="AN70" s="106">
        <v>0</v>
      </c>
      <c r="AO70" s="106">
        <v>0</v>
      </c>
      <c r="AP70" s="106">
        <v>7.6341416100872932</v>
      </c>
      <c r="AQ70" s="106">
        <v>4085.7925897187188</v>
      </c>
      <c r="AR70" s="106">
        <v>0</v>
      </c>
      <c r="AS70" s="106">
        <v>0</v>
      </c>
      <c r="AT70" s="106">
        <v>11.065253595760787</v>
      </c>
      <c r="AU70" s="106">
        <v>5922.1237244511722</v>
      </c>
      <c r="AV70" s="106">
        <v>0</v>
      </c>
      <c r="AW70" s="106">
        <v>0</v>
      </c>
      <c r="AX70" s="106">
        <v>4.8406633720751771</v>
      </c>
      <c r="AY70" s="106">
        <v>2590.7230367346342</v>
      </c>
      <c r="AZ70" s="106">
        <v>17.761692842911771</v>
      </c>
      <c r="BA70" s="106">
        <v>9506.0580095263776</v>
      </c>
      <c r="BB70" s="106">
        <v>4.4449217628704334</v>
      </c>
      <c r="BC70" s="106">
        <v>2378.9221274882557</v>
      </c>
      <c r="BD70" s="106">
        <v>4.8353008334284739</v>
      </c>
      <c r="BE70" s="106">
        <v>2587.8530060509188</v>
      </c>
      <c r="BF70" s="106">
        <v>0</v>
      </c>
      <c r="BG70" s="106">
        <v>0</v>
      </c>
      <c r="BH70" s="106">
        <v>1.0764115755671579</v>
      </c>
      <c r="BI70" s="106">
        <v>576.09547524354286</v>
      </c>
      <c r="BJ70" s="106">
        <v>0.70416170857853499</v>
      </c>
      <c r="BK70" s="106">
        <v>376.86734643123191</v>
      </c>
      <c r="BL70" s="106">
        <v>0.8575679440926588</v>
      </c>
      <c r="BM70" s="106">
        <v>458.97036367839092</v>
      </c>
      <c r="BN70" s="106">
        <v>0.57239941118743876</v>
      </c>
      <c r="BO70" s="106">
        <v>306.3481648675172</v>
      </c>
      <c r="BP70" s="106">
        <v>0</v>
      </c>
      <c r="BQ70" s="106">
        <v>0</v>
      </c>
      <c r="BR70" s="106">
        <v>3.0562807520341781</v>
      </c>
      <c r="BS70" s="106">
        <v>1635.721458488692</v>
      </c>
      <c r="BT70" s="106">
        <v>3.259188955996549</v>
      </c>
      <c r="BU70" s="106">
        <v>1744.3179292493528</v>
      </c>
      <c r="BV70" s="106">
        <v>0</v>
      </c>
      <c r="BW70" s="106">
        <v>0</v>
      </c>
      <c r="BX70" s="106">
        <v>0.97902927864790845</v>
      </c>
      <c r="BY70" s="106">
        <v>523.97646993236049</v>
      </c>
      <c r="BZ70" s="106">
        <v>1.3877183899049885</v>
      </c>
      <c r="CA70" s="106">
        <v>742.70688227714982</v>
      </c>
      <c r="CB70" s="106">
        <v>0.90371852808263398</v>
      </c>
      <c r="CC70" s="106">
        <v>483.67015622982564</v>
      </c>
      <c r="CD70" s="106">
        <v>0</v>
      </c>
      <c r="CE70" s="106">
        <v>0</v>
      </c>
      <c r="CF70" s="106">
        <v>0.54952636561445389</v>
      </c>
      <c r="CG70" s="106">
        <v>294.10651087685568</v>
      </c>
      <c r="CH70" s="106">
        <v>1.5548884979629527</v>
      </c>
      <c r="CI70" s="106">
        <v>832.17632410977217</v>
      </c>
      <c r="CJ70" s="106">
        <v>1.1133665762974438</v>
      </c>
      <c r="CK70" s="106">
        <v>595.87379163439186</v>
      </c>
      <c r="CL70" s="106">
        <v>0</v>
      </c>
      <c r="CM70" s="106">
        <v>0</v>
      </c>
      <c r="CN70" s="106">
        <v>3.5610511547593351</v>
      </c>
      <c r="CO70" s="106">
        <v>1905.8745780271959</v>
      </c>
      <c r="CP70" s="106">
        <v>0</v>
      </c>
      <c r="CQ70" s="106">
        <v>0</v>
      </c>
      <c r="CR70" s="106">
        <v>7.68932696259425</v>
      </c>
      <c r="CS70" s="106">
        <v>4115.3277903804419</v>
      </c>
      <c r="CT70" s="106">
        <v>4.7971635417631271</v>
      </c>
      <c r="CU70" s="106">
        <v>2567.4419275516252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2.9453726580491804</v>
      </c>
      <c r="O71" s="106">
        <v>1661.1901791397377</v>
      </c>
      <c r="P71" s="106">
        <v>3.3345457879853035</v>
      </c>
      <c r="Q71" s="106">
        <v>1880.6838244237113</v>
      </c>
      <c r="R71" s="106">
        <v>3.2171798897464177</v>
      </c>
      <c r="S71" s="106">
        <v>1814.4894578169797</v>
      </c>
      <c r="T71" s="106">
        <v>17.692995822069303</v>
      </c>
      <c r="U71" s="106">
        <v>9978.8496436470869</v>
      </c>
      <c r="V71" s="106">
        <v>0</v>
      </c>
      <c r="W71" s="106">
        <v>0</v>
      </c>
      <c r="X71" s="106">
        <v>5.9390767894633383</v>
      </c>
      <c r="Y71" s="106">
        <v>3349.6393092573226</v>
      </c>
      <c r="Z71" s="106">
        <v>6.1915441309659087</v>
      </c>
      <c r="AA71" s="106">
        <v>3492.0308898647727</v>
      </c>
      <c r="AB71" s="106">
        <v>4.1570343575643109</v>
      </c>
      <c r="AC71" s="106">
        <v>2344.5673776662716</v>
      </c>
      <c r="AD71" s="106">
        <v>6.2987223848815539</v>
      </c>
      <c r="AE71" s="106">
        <v>3552.4794250731966</v>
      </c>
      <c r="AF71" s="106">
        <v>0</v>
      </c>
      <c r="AG71" s="106">
        <v>0</v>
      </c>
      <c r="AH71" s="106">
        <v>19.112787137274083</v>
      </c>
      <c r="AI71" s="106">
        <v>10779.611945422583</v>
      </c>
      <c r="AJ71" s="106">
        <v>13.585960874568471</v>
      </c>
      <c r="AK71" s="106">
        <v>7662.4819332566176</v>
      </c>
      <c r="AL71" s="106">
        <v>0</v>
      </c>
      <c r="AM71" s="106">
        <v>0</v>
      </c>
      <c r="AN71" s="106">
        <v>10.597069394803412</v>
      </c>
      <c r="AO71" s="106">
        <v>5976.747138669125</v>
      </c>
      <c r="AP71" s="106">
        <v>7.0074354576956015</v>
      </c>
      <c r="AQ71" s="106">
        <v>3952.1935981403194</v>
      </c>
      <c r="AR71" s="106">
        <v>7.3236088774525561</v>
      </c>
      <c r="AS71" s="106">
        <v>4130.5154068832417</v>
      </c>
      <c r="AT71" s="106">
        <v>0</v>
      </c>
      <c r="AU71" s="106">
        <v>0</v>
      </c>
      <c r="AV71" s="106">
        <v>10.839657894565851</v>
      </c>
      <c r="AW71" s="106">
        <v>6113.5670525351406</v>
      </c>
      <c r="AX71" s="106">
        <v>4.081185255958748</v>
      </c>
      <c r="AY71" s="106">
        <v>2301.7884843607339</v>
      </c>
      <c r="AZ71" s="106">
        <v>2.1929787234042553</v>
      </c>
      <c r="BA71" s="106">
        <v>1236.8399999999999</v>
      </c>
      <c r="BB71" s="106">
        <v>8.0062814646935916</v>
      </c>
      <c r="BC71" s="106">
        <v>4515.5427460871861</v>
      </c>
      <c r="BD71" s="106">
        <v>4.9747243302293551</v>
      </c>
      <c r="BE71" s="106">
        <v>2805.7445222493561</v>
      </c>
      <c r="BF71" s="106">
        <v>3.7639476266349643</v>
      </c>
      <c r="BG71" s="106">
        <v>2122.8664614221198</v>
      </c>
      <c r="BH71" s="106">
        <v>6.683487060973941</v>
      </c>
      <c r="BI71" s="106">
        <v>3769.4867023893025</v>
      </c>
      <c r="BJ71" s="106">
        <v>6.4972982216142272</v>
      </c>
      <c r="BK71" s="106">
        <v>3664.4761969904243</v>
      </c>
      <c r="BL71" s="106">
        <v>0</v>
      </c>
      <c r="BM71" s="106">
        <v>0</v>
      </c>
      <c r="BN71" s="106">
        <v>5.7560943639428048</v>
      </c>
      <c r="BO71" s="106">
        <v>3246.4372212637418</v>
      </c>
      <c r="BP71" s="106">
        <v>2.763646956583977</v>
      </c>
      <c r="BQ71" s="106">
        <v>1558.696883513363</v>
      </c>
      <c r="BR71" s="106">
        <v>5.3419905767716678</v>
      </c>
      <c r="BS71" s="106">
        <v>3012.8826852992206</v>
      </c>
      <c r="BT71" s="106">
        <v>1.8198907956318253</v>
      </c>
      <c r="BU71" s="106">
        <v>1026.4184087363494</v>
      </c>
      <c r="BV71" s="106">
        <v>0</v>
      </c>
      <c r="BW71" s="106">
        <v>0</v>
      </c>
      <c r="BX71" s="106">
        <v>4.1878591011395567</v>
      </c>
      <c r="BY71" s="106">
        <v>2361.95253304271</v>
      </c>
      <c r="BZ71" s="106">
        <v>3.8739726027397263</v>
      </c>
      <c r="CA71" s="106">
        <v>2184.9205479452057</v>
      </c>
      <c r="CB71" s="106">
        <v>0</v>
      </c>
      <c r="CC71" s="106">
        <v>0</v>
      </c>
      <c r="CD71" s="106">
        <v>4.6794860343507061</v>
      </c>
      <c r="CE71" s="106">
        <v>2639.2301233737981</v>
      </c>
      <c r="CF71" s="106">
        <v>6.312425007577378</v>
      </c>
      <c r="CG71" s="106">
        <v>3560.2077042736414</v>
      </c>
      <c r="CH71" s="106">
        <v>8.5260974347590768</v>
      </c>
      <c r="CI71" s="106">
        <v>4808.7189532041193</v>
      </c>
      <c r="CJ71" s="106">
        <v>6.7084740203001054</v>
      </c>
      <c r="CK71" s="106">
        <v>3783.5793474492593</v>
      </c>
      <c r="CL71" s="106">
        <v>7.3282573289902277</v>
      </c>
      <c r="CM71" s="106">
        <v>4133.1371335504882</v>
      </c>
      <c r="CN71" s="106">
        <v>0</v>
      </c>
      <c r="CO71" s="106">
        <v>0</v>
      </c>
      <c r="CP71" s="106">
        <v>1.0540863292427709</v>
      </c>
      <c r="CQ71" s="106">
        <v>594.50468969292274</v>
      </c>
      <c r="CR71" s="106">
        <v>1.1146126777093863</v>
      </c>
      <c r="CS71" s="106">
        <v>628.64155022809393</v>
      </c>
      <c r="CT71" s="106">
        <v>0.96301646922854667</v>
      </c>
      <c r="CU71" s="106">
        <v>543.14128864490033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3.6399760963995855</v>
      </c>
      <c r="O72" s="106">
        <v>270.81422157212916</v>
      </c>
      <c r="P72" s="106">
        <v>3.0159785631981118</v>
      </c>
      <c r="Q72" s="106">
        <v>224.38880510193948</v>
      </c>
      <c r="R72" s="106">
        <v>3.0827092554557129</v>
      </c>
      <c r="S72" s="106">
        <v>229.35356860590502</v>
      </c>
      <c r="T72" s="106">
        <v>20.518960432538705</v>
      </c>
      <c r="U72" s="106">
        <v>1526.6106561808795</v>
      </c>
      <c r="V72" s="106">
        <v>0</v>
      </c>
      <c r="W72" s="106">
        <v>0</v>
      </c>
      <c r="X72" s="106">
        <v>6.7956657229713269</v>
      </c>
      <c r="Y72" s="106">
        <v>505.59752978906664</v>
      </c>
      <c r="Z72" s="106">
        <v>6.2977363251282306</v>
      </c>
      <c r="AA72" s="106">
        <v>468.55158258954032</v>
      </c>
      <c r="AB72" s="106">
        <v>4.5300825820501007</v>
      </c>
      <c r="AC72" s="106">
        <v>337.03814410452748</v>
      </c>
      <c r="AD72" s="106">
        <v>7.8068671812616452</v>
      </c>
      <c r="AE72" s="106">
        <v>580.83091828586635</v>
      </c>
      <c r="AF72" s="106">
        <v>0</v>
      </c>
      <c r="AG72" s="106">
        <v>0</v>
      </c>
      <c r="AH72" s="106">
        <v>21.314302642697793</v>
      </c>
      <c r="AI72" s="106">
        <v>1585.7841166167157</v>
      </c>
      <c r="AJ72" s="106">
        <v>13.801611047180669</v>
      </c>
      <c r="AK72" s="106">
        <v>1026.8398619102418</v>
      </c>
      <c r="AL72" s="106">
        <v>0</v>
      </c>
      <c r="AM72" s="106">
        <v>0</v>
      </c>
      <c r="AN72" s="106">
        <v>11.760650146949715</v>
      </c>
      <c r="AO72" s="106">
        <v>874.99237093305862</v>
      </c>
      <c r="AP72" s="106">
        <v>7.9385311100496887</v>
      </c>
      <c r="AQ72" s="106">
        <v>590.62671458769682</v>
      </c>
      <c r="AR72" s="106">
        <v>7.4140238018655502</v>
      </c>
      <c r="AS72" s="106">
        <v>551.60337085879689</v>
      </c>
      <c r="AT72" s="106">
        <v>0</v>
      </c>
      <c r="AU72" s="106">
        <v>0</v>
      </c>
      <c r="AV72" s="106">
        <v>10.91436694222164</v>
      </c>
      <c r="AW72" s="106">
        <v>812.02890050128997</v>
      </c>
      <c r="AX72" s="106">
        <v>4.776972942141092</v>
      </c>
      <c r="AY72" s="106">
        <v>355.40678689529722</v>
      </c>
      <c r="AZ72" s="106">
        <v>2.1929787234042553</v>
      </c>
      <c r="BA72" s="106">
        <v>163.15761702127656</v>
      </c>
      <c r="BB72" s="106">
        <v>8.6221492696700235</v>
      </c>
      <c r="BC72" s="106">
        <v>641.48790566344962</v>
      </c>
      <c r="BD72" s="106">
        <v>4.9662163050384329</v>
      </c>
      <c r="BE72" s="106">
        <v>369.48649309485938</v>
      </c>
      <c r="BF72" s="106">
        <v>4.1403423892984605</v>
      </c>
      <c r="BG72" s="106">
        <v>308.04147376380541</v>
      </c>
      <c r="BH72" s="106">
        <v>7.6008284222840894</v>
      </c>
      <c r="BI72" s="106">
        <v>565.50163461793613</v>
      </c>
      <c r="BJ72" s="106">
        <v>7.3522058823529406</v>
      </c>
      <c r="BK72" s="106">
        <v>547.00411764705871</v>
      </c>
      <c r="BL72" s="106">
        <v>0</v>
      </c>
      <c r="BM72" s="106">
        <v>0</v>
      </c>
      <c r="BN72" s="106">
        <v>5.8280455434920899</v>
      </c>
      <c r="BO72" s="106">
        <v>433.60658843581143</v>
      </c>
      <c r="BP72" s="106">
        <v>2.9818296172226333</v>
      </c>
      <c r="BQ72" s="106">
        <v>221.8481235213639</v>
      </c>
      <c r="BR72" s="106">
        <v>5.762874630326869</v>
      </c>
      <c r="BS72" s="106">
        <v>428.75787249631901</v>
      </c>
      <c r="BT72" s="106">
        <v>1.9498829953198129</v>
      </c>
      <c r="BU72" s="106">
        <v>145.07129485179405</v>
      </c>
      <c r="BV72" s="106">
        <v>0</v>
      </c>
      <c r="BW72" s="106">
        <v>0</v>
      </c>
      <c r="BX72" s="106">
        <v>4.3703608162537684</v>
      </c>
      <c r="BY72" s="106">
        <v>325.15484472928034</v>
      </c>
      <c r="BZ72" s="106">
        <v>4.4273972602739731</v>
      </c>
      <c r="CA72" s="106">
        <v>329.39835616438359</v>
      </c>
      <c r="CB72" s="106">
        <v>0</v>
      </c>
      <c r="CC72" s="106">
        <v>0</v>
      </c>
      <c r="CD72" s="106">
        <v>5.8176284546754813</v>
      </c>
      <c r="CE72" s="106">
        <v>432.83155702785575</v>
      </c>
      <c r="CF72" s="106">
        <v>6.5754427162264344</v>
      </c>
      <c r="CG72" s="106">
        <v>489.21293808724664</v>
      </c>
      <c r="CH72" s="106">
        <v>9.6859972796920566</v>
      </c>
      <c r="CI72" s="106">
        <v>720.63819760908893</v>
      </c>
      <c r="CJ72" s="106">
        <v>9.0113830123434244</v>
      </c>
      <c r="CK72" s="106">
        <v>670.44689611835065</v>
      </c>
      <c r="CL72" s="106">
        <v>8.5496335504885987</v>
      </c>
      <c r="CM72" s="106">
        <v>636.09273615635163</v>
      </c>
      <c r="CN72" s="106">
        <v>0</v>
      </c>
      <c r="CO72" s="106">
        <v>0</v>
      </c>
      <c r="CP72" s="106">
        <v>1.1777134634893927</v>
      </c>
      <c r="CQ72" s="106">
        <v>87.621881683610809</v>
      </c>
      <c r="CR72" s="106">
        <v>1.0508099837829128</v>
      </c>
      <c r="CS72" s="106">
        <v>78.180262793448705</v>
      </c>
      <c r="CT72" s="106">
        <v>1.011167292689974</v>
      </c>
      <c r="CU72" s="106">
        <v>75.230846576134056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3.0665013345197525</v>
      </c>
      <c r="O73" s="106">
        <v>1714.7875462634454</v>
      </c>
      <c r="P73" s="106">
        <v>3.3110729648656716</v>
      </c>
      <c r="Q73" s="106">
        <v>1851.5520019528833</v>
      </c>
      <c r="R73" s="106">
        <v>3.0434896353450642</v>
      </c>
      <c r="S73" s="106">
        <v>1701.9194040849598</v>
      </c>
      <c r="T73" s="106">
        <v>17.570127795527156</v>
      </c>
      <c r="U73" s="106">
        <v>9825.2154632587844</v>
      </c>
      <c r="V73" s="106">
        <v>0</v>
      </c>
      <c r="W73" s="106">
        <v>0</v>
      </c>
      <c r="X73" s="106">
        <v>5.4853287258155587</v>
      </c>
      <c r="Y73" s="106">
        <v>3067.3958234760603</v>
      </c>
      <c r="Z73" s="106">
        <v>5.5163510395065822</v>
      </c>
      <c r="AA73" s="106">
        <v>3084.7435012920805</v>
      </c>
      <c r="AB73" s="106">
        <v>3.8077656389543515</v>
      </c>
      <c r="AC73" s="106">
        <v>2129.3025453032733</v>
      </c>
      <c r="AD73" s="106">
        <v>6.0325791855203628</v>
      </c>
      <c r="AE73" s="106">
        <v>3373.4182805429864</v>
      </c>
      <c r="AF73" s="106">
        <v>0</v>
      </c>
      <c r="AG73" s="106">
        <v>0</v>
      </c>
      <c r="AH73" s="106">
        <v>19.380150439037802</v>
      </c>
      <c r="AI73" s="106">
        <v>10837.380125509937</v>
      </c>
      <c r="AJ73" s="106">
        <v>12.292059838895286</v>
      </c>
      <c r="AK73" s="106">
        <v>6873.7198619102428</v>
      </c>
      <c r="AL73" s="106">
        <v>0</v>
      </c>
      <c r="AM73" s="106">
        <v>0</v>
      </c>
      <c r="AN73" s="106">
        <v>10.448055966754714</v>
      </c>
      <c r="AO73" s="106">
        <v>5842.5528966092352</v>
      </c>
      <c r="AP73" s="106">
        <v>8.4668368124289746</v>
      </c>
      <c r="AQ73" s="106">
        <v>4734.6551455102817</v>
      </c>
      <c r="AR73" s="106">
        <v>7.7756834995175286</v>
      </c>
      <c r="AS73" s="106">
        <v>4348.1622129302013</v>
      </c>
      <c r="AT73" s="106">
        <v>0</v>
      </c>
      <c r="AU73" s="106">
        <v>0</v>
      </c>
      <c r="AV73" s="106">
        <v>10.658093320761145</v>
      </c>
      <c r="AW73" s="106">
        <v>5960.0057849696313</v>
      </c>
      <c r="AX73" s="106">
        <v>4.2819827480168424</v>
      </c>
      <c r="AY73" s="106">
        <v>2394.484752691018</v>
      </c>
      <c r="AZ73" s="106">
        <v>2.1929787234042553</v>
      </c>
      <c r="BA73" s="106">
        <v>1226.3137021276593</v>
      </c>
      <c r="BB73" s="106">
        <v>8.3142153671818075</v>
      </c>
      <c r="BC73" s="106">
        <v>4649.3092333280665</v>
      </c>
      <c r="BD73" s="106">
        <v>5.1342360665526536</v>
      </c>
      <c r="BE73" s="106">
        <v>2871.0648084162435</v>
      </c>
      <c r="BF73" s="106">
        <v>4.3634104452076734</v>
      </c>
      <c r="BG73" s="106">
        <v>2440.0191209601307</v>
      </c>
      <c r="BH73" s="106">
        <v>6.9455845927768394</v>
      </c>
      <c r="BI73" s="106">
        <v>3883.9709042808081</v>
      </c>
      <c r="BJ73" s="106">
        <v>7.1812243502051984</v>
      </c>
      <c r="BK73" s="106">
        <v>4015.7406566347463</v>
      </c>
      <c r="BL73" s="106">
        <v>0</v>
      </c>
      <c r="BM73" s="106">
        <v>0</v>
      </c>
      <c r="BN73" s="106">
        <v>6.2597526207877996</v>
      </c>
      <c r="BO73" s="106">
        <v>3500.4536655445372</v>
      </c>
      <c r="BP73" s="106">
        <v>2.8675434728174807</v>
      </c>
      <c r="BQ73" s="106">
        <v>1603.5303099995349</v>
      </c>
      <c r="BR73" s="106">
        <v>5.7874249593483462</v>
      </c>
      <c r="BS73" s="106">
        <v>3236.3280372675949</v>
      </c>
      <c r="BT73" s="106">
        <v>1.8198907956318253</v>
      </c>
      <c r="BU73" s="106">
        <v>1017.6829329173166</v>
      </c>
      <c r="BV73" s="106">
        <v>0</v>
      </c>
      <c r="BW73" s="106">
        <v>0</v>
      </c>
      <c r="BX73" s="106">
        <v>4.6453945955496678</v>
      </c>
      <c r="BY73" s="106">
        <v>2597.7046578313739</v>
      </c>
      <c r="BZ73" s="106">
        <v>3.8739726027397263</v>
      </c>
      <c r="CA73" s="106">
        <v>2166.3254794520549</v>
      </c>
      <c r="CB73" s="106">
        <v>0</v>
      </c>
      <c r="CC73" s="106">
        <v>0</v>
      </c>
      <c r="CD73" s="106">
        <v>5.3022791412715762</v>
      </c>
      <c r="CE73" s="106">
        <v>2965.0344957990651</v>
      </c>
      <c r="CF73" s="106">
        <v>6.4439338619019058</v>
      </c>
      <c r="CG73" s="106">
        <v>3603.4478155755451</v>
      </c>
      <c r="CH73" s="106">
        <v>8.7903117489941103</v>
      </c>
      <c r="CI73" s="106">
        <v>4915.542330037506</v>
      </c>
      <c r="CJ73" s="106">
        <v>7.409359365704594</v>
      </c>
      <c r="CK73" s="106">
        <v>4143.3137573020085</v>
      </c>
      <c r="CL73" s="106">
        <v>6.9211319218241041</v>
      </c>
      <c r="CM73" s="106">
        <v>3870.2969706840386</v>
      </c>
      <c r="CN73" s="106">
        <v>0</v>
      </c>
      <c r="CO73" s="106">
        <v>0</v>
      </c>
      <c r="CP73" s="106">
        <v>1.0310285635683545</v>
      </c>
      <c r="CQ73" s="106">
        <v>576.55117274742372</v>
      </c>
      <c r="CR73" s="106">
        <v>1.1290568023505123</v>
      </c>
      <c r="CS73" s="106">
        <v>631.36856387440639</v>
      </c>
      <c r="CT73" s="106">
        <v>0.91486564576711937</v>
      </c>
      <c r="CU73" s="106">
        <v>511.59286911297312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3.1258080385181159</v>
      </c>
      <c r="O74" s="106">
        <v>1260.3258011305043</v>
      </c>
      <c r="P74" s="106">
        <v>3.1823040225275974</v>
      </c>
      <c r="Q74" s="106">
        <v>1283.1049818831273</v>
      </c>
      <c r="R74" s="106">
        <v>3.1779602696357689</v>
      </c>
      <c r="S74" s="106">
        <v>1281.353580717142</v>
      </c>
      <c r="T74" s="106">
        <v>18.921676087490781</v>
      </c>
      <c r="U74" s="106">
        <v>7629.2197984762824</v>
      </c>
      <c r="V74" s="106">
        <v>0</v>
      </c>
      <c r="W74" s="106">
        <v>0</v>
      </c>
      <c r="X74" s="106">
        <v>5.5517327573855422</v>
      </c>
      <c r="Y74" s="106">
        <v>2238.4586477778507</v>
      </c>
      <c r="Z74" s="106">
        <v>5.6589110468657289</v>
      </c>
      <c r="AA74" s="106">
        <v>2281.672934096262</v>
      </c>
      <c r="AB74" s="106">
        <v>4.6623584921706414</v>
      </c>
      <c r="AC74" s="106">
        <v>1879.8629440432026</v>
      </c>
      <c r="AD74" s="106">
        <v>7.0084375831780674</v>
      </c>
      <c r="AE74" s="106">
        <v>2825.8020335373967</v>
      </c>
      <c r="AF74" s="106">
        <v>0</v>
      </c>
      <c r="AG74" s="106">
        <v>0</v>
      </c>
      <c r="AH74" s="106">
        <v>19.271751151152642</v>
      </c>
      <c r="AI74" s="106">
        <v>7770.3700641447449</v>
      </c>
      <c r="AJ74" s="106">
        <v>12.939010356731877</v>
      </c>
      <c r="AK74" s="106">
        <v>5217.0089758342929</v>
      </c>
      <c r="AL74" s="106">
        <v>0</v>
      </c>
      <c r="AM74" s="106">
        <v>0</v>
      </c>
      <c r="AN74" s="106">
        <v>10.975645665565661</v>
      </c>
      <c r="AO74" s="106">
        <v>4425.3803323560742</v>
      </c>
      <c r="AP74" s="106">
        <v>8.7096204542797828</v>
      </c>
      <c r="AQ74" s="106">
        <v>3511.7189671656083</v>
      </c>
      <c r="AR74" s="106">
        <v>7.2331939530395619</v>
      </c>
      <c r="AS74" s="106">
        <v>2916.4238018655515</v>
      </c>
      <c r="AT74" s="106">
        <v>0</v>
      </c>
      <c r="AU74" s="106">
        <v>0</v>
      </c>
      <c r="AV74" s="106">
        <v>10.725678666673673</v>
      </c>
      <c r="AW74" s="106">
        <v>4324.5936384028246</v>
      </c>
      <c r="AX74" s="106">
        <v>4.3626310151570005</v>
      </c>
      <c r="AY74" s="106">
        <v>1759.0128253113025</v>
      </c>
      <c r="AZ74" s="106">
        <v>2.2926595744680851</v>
      </c>
      <c r="BA74" s="106">
        <v>924.40034042553191</v>
      </c>
      <c r="BB74" s="106">
        <v>7.6983475622053774</v>
      </c>
      <c r="BC74" s="106">
        <v>3103.9737370812081</v>
      </c>
      <c r="BD74" s="106">
        <v>5.3192718784487161</v>
      </c>
      <c r="BE74" s="106">
        <v>2144.7304213905222</v>
      </c>
      <c r="BF74" s="106">
        <v>4.3285397706302087</v>
      </c>
      <c r="BG74" s="106">
        <v>1745.2672355181001</v>
      </c>
      <c r="BH74" s="106">
        <v>7.076633358678289</v>
      </c>
      <c r="BI74" s="106">
        <v>2853.2985702190858</v>
      </c>
      <c r="BJ74" s="106">
        <v>6.4972982216142272</v>
      </c>
      <c r="BK74" s="106">
        <v>2619.7106429548562</v>
      </c>
      <c r="BL74" s="106">
        <v>0</v>
      </c>
      <c r="BM74" s="106">
        <v>0</v>
      </c>
      <c r="BN74" s="106">
        <v>5.4682896457456645</v>
      </c>
      <c r="BO74" s="106">
        <v>2204.8143851646519</v>
      </c>
      <c r="BP74" s="106">
        <v>3.1844278356038163</v>
      </c>
      <c r="BQ74" s="106">
        <v>1283.9613033154587</v>
      </c>
      <c r="BR74" s="106">
        <v>6.0516474423708289</v>
      </c>
      <c r="BS74" s="106">
        <v>2440.024248763918</v>
      </c>
      <c r="BT74" s="106">
        <v>1.8848868954758191</v>
      </c>
      <c r="BU74" s="106">
        <v>759.9863962558502</v>
      </c>
      <c r="BV74" s="106">
        <v>0</v>
      </c>
      <c r="BW74" s="106">
        <v>0</v>
      </c>
      <c r="BX74" s="106">
        <v>4.219348478965939</v>
      </c>
      <c r="BY74" s="106">
        <v>1701.2413067190666</v>
      </c>
      <c r="BZ74" s="106">
        <v>3.5972602739726032</v>
      </c>
      <c r="CA74" s="106">
        <v>1450.4153424657536</v>
      </c>
      <c r="CB74" s="106">
        <v>0</v>
      </c>
      <c r="CC74" s="106">
        <v>0</v>
      </c>
      <c r="CD74" s="106">
        <v>5.0986875953162194</v>
      </c>
      <c r="CE74" s="106">
        <v>2055.7908384314997</v>
      </c>
      <c r="CF74" s="106">
        <v>6.5754427162264344</v>
      </c>
      <c r="CG74" s="106">
        <v>2651.2185031824984</v>
      </c>
      <c r="CH74" s="106">
        <v>8.624611771146542</v>
      </c>
      <c r="CI74" s="106">
        <v>3477.4434661262858</v>
      </c>
      <c r="CJ74" s="106">
        <v>7.0088534540448864</v>
      </c>
      <c r="CK74" s="106">
        <v>2825.9697126708979</v>
      </c>
      <c r="CL74" s="106">
        <v>7.6336013843648205</v>
      </c>
      <c r="CM74" s="106">
        <v>3077.8680781758953</v>
      </c>
      <c r="CN74" s="106">
        <v>0</v>
      </c>
      <c r="CO74" s="106">
        <v>0</v>
      </c>
      <c r="CP74" s="106">
        <v>1.1171240382040959</v>
      </c>
      <c r="CQ74" s="106">
        <v>450.42441220389145</v>
      </c>
      <c r="CR74" s="106">
        <v>1.0905899441867637</v>
      </c>
      <c r="CS74" s="106">
        <v>439.7258654961031</v>
      </c>
      <c r="CT74" s="106">
        <v>0.86671482230569208</v>
      </c>
      <c r="CU74" s="106">
        <v>349.45941635365506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3.0902240161190981</v>
      </c>
      <c r="O75" s="106">
        <v>1987.6320871678038</v>
      </c>
      <c r="P75" s="106">
        <v>2.940865529215289</v>
      </c>
      <c r="Q75" s="106">
        <v>1891.5647083912736</v>
      </c>
      <c r="R75" s="106">
        <v>2.8541115328994517</v>
      </c>
      <c r="S75" s="106">
        <v>1835.7645379609271</v>
      </c>
      <c r="T75" s="106">
        <v>17.078655689358566</v>
      </c>
      <c r="U75" s="106">
        <v>10984.991339395428</v>
      </c>
      <c r="V75" s="106">
        <v>0</v>
      </c>
      <c r="W75" s="106">
        <v>0</v>
      </c>
      <c r="X75" s="106">
        <v>5.4801631132214208</v>
      </c>
      <c r="Y75" s="106">
        <v>3524.8409144240177</v>
      </c>
      <c r="Z75" s="106">
        <v>5.8576649816549864</v>
      </c>
      <c r="AA75" s="106">
        <v>3767.650116200487</v>
      </c>
      <c r="AB75" s="106">
        <v>3.7535174368319959</v>
      </c>
      <c r="AC75" s="106">
        <v>2414.2624153703396</v>
      </c>
      <c r="AD75" s="106">
        <v>5.9438647857332985</v>
      </c>
      <c r="AE75" s="106">
        <v>3823.0938301836572</v>
      </c>
      <c r="AF75" s="106">
        <v>0</v>
      </c>
      <c r="AG75" s="106">
        <v>0</v>
      </c>
      <c r="AH75" s="106">
        <v>16.814916709285786</v>
      </c>
      <c r="AI75" s="106">
        <v>10815.354427412616</v>
      </c>
      <c r="AJ75" s="106">
        <v>14.017261219792868</v>
      </c>
      <c r="AK75" s="106">
        <v>9015.9024165707724</v>
      </c>
      <c r="AL75" s="106">
        <v>0</v>
      </c>
      <c r="AM75" s="106">
        <v>0</v>
      </c>
      <c r="AN75" s="106">
        <v>10.425234628960101</v>
      </c>
      <c r="AO75" s="106">
        <v>6705.5109133471369</v>
      </c>
      <c r="AP75" s="106">
        <v>7.3688367408069944</v>
      </c>
      <c r="AQ75" s="106">
        <v>4739.6357916870584</v>
      </c>
      <c r="AR75" s="106">
        <v>6.8715342553875836</v>
      </c>
      <c r="AS75" s="106">
        <v>4419.7708330652931</v>
      </c>
      <c r="AT75" s="106">
        <v>0</v>
      </c>
      <c r="AU75" s="106">
        <v>0</v>
      </c>
      <c r="AV75" s="106">
        <v>10.287840471408471</v>
      </c>
      <c r="AW75" s="106">
        <v>6617.1389912099276</v>
      </c>
      <c r="AX75" s="106">
        <v>4.1391511979657372</v>
      </c>
      <c r="AY75" s="106">
        <v>2662.3020505315617</v>
      </c>
      <c r="AZ75" s="106">
        <v>2.3923404255319149</v>
      </c>
      <c r="BA75" s="106">
        <v>1538.7533617021274</v>
      </c>
      <c r="BB75" s="106">
        <v>7.6983475622053774</v>
      </c>
      <c r="BC75" s="106">
        <v>4951.5771520104981</v>
      </c>
      <c r="BD75" s="106">
        <v>4.9832323554202764</v>
      </c>
      <c r="BE75" s="106">
        <v>3205.2150510063216</v>
      </c>
      <c r="BF75" s="106">
        <v>4.1403423892984605</v>
      </c>
      <c r="BG75" s="106">
        <v>2663.0682247967698</v>
      </c>
      <c r="BH75" s="106">
        <v>7.9939747199884383</v>
      </c>
      <c r="BI75" s="106">
        <v>5141.7245398965633</v>
      </c>
      <c r="BJ75" s="106">
        <v>6.4972982216142272</v>
      </c>
      <c r="BK75" s="106">
        <v>4179.0622161422707</v>
      </c>
      <c r="BL75" s="106">
        <v>0</v>
      </c>
      <c r="BM75" s="106">
        <v>0</v>
      </c>
      <c r="BN75" s="106">
        <v>6.1158502616892294</v>
      </c>
      <c r="BO75" s="106">
        <v>3933.7148883185118</v>
      </c>
      <c r="BP75" s="106">
        <v>3.2675450954940226</v>
      </c>
      <c r="BQ75" s="106">
        <v>2101.6850054217552</v>
      </c>
      <c r="BR75" s="106">
        <v>5.9195362008595884</v>
      </c>
      <c r="BS75" s="106">
        <v>3807.445684392887</v>
      </c>
      <c r="BT75" s="106">
        <v>1.9498829953198129</v>
      </c>
      <c r="BU75" s="106">
        <v>1254.1647425897036</v>
      </c>
      <c r="BV75" s="106">
        <v>0</v>
      </c>
      <c r="BW75" s="106">
        <v>0</v>
      </c>
      <c r="BX75" s="106">
        <v>4.0683361416781114</v>
      </c>
      <c r="BY75" s="106">
        <v>2616.753806327361</v>
      </c>
      <c r="BZ75" s="106">
        <v>4.0123287671232877</v>
      </c>
      <c r="CA75" s="106">
        <v>2580.7298630136984</v>
      </c>
      <c r="CB75" s="106">
        <v>0</v>
      </c>
      <c r="CC75" s="106">
        <v>0</v>
      </c>
      <c r="CD75" s="106">
        <v>4.8710591112512649</v>
      </c>
      <c r="CE75" s="106">
        <v>3133.0652203568134</v>
      </c>
      <c r="CF75" s="106">
        <v>6.4439338619019058</v>
      </c>
      <c r="CG75" s="106">
        <v>4144.7382599753055</v>
      </c>
      <c r="CH75" s="106">
        <v>7.8052211088780643</v>
      </c>
      <c r="CI75" s="106">
        <v>5020.3182172303705</v>
      </c>
      <c r="CJ75" s="106">
        <v>7.3092328877896673</v>
      </c>
      <c r="CK75" s="106">
        <v>4701.2985934263133</v>
      </c>
      <c r="CL75" s="106">
        <v>7.2264759771986968</v>
      </c>
      <c r="CM75" s="106">
        <v>4648.0693485342017</v>
      </c>
      <c r="CN75" s="106">
        <v>0</v>
      </c>
      <c r="CO75" s="106">
        <v>0</v>
      </c>
      <c r="CP75" s="106">
        <v>1.0815941671579792</v>
      </c>
      <c r="CQ75" s="106">
        <v>695.68136831601214</v>
      </c>
      <c r="CR75" s="106">
        <v>1.0175955345795735</v>
      </c>
      <c r="CS75" s="106">
        <v>654.51744784158166</v>
      </c>
      <c r="CT75" s="106">
        <v>0.86671482230569208</v>
      </c>
      <c r="CU75" s="106">
        <v>557.47097370702113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3.0309173121207351</v>
      </c>
      <c r="O76" s="106">
        <v>2360.4784026796283</v>
      </c>
      <c r="P76" s="106">
        <v>3.0837181654251427</v>
      </c>
      <c r="Q76" s="106">
        <v>2401.5997072331011</v>
      </c>
      <c r="R76" s="106">
        <v>2.877643304965841</v>
      </c>
      <c r="S76" s="106">
        <v>2241.1086059073968</v>
      </c>
      <c r="T76" s="106">
        <v>17.447259768985006</v>
      </c>
      <c r="U76" s="106">
        <v>13587.925908085523</v>
      </c>
      <c r="V76" s="106">
        <v>0</v>
      </c>
      <c r="W76" s="106">
        <v>0</v>
      </c>
      <c r="X76" s="106">
        <v>4.9703422431919373</v>
      </c>
      <c r="Y76" s="106">
        <v>3870.9025389978806</v>
      </c>
      <c r="Z76" s="106">
        <v>5.157689247404055</v>
      </c>
      <c r="AA76" s="106">
        <v>4016.8083858782779</v>
      </c>
      <c r="AB76" s="106">
        <v>3.6903519200062052</v>
      </c>
      <c r="AC76" s="106">
        <v>2874.0460753008324</v>
      </c>
      <c r="AD76" s="106">
        <v>6.2100079850944896</v>
      </c>
      <c r="AE76" s="106">
        <v>4836.3542187915882</v>
      </c>
      <c r="AF76" s="106">
        <v>0</v>
      </c>
      <c r="AG76" s="106">
        <v>0</v>
      </c>
      <c r="AH76" s="106">
        <v>16.145314822520941</v>
      </c>
      <c r="AI76" s="106">
        <v>12573.971183779307</v>
      </c>
      <c r="AJ76" s="106">
        <v>12.292059838895286</v>
      </c>
      <c r="AK76" s="106">
        <v>9573.0562025316485</v>
      </c>
      <c r="AL76" s="106">
        <v>0</v>
      </c>
      <c r="AM76" s="106">
        <v>0</v>
      </c>
      <c r="AN76" s="106">
        <v>9.3764352981705716</v>
      </c>
      <c r="AO76" s="106">
        <v>7302.3678102152408</v>
      </c>
      <c r="AP76" s="106">
        <v>7.709543690486683</v>
      </c>
      <c r="AQ76" s="106">
        <v>6004.192626151028</v>
      </c>
      <c r="AR76" s="106">
        <v>6.8715342553875836</v>
      </c>
      <c r="AS76" s="106">
        <v>5351.5508780958498</v>
      </c>
      <c r="AT76" s="106">
        <v>0</v>
      </c>
      <c r="AU76" s="106">
        <v>0</v>
      </c>
      <c r="AV76" s="106">
        <v>8.9341378836979572</v>
      </c>
      <c r="AW76" s="106">
        <v>6957.9065838239685</v>
      </c>
      <c r="AX76" s="106">
        <v>4.4234085177666289</v>
      </c>
      <c r="AY76" s="106">
        <v>3444.9505536366505</v>
      </c>
      <c r="AZ76" s="106">
        <v>2.2926595744680851</v>
      </c>
      <c r="BA76" s="106">
        <v>1785.5232765957446</v>
      </c>
      <c r="BB76" s="106">
        <v>8.0062814646935916</v>
      </c>
      <c r="BC76" s="106">
        <v>6235.2920047033685</v>
      </c>
      <c r="BD76" s="106">
        <v>5.1427440917435749</v>
      </c>
      <c r="BE76" s="106">
        <v>4005.1690986498961</v>
      </c>
      <c r="BF76" s="106">
        <v>4.1403423892984605</v>
      </c>
      <c r="BG76" s="106">
        <v>3224.4986527856408</v>
      </c>
      <c r="BH76" s="106">
        <v>7.731877188185539</v>
      </c>
      <c r="BI76" s="106">
        <v>6021.585954158897</v>
      </c>
      <c r="BJ76" s="106">
        <v>5.9843536251709981</v>
      </c>
      <c r="BK76" s="106">
        <v>4660.614603283173</v>
      </c>
      <c r="BL76" s="106">
        <v>0</v>
      </c>
      <c r="BM76" s="106">
        <v>0</v>
      </c>
      <c r="BN76" s="106">
        <v>5.108533747999239</v>
      </c>
      <c r="BO76" s="106">
        <v>3978.5260829418071</v>
      </c>
      <c r="BP76" s="106">
        <v>3.1740382074321678</v>
      </c>
      <c r="BQ76" s="106">
        <v>2471.9409559481724</v>
      </c>
      <c r="BR76" s="106">
        <v>5.3542657412824068</v>
      </c>
      <c r="BS76" s="106">
        <v>4169.9021593107382</v>
      </c>
      <c r="BT76" s="106">
        <v>1.8848868954758191</v>
      </c>
      <c r="BU76" s="106">
        <v>1467.9499141965678</v>
      </c>
      <c r="BV76" s="106">
        <v>0</v>
      </c>
      <c r="BW76" s="106">
        <v>0</v>
      </c>
      <c r="BX76" s="106">
        <v>3.7978008449288385</v>
      </c>
      <c r="BY76" s="106">
        <v>2957.7272980305793</v>
      </c>
      <c r="BZ76" s="106">
        <v>3.7356164383561645</v>
      </c>
      <c r="CA76" s="106">
        <v>2909.2980821917808</v>
      </c>
      <c r="CB76" s="106">
        <v>0</v>
      </c>
      <c r="CC76" s="106">
        <v>0</v>
      </c>
      <c r="CD76" s="106">
        <v>4.9011052838882616</v>
      </c>
      <c r="CE76" s="106">
        <v>3816.9807950921781</v>
      </c>
      <c r="CF76" s="106">
        <v>6.5754427162264344</v>
      </c>
      <c r="CG76" s="106">
        <v>5120.9547873971469</v>
      </c>
      <c r="CH76" s="106">
        <v>8.6917974126066468</v>
      </c>
      <c r="CI76" s="106">
        <v>6769.1718249380565</v>
      </c>
      <c r="CJ76" s="106">
        <v>7.409359365704594</v>
      </c>
      <c r="CK76" s="106">
        <v>5770.4090740107376</v>
      </c>
      <c r="CL76" s="106">
        <v>6.2086624592833877</v>
      </c>
      <c r="CM76" s="106">
        <v>4835.3063232899021</v>
      </c>
      <c r="CN76" s="106">
        <v>0</v>
      </c>
      <c r="CO76" s="106">
        <v>0</v>
      </c>
      <c r="CP76" s="106">
        <v>0.97300276545486553</v>
      </c>
      <c r="CQ76" s="106">
        <v>757.77455373624923</v>
      </c>
      <c r="CR76" s="106">
        <v>1.0084038188988571</v>
      </c>
      <c r="CS76" s="106">
        <v>785.34489415842984</v>
      </c>
      <c r="CT76" s="106">
        <v>0.91486564576711937</v>
      </c>
      <c r="CU76" s="106">
        <v>712.49736492343254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3.0902240161190981</v>
      </c>
      <c r="O77" s="106">
        <v>860.3183660875568</v>
      </c>
      <c r="P77" s="106">
        <v>3.1635257640318919</v>
      </c>
      <c r="Q77" s="106">
        <v>880.7255727064786</v>
      </c>
      <c r="R77" s="106">
        <v>3.0591774833893237</v>
      </c>
      <c r="S77" s="106">
        <v>851.6750113755877</v>
      </c>
      <c r="T77" s="106">
        <v>18.184467928237897</v>
      </c>
      <c r="U77" s="106">
        <v>5062.5558712214297</v>
      </c>
      <c r="V77" s="106">
        <v>0</v>
      </c>
      <c r="W77" s="106">
        <v>0</v>
      </c>
      <c r="X77" s="106">
        <v>6.0615536274150257</v>
      </c>
      <c r="Y77" s="106">
        <v>1687.536529872343</v>
      </c>
      <c r="Z77" s="106">
        <v>5.7076701814583579</v>
      </c>
      <c r="AA77" s="106">
        <v>1589.0153785180066</v>
      </c>
      <c r="AB77" s="106">
        <v>4.397806671929561</v>
      </c>
      <c r="AC77" s="106">
        <v>1224.3493774651897</v>
      </c>
      <c r="AD77" s="106">
        <v>7.3632951823263246</v>
      </c>
      <c r="AE77" s="106">
        <v>2049.9413787596486</v>
      </c>
      <c r="AF77" s="106">
        <v>0</v>
      </c>
      <c r="AG77" s="106">
        <v>0</v>
      </c>
      <c r="AH77" s="106">
        <v>20.488124006765496</v>
      </c>
      <c r="AI77" s="106">
        <v>5703.8937234835139</v>
      </c>
      <c r="AJ77" s="106">
        <v>13.154660529344076</v>
      </c>
      <c r="AK77" s="106">
        <v>3662.2574913693907</v>
      </c>
      <c r="AL77" s="106">
        <v>0</v>
      </c>
      <c r="AM77" s="106">
        <v>0</v>
      </c>
      <c r="AN77" s="106">
        <v>10.132913107311362</v>
      </c>
      <c r="AO77" s="106">
        <v>2821.0030090754831</v>
      </c>
      <c r="AP77" s="106">
        <v>8.5220217015801847</v>
      </c>
      <c r="AQ77" s="106">
        <v>2372.530841719923</v>
      </c>
      <c r="AR77" s="106">
        <v>7.1427790286265669</v>
      </c>
      <c r="AS77" s="106">
        <v>1988.549681569636</v>
      </c>
      <c r="AT77" s="106">
        <v>0</v>
      </c>
      <c r="AU77" s="106">
        <v>0</v>
      </c>
      <c r="AV77" s="106">
        <v>10.136047808849138</v>
      </c>
      <c r="AW77" s="106">
        <v>2821.8757099835998</v>
      </c>
      <c r="AX77" s="106">
        <v>4.4043609290283996</v>
      </c>
      <c r="AY77" s="106">
        <v>1226.1740826415064</v>
      </c>
      <c r="AZ77" s="106">
        <v>2.1929787234042553</v>
      </c>
      <c r="BA77" s="106">
        <v>610.52527659574457</v>
      </c>
      <c r="BB77" s="106">
        <v>7.3904136597171615</v>
      </c>
      <c r="BC77" s="106">
        <v>2057.4911628652576</v>
      </c>
      <c r="BD77" s="106">
        <v>4.9662163050384329</v>
      </c>
      <c r="BE77" s="106">
        <v>1382.5946193226996</v>
      </c>
      <c r="BF77" s="106">
        <v>4.5167371519619568</v>
      </c>
      <c r="BG77" s="106">
        <v>1257.4596231062087</v>
      </c>
      <c r="BH77" s="106">
        <v>8.3871210176927882</v>
      </c>
      <c r="BI77" s="106">
        <v>2334.9744913256723</v>
      </c>
      <c r="BJ77" s="106">
        <v>7.6086781805745547</v>
      </c>
      <c r="BK77" s="106">
        <v>2118.2560054719556</v>
      </c>
      <c r="BL77" s="106">
        <v>0</v>
      </c>
      <c r="BM77" s="106">
        <v>0</v>
      </c>
      <c r="BN77" s="106">
        <v>6.0438990821399443</v>
      </c>
      <c r="BO77" s="106">
        <v>1682.6215044677604</v>
      </c>
      <c r="BP77" s="106">
        <v>3.0805313193703125</v>
      </c>
      <c r="BQ77" s="106">
        <v>857.61991931269495</v>
      </c>
      <c r="BR77" s="106">
        <v>5.8058377061144553</v>
      </c>
      <c r="BS77" s="106">
        <v>1616.3452173822643</v>
      </c>
      <c r="BT77" s="106">
        <v>1.8848868954758191</v>
      </c>
      <c r="BU77" s="106">
        <v>524.75251170046795</v>
      </c>
      <c r="BV77" s="106">
        <v>0</v>
      </c>
      <c r="BW77" s="106">
        <v>0</v>
      </c>
      <c r="BX77" s="106">
        <v>4.219348478965939</v>
      </c>
      <c r="BY77" s="106">
        <v>1174.6666165441172</v>
      </c>
      <c r="BZ77" s="106">
        <v>3.7356164383561645</v>
      </c>
      <c r="CA77" s="106">
        <v>1039.9956164383561</v>
      </c>
      <c r="CB77" s="106">
        <v>0</v>
      </c>
      <c r="CC77" s="106">
        <v>0</v>
      </c>
      <c r="CD77" s="106">
        <v>5.0986875953162194</v>
      </c>
      <c r="CE77" s="106">
        <v>1419.4746265360354</v>
      </c>
      <c r="CF77" s="106">
        <v>7.1014781335245489</v>
      </c>
      <c r="CG77" s="106">
        <v>1977.0515123732343</v>
      </c>
      <c r="CH77" s="106">
        <v>8.0873375345001648</v>
      </c>
      <c r="CI77" s="106">
        <v>2251.5147696048457</v>
      </c>
      <c r="CJ77" s="106">
        <v>8.2103711890240092</v>
      </c>
      <c r="CK77" s="106">
        <v>2285.767339024284</v>
      </c>
      <c r="CL77" s="106">
        <v>7.8371640879478823</v>
      </c>
      <c r="CM77" s="106">
        <v>2181.8664820846902</v>
      </c>
      <c r="CN77" s="106">
        <v>0</v>
      </c>
      <c r="CO77" s="106">
        <v>0</v>
      </c>
      <c r="CP77" s="106">
        <v>1.0946281111367238</v>
      </c>
      <c r="CQ77" s="106">
        <v>304.74446614046389</v>
      </c>
      <c r="CR77" s="106">
        <v>1.0932161486669685</v>
      </c>
      <c r="CS77" s="106">
        <v>304.35137578888401</v>
      </c>
      <c r="CT77" s="106">
        <v>0.91486564576711937</v>
      </c>
      <c r="CU77" s="106">
        <v>254.69859578156601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3.3621347210594239</v>
      </c>
      <c r="O78" s="106">
        <v>1855.898366024802</v>
      </c>
      <c r="P78" s="106">
        <v>3.158831199407965</v>
      </c>
      <c r="Q78" s="106">
        <v>1743.6748220731968</v>
      </c>
      <c r="R78" s="106">
        <v>2.9807382431680263</v>
      </c>
      <c r="S78" s="106">
        <v>1645.3675102287505</v>
      </c>
      <c r="T78" s="106">
        <v>17.815863848611453</v>
      </c>
      <c r="U78" s="106">
        <v>9834.3568444335215</v>
      </c>
      <c r="V78" s="106">
        <v>0</v>
      </c>
      <c r="W78" s="106">
        <v>0</v>
      </c>
      <c r="X78" s="106">
        <v>5.3628518878638713</v>
      </c>
      <c r="Y78" s="106">
        <v>2960.294242100857</v>
      </c>
      <c r="Z78" s="106">
        <v>5.5200684359253227</v>
      </c>
      <c r="AA78" s="106">
        <v>3047.0777766307783</v>
      </c>
      <c r="AB78" s="106">
        <v>4.3012000206227663</v>
      </c>
      <c r="AC78" s="106">
        <v>2374.2624113837669</v>
      </c>
      <c r="AD78" s="106">
        <v>7.0971519829651317</v>
      </c>
      <c r="AE78" s="106">
        <v>3917.6278945967529</v>
      </c>
      <c r="AF78" s="106">
        <v>0</v>
      </c>
      <c r="AG78" s="106">
        <v>0</v>
      </c>
      <c r="AH78" s="106">
        <v>16.899227266529799</v>
      </c>
      <c r="AI78" s="106">
        <v>9328.3734511244493</v>
      </c>
      <c r="AJ78" s="106">
        <v>14.017261219792868</v>
      </c>
      <c r="AK78" s="106">
        <v>7737.5281933256629</v>
      </c>
      <c r="AL78" s="106">
        <v>0</v>
      </c>
      <c r="AM78" s="106">
        <v>0</v>
      </c>
      <c r="AN78" s="106">
        <v>10.287631869808711</v>
      </c>
      <c r="AO78" s="106">
        <v>5678.7727921344085</v>
      </c>
      <c r="AP78" s="106">
        <v>7.1605436546756938</v>
      </c>
      <c r="AQ78" s="106">
        <v>3952.6200973809828</v>
      </c>
      <c r="AR78" s="106">
        <v>7.7756834995175286</v>
      </c>
      <c r="AS78" s="106">
        <v>4292.1772917336757</v>
      </c>
      <c r="AT78" s="106">
        <v>0</v>
      </c>
      <c r="AU78" s="106">
        <v>0</v>
      </c>
      <c r="AV78" s="106">
        <v>10.104080971652916</v>
      </c>
      <c r="AW78" s="106">
        <v>5577.4526963524095</v>
      </c>
      <c r="AX78" s="106">
        <v>4.7113005739624603</v>
      </c>
      <c r="AY78" s="106">
        <v>2600.6379168272779</v>
      </c>
      <c r="AZ78" s="106">
        <v>2.2926595744680851</v>
      </c>
      <c r="BA78" s="106">
        <v>1265.548085106383</v>
      </c>
      <c r="BB78" s="106">
        <v>8.0062814646935916</v>
      </c>
      <c r="BC78" s="106">
        <v>4419.4673685108628</v>
      </c>
      <c r="BD78" s="106">
        <v>4.8109311092976377</v>
      </c>
      <c r="BE78" s="106">
        <v>2655.6339723322958</v>
      </c>
      <c r="BF78" s="106">
        <v>4.3285397706302087</v>
      </c>
      <c r="BG78" s="106">
        <v>2389.3539533878752</v>
      </c>
      <c r="BH78" s="106">
        <v>8.1250234858898871</v>
      </c>
      <c r="BI78" s="106">
        <v>4485.0129642112179</v>
      </c>
      <c r="BJ78" s="106">
        <v>6.8392612859097124</v>
      </c>
      <c r="BK78" s="106">
        <v>3775.2722298221611</v>
      </c>
      <c r="BL78" s="106">
        <v>0</v>
      </c>
      <c r="BM78" s="106">
        <v>0</v>
      </c>
      <c r="BN78" s="106">
        <v>6.0438990821399443</v>
      </c>
      <c r="BO78" s="106">
        <v>3336.2322933412493</v>
      </c>
      <c r="BP78" s="106">
        <v>2.8571538446458318</v>
      </c>
      <c r="BQ78" s="106">
        <v>1577.1489222444991</v>
      </c>
      <c r="BR78" s="106">
        <v>5.2098793352604265</v>
      </c>
      <c r="BS78" s="106">
        <v>2875.8533930637554</v>
      </c>
      <c r="BT78" s="106">
        <v>1.8198907956318253</v>
      </c>
      <c r="BU78" s="106">
        <v>1004.5797191887676</v>
      </c>
      <c r="BV78" s="106">
        <v>0</v>
      </c>
      <c r="BW78" s="106">
        <v>0</v>
      </c>
      <c r="BX78" s="106">
        <v>4.0638376591314849</v>
      </c>
      <c r="BY78" s="106">
        <v>2243.2383878405794</v>
      </c>
      <c r="BZ78" s="106">
        <v>3.5972602739726032</v>
      </c>
      <c r="CA78" s="106">
        <v>1985.6876712328769</v>
      </c>
      <c r="CB78" s="106">
        <v>0</v>
      </c>
      <c r="CC78" s="106">
        <v>0</v>
      </c>
      <c r="CD78" s="106">
        <v>4.4758944883953502</v>
      </c>
      <c r="CE78" s="106">
        <v>2470.6937575942334</v>
      </c>
      <c r="CF78" s="106">
        <v>6.1809161532528485</v>
      </c>
      <c r="CG78" s="106">
        <v>3411.8657165955724</v>
      </c>
      <c r="CH78" s="106">
        <v>7.7111823003373647</v>
      </c>
      <c r="CI78" s="106">
        <v>4256.5726297862257</v>
      </c>
      <c r="CJ78" s="106">
        <v>6.7084740203001054</v>
      </c>
      <c r="CK78" s="106">
        <v>3703.0776592056582</v>
      </c>
      <c r="CL78" s="106">
        <v>7.5318200325732896</v>
      </c>
      <c r="CM78" s="106">
        <v>4157.5646579804561</v>
      </c>
      <c r="CN78" s="106">
        <v>0</v>
      </c>
      <c r="CO78" s="106">
        <v>0</v>
      </c>
      <c r="CP78" s="106">
        <v>1.2337374730381181</v>
      </c>
      <c r="CQ78" s="106">
        <v>681.02308511704121</v>
      </c>
      <c r="CR78" s="106">
        <v>1.0241610457800854</v>
      </c>
      <c r="CS78" s="106">
        <v>565.3368972706071</v>
      </c>
      <c r="CT78" s="106">
        <v>0.86671482230569208</v>
      </c>
      <c r="CU78" s="106">
        <v>478.42658191274205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3.175768670190652</v>
      </c>
      <c r="O79" s="106">
        <v>2404.6920370683615</v>
      </c>
      <c r="P79" s="106">
        <v>3.2641273186264068</v>
      </c>
      <c r="Q79" s="106">
        <v>2471.5972056639148</v>
      </c>
      <c r="R79" s="106">
        <v>3.0278017873008047</v>
      </c>
      <c r="S79" s="106">
        <v>2292.651513344169</v>
      </c>
      <c r="T79" s="106">
        <v>17.078655689358566</v>
      </c>
      <c r="U79" s="106">
        <v>12931.958087982304</v>
      </c>
      <c r="V79" s="106">
        <v>0</v>
      </c>
      <c r="W79" s="106">
        <v>0</v>
      </c>
      <c r="X79" s="106">
        <v>5.4206465651102897</v>
      </c>
      <c r="Y79" s="106">
        <v>4104.5135791015109</v>
      </c>
      <c r="Z79" s="106">
        <v>5.3126405761590032</v>
      </c>
      <c r="AA79" s="106">
        <v>4022.731444267597</v>
      </c>
      <c r="AB79" s="106">
        <v>4.406723986632997</v>
      </c>
      <c r="AC79" s="106">
        <v>3336.7714026785052</v>
      </c>
      <c r="AD79" s="106">
        <v>6.1212935853074271</v>
      </c>
      <c r="AE79" s="106">
        <v>4635.0435027947833</v>
      </c>
      <c r="AF79" s="106">
        <v>0</v>
      </c>
      <c r="AG79" s="106">
        <v>0</v>
      </c>
      <c r="AH79" s="106">
        <v>15.658765680275799</v>
      </c>
      <c r="AI79" s="106">
        <v>11856.817373104834</v>
      </c>
      <c r="AJ79" s="106">
        <v>11.64510932105869</v>
      </c>
      <c r="AK79" s="106">
        <v>8817.676777905639</v>
      </c>
      <c r="AL79" s="106">
        <v>0</v>
      </c>
      <c r="AM79" s="106">
        <v>0</v>
      </c>
      <c r="AN79" s="106">
        <v>8.9693323551650579</v>
      </c>
      <c r="AO79" s="106">
        <v>6791.5784593309809</v>
      </c>
      <c r="AP79" s="106">
        <v>7.5426392712187882</v>
      </c>
      <c r="AQ79" s="106">
        <v>5711.2864561668657</v>
      </c>
      <c r="AR79" s="106">
        <v>6.329044708909616</v>
      </c>
      <c r="AS79" s="106">
        <v>4792.3526535863612</v>
      </c>
      <c r="AT79" s="106">
        <v>0</v>
      </c>
      <c r="AU79" s="106">
        <v>0</v>
      </c>
      <c r="AV79" s="106">
        <v>9.5226712785470671</v>
      </c>
      <c r="AW79" s="106">
        <v>7210.5666921158381</v>
      </c>
      <c r="AX79" s="106">
        <v>4.5547532541238951</v>
      </c>
      <c r="AY79" s="106">
        <v>3448.8591640226132</v>
      </c>
      <c r="AZ79" s="106">
        <v>2.2926595744680851</v>
      </c>
      <c r="BA79" s="106">
        <v>1736.0018297872339</v>
      </c>
      <c r="BB79" s="106">
        <v>6.7745458547407322</v>
      </c>
      <c r="BC79" s="106">
        <v>5129.6861212096819</v>
      </c>
      <c r="BD79" s="106">
        <v>4.0707878617133852</v>
      </c>
      <c r="BE79" s="106">
        <v>3082.4005688893749</v>
      </c>
      <c r="BF79" s="106">
        <v>3.5757502453032162</v>
      </c>
      <c r="BG79" s="106">
        <v>2707.5580857435953</v>
      </c>
      <c r="BH79" s="106">
        <v>7.8629259540869896</v>
      </c>
      <c r="BI79" s="106">
        <v>5953.8075324346682</v>
      </c>
      <c r="BJ79" s="106">
        <v>6.0698443912448701</v>
      </c>
      <c r="BK79" s="106">
        <v>4596.0861730506149</v>
      </c>
      <c r="BL79" s="106">
        <v>0</v>
      </c>
      <c r="BM79" s="106">
        <v>0</v>
      </c>
      <c r="BN79" s="106">
        <v>5.2524361070978092</v>
      </c>
      <c r="BO79" s="106">
        <v>3977.1446202944608</v>
      </c>
      <c r="BP79" s="106">
        <v>2.8571538446458318</v>
      </c>
      <c r="BQ79" s="106">
        <v>2163.4368911658235</v>
      </c>
      <c r="BR79" s="106">
        <v>5.7935625416037171</v>
      </c>
      <c r="BS79" s="106">
        <v>4386.8855565023341</v>
      </c>
      <c r="BT79" s="106">
        <v>1.7548946957878315</v>
      </c>
      <c r="BU79" s="106">
        <v>1328.8062636505458</v>
      </c>
      <c r="BV79" s="106">
        <v>0</v>
      </c>
      <c r="BW79" s="106">
        <v>0</v>
      </c>
      <c r="BX79" s="106">
        <v>3.820293257661969</v>
      </c>
      <c r="BY79" s="106">
        <v>2892.7260547016426</v>
      </c>
      <c r="BZ79" s="106">
        <v>3.5972602739726032</v>
      </c>
      <c r="CA79" s="106">
        <v>2723.8454794520549</v>
      </c>
      <c r="CB79" s="106">
        <v>0</v>
      </c>
      <c r="CC79" s="106">
        <v>0</v>
      </c>
      <c r="CD79" s="106">
        <v>4.9131237529430614</v>
      </c>
      <c r="CE79" s="106">
        <v>3720.2173057284858</v>
      </c>
      <c r="CF79" s="106">
        <v>6.4439338619019058</v>
      </c>
      <c r="CG79" s="106">
        <v>4879.3467202321226</v>
      </c>
      <c r="CH79" s="106">
        <v>7.3350270661745673</v>
      </c>
      <c r="CI79" s="106">
        <v>5554.0824945073819</v>
      </c>
      <c r="CJ79" s="106">
        <v>7.7097387994493758</v>
      </c>
      <c r="CK79" s="106">
        <v>5837.8142189430664</v>
      </c>
      <c r="CL79" s="106">
        <v>6.6157878664495113</v>
      </c>
      <c r="CM79" s="106">
        <v>5009.4745724755694</v>
      </c>
      <c r="CN79" s="106">
        <v>0</v>
      </c>
      <c r="CO79" s="106">
        <v>0</v>
      </c>
      <c r="CP79" s="106">
        <v>1.0540863292427709</v>
      </c>
      <c r="CQ79" s="106">
        <v>798.15416850262602</v>
      </c>
      <c r="CR79" s="106">
        <v>1.080085126265945</v>
      </c>
      <c r="CS79" s="106">
        <v>817.8404576085735</v>
      </c>
      <c r="CT79" s="106">
        <v>0.81856399884426478</v>
      </c>
      <c r="CU79" s="106">
        <v>619.81665992487729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3.0842933457192618</v>
      </c>
      <c r="O80" s="106">
        <v>2483.4730019731496</v>
      </c>
      <c r="P80" s="106">
        <v>2.8308748453729207</v>
      </c>
      <c r="Q80" s="106">
        <v>2279.4204254942756</v>
      </c>
      <c r="R80" s="106">
        <v>3.14658457354725</v>
      </c>
      <c r="S80" s="106">
        <v>2533.6298986202455</v>
      </c>
      <c r="T80" s="106">
        <v>17.692995822069303</v>
      </c>
      <c r="U80" s="106">
        <v>14246.400235930201</v>
      </c>
      <c r="V80" s="106">
        <v>0</v>
      </c>
      <c r="W80" s="106">
        <v>0</v>
      </c>
      <c r="X80" s="106">
        <v>5.7570834034005189</v>
      </c>
      <c r="Y80" s="106">
        <v>4635.6035564180975</v>
      </c>
      <c r="Z80" s="106">
        <v>5.5651101740992113</v>
      </c>
      <c r="AA80" s="106">
        <v>4481.0267121846846</v>
      </c>
      <c r="AB80" s="106">
        <v>3.618269088476977</v>
      </c>
      <c r="AC80" s="106">
        <v>2913.4302700416615</v>
      </c>
      <c r="AD80" s="106">
        <v>5.7664359861591699</v>
      </c>
      <c r="AE80" s="106">
        <v>4643.134256055363</v>
      </c>
      <c r="AF80" s="106">
        <v>0</v>
      </c>
      <c r="AG80" s="106">
        <v>0</v>
      </c>
      <c r="AH80" s="106">
        <v>17.094324376370079</v>
      </c>
      <c r="AI80" s="106">
        <v>13764.349987853186</v>
      </c>
      <c r="AJ80" s="106">
        <v>11.64510932105869</v>
      </c>
      <c r="AK80" s="106">
        <v>9376.6420253164561</v>
      </c>
      <c r="AL80" s="106">
        <v>0</v>
      </c>
      <c r="AM80" s="106">
        <v>0</v>
      </c>
      <c r="AN80" s="106">
        <v>9.3764352981705716</v>
      </c>
      <c r="AO80" s="106">
        <v>7549.9057020869441</v>
      </c>
      <c r="AP80" s="106">
        <v>7.8971424431862802</v>
      </c>
      <c r="AQ80" s="106">
        <v>6358.7790952535925</v>
      </c>
      <c r="AR80" s="106">
        <v>7.2331939530395619</v>
      </c>
      <c r="AS80" s="106">
        <v>5824.1677709874548</v>
      </c>
      <c r="AT80" s="106">
        <v>0</v>
      </c>
      <c r="AU80" s="106">
        <v>0</v>
      </c>
      <c r="AV80" s="106">
        <v>9.0658365452998346</v>
      </c>
      <c r="AW80" s="106">
        <v>7299.8115862754266</v>
      </c>
      <c r="AX80" s="106">
        <v>4.3944255467631343</v>
      </c>
      <c r="AY80" s="106">
        <v>3538.3914502536754</v>
      </c>
      <c r="AZ80" s="106">
        <v>2.2926595744680851</v>
      </c>
      <c r="BA80" s="106">
        <v>1846.0494893617019</v>
      </c>
      <c r="BB80" s="106">
        <v>7.6983475622053774</v>
      </c>
      <c r="BC80" s="106">
        <v>6198.7094570877698</v>
      </c>
      <c r="BD80" s="106">
        <v>5.1257280413617323</v>
      </c>
      <c r="BE80" s="106">
        <v>4127.2362189044661</v>
      </c>
      <c r="BF80" s="106">
        <v>3.9521450079667124</v>
      </c>
      <c r="BG80" s="106">
        <v>3182.2671604147968</v>
      </c>
      <c r="BH80" s="106">
        <v>7.731877188185539</v>
      </c>
      <c r="BI80" s="106">
        <v>6225.7075119269957</v>
      </c>
      <c r="BJ80" s="106">
        <v>7.0102428180574554</v>
      </c>
      <c r="BK80" s="106">
        <v>5644.6475170998629</v>
      </c>
      <c r="BL80" s="106">
        <v>0</v>
      </c>
      <c r="BM80" s="106">
        <v>0</v>
      </c>
      <c r="BN80" s="106">
        <v>5.1804849275485241</v>
      </c>
      <c r="BO80" s="106">
        <v>4171.3264636620715</v>
      </c>
      <c r="BP80" s="106">
        <v>2.9610503608793355</v>
      </c>
      <c r="BQ80" s="106">
        <v>2384.2377505800409</v>
      </c>
      <c r="BR80" s="106">
        <v>5.3235778300055596</v>
      </c>
      <c r="BS80" s="106">
        <v>4286.5448687204762</v>
      </c>
      <c r="BT80" s="106">
        <v>1.8198907956318253</v>
      </c>
      <c r="BU80" s="106">
        <v>1465.3760686427456</v>
      </c>
      <c r="BV80" s="106">
        <v>0</v>
      </c>
      <c r="BW80" s="106">
        <v>0</v>
      </c>
      <c r="BX80" s="106">
        <v>3.7663114671024545</v>
      </c>
      <c r="BY80" s="106">
        <v>3032.6339933108961</v>
      </c>
      <c r="BZ80" s="106">
        <v>3.8739726027397263</v>
      </c>
      <c r="CA80" s="106">
        <v>3119.3227397260275</v>
      </c>
      <c r="CB80" s="106">
        <v>0</v>
      </c>
      <c r="CC80" s="106">
        <v>0</v>
      </c>
      <c r="CD80" s="106">
        <v>4.8650498767238659</v>
      </c>
      <c r="CE80" s="106">
        <v>3917.3381607380566</v>
      </c>
      <c r="CF80" s="106">
        <v>6.4439338619019058</v>
      </c>
      <c r="CG80" s="106">
        <v>5188.6555456034139</v>
      </c>
      <c r="CH80" s="106">
        <v>7.5633317101182511</v>
      </c>
      <c r="CI80" s="106">
        <v>6089.9946929872149</v>
      </c>
      <c r="CJ80" s="106">
        <v>7.3092328877896673</v>
      </c>
      <c r="CK80" s="106">
        <v>5885.39432124824</v>
      </c>
      <c r="CL80" s="106">
        <v>6.3104438110749186</v>
      </c>
      <c r="CM80" s="106">
        <v>5081.1693566775239</v>
      </c>
      <c r="CN80" s="106">
        <v>0</v>
      </c>
      <c r="CO80" s="106">
        <v>0</v>
      </c>
      <c r="CP80" s="106">
        <v>0.97300276545486553</v>
      </c>
      <c r="CQ80" s="106">
        <v>783.46182674425768</v>
      </c>
      <c r="CR80" s="106">
        <v>0.94722732945258825</v>
      </c>
      <c r="CS80" s="106">
        <v>762.70744567522399</v>
      </c>
      <c r="CT80" s="106">
        <v>0.81856399884426478</v>
      </c>
      <c r="CU80" s="106">
        <v>659.10773186940196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2.9631646692486897</v>
      </c>
      <c r="O81" s="106">
        <v>2233.0408947458127</v>
      </c>
      <c r="P81" s="106">
        <v>3.2171816723871434</v>
      </c>
      <c r="Q81" s="106">
        <v>2424.4681083109513</v>
      </c>
      <c r="R81" s="106">
        <v>2.9964260912122858</v>
      </c>
      <c r="S81" s="106">
        <v>2258.1067023375786</v>
      </c>
      <c r="T81" s="106">
        <v>15.727107397394935</v>
      </c>
      <c r="U81" s="106">
        <v>11851.948134676823</v>
      </c>
      <c r="V81" s="106">
        <v>0</v>
      </c>
      <c r="W81" s="106">
        <v>0</v>
      </c>
      <c r="X81" s="106">
        <v>5.6009180803083956</v>
      </c>
      <c r="Y81" s="106">
        <v>4220.8518653204073</v>
      </c>
      <c r="Z81" s="106">
        <v>5.8002319220852963</v>
      </c>
      <c r="AA81" s="106">
        <v>4371.0547764834791</v>
      </c>
      <c r="AB81" s="106">
        <v>3.6695448523648535</v>
      </c>
      <c r="AC81" s="106">
        <v>2765.3690007421537</v>
      </c>
      <c r="AD81" s="106">
        <v>5.7664359861591699</v>
      </c>
      <c r="AE81" s="106">
        <v>4345.5861591695502</v>
      </c>
      <c r="AF81" s="106">
        <v>0</v>
      </c>
      <c r="AG81" s="106">
        <v>0</v>
      </c>
      <c r="AH81" s="106">
        <v>15.817729694154357</v>
      </c>
      <c r="AI81" s="106">
        <v>11920.241097514723</v>
      </c>
      <c r="AJ81" s="106">
        <v>13.370310701956274</v>
      </c>
      <c r="AK81" s="106">
        <v>10075.866144994248</v>
      </c>
      <c r="AL81" s="106">
        <v>0</v>
      </c>
      <c r="AM81" s="106">
        <v>0</v>
      </c>
      <c r="AN81" s="106">
        <v>8.8260242615650135</v>
      </c>
      <c r="AO81" s="106">
        <v>6651.2918835153941</v>
      </c>
      <c r="AP81" s="106">
        <v>7.5564354935065925</v>
      </c>
      <c r="AQ81" s="106">
        <v>5694.5297879065683</v>
      </c>
      <c r="AR81" s="106">
        <v>7.0523641042135727</v>
      </c>
      <c r="AS81" s="106">
        <v>5314.6615889353488</v>
      </c>
      <c r="AT81" s="106">
        <v>0</v>
      </c>
      <c r="AU81" s="106">
        <v>0</v>
      </c>
      <c r="AV81" s="106">
        <v>9.7362026895479961</v>
      </c>
      <c r="AW81" s="106">
        <v>7337.2023468433699</v>
      </c>
      <c r="AX81" s="106">
        <v>4.1000871935697232</v>
      </c>
      <c r="AY81" s="106">
        <v>3089.8257090741436</v>
      </c>
      <c r="AZ81" s="106">
        <v>2.0932978723404259</v>
      </c>
      <c r="BA81" s="106">
        <v>1577.509276595745</v>
      </c>
      <c r="BB81" s="106">
        <v>7.0824797572289473</v>
      </c>
      <c r="BC81" s="106">
        <v>5337.3567450477349</v>
      </c>
      <c r="BD81" s="106">
        <v>4.3770767685865586</v>
      </c>
      <c r="BE81" s="106">
        <v>3298.5650528068309</v>
      </c>
      <c r="BF81" s="106">
        <v>4.1403423892984605</v>
      </c>
      <c r="BG81" s="106">
        <v>3120.1620245753202</v>
      </c>
      <c r="BH81" s="106">
        <v>7.3387308904811892</v>
      </c>
      <c r="BI81" s="106">
        <v>5530.4675990666246</v>
      </c>
      <c r="BJ81" s="106">
        <v>7.0957335841313265</v>
      </c>
      <c r="BK81" s="106">
        <v>5347.3448290013675</v>
      </c>
      <c r="BL81" s="106">
        <v>0</v>
      </c>
      <c r="BM81" s="106">
        <v>0</v>
      </c>
      <c r="BN81" s="106">
        <v>6.0438990821399443</v>
      </c>
      <c r="BO81" s="106">
        <v>4554.6823483006619</v>
      </c>
      <c r="BP81" s="106">
        <v>3.1636485792605189</v>
      </c>
      <c r="BQ81" s="106">
        <v>2384.1255693307271</v>
      </c>
      <c r="BR81" s="106">
        <v>5.0286674357062298</v>
      </c>
      <c r="BS81" s="106">
        <v>3789.6037795482148</v>
      </c>
      <c r="BT81" s="106">
        <v>1.689898595943838</v>
      </c>
      <c r="BU81" s="106">
        <v>1273.5075819032763</v>
      </c>
      <c r="BV81" s="106">
        <v>0</v>
      </c>
      <c r="BW81" s="106">
        <v>0</v>
      </c>
      <c r="BX81" s="106">
        <v>4.095327036957868</v>
      </c>
      <c r="BY81" s="106">
        <v>3086.2384550514494</v>
      </c>
      <c r="BZ81" s="106">
        <v>3.3205479452054796</v>
      </c>
      <c r="CA81" s="106">
        <v>2502.3649315068496</v>
      </c>
      <c r="CB81" s="106">
        <v>0</v>
      </c>
      <c r="CC81" s="106">
        <v>0</v>
      </c>
      <c r="CD81" s="106">
        <v>5.3323253139085747</v>
      </c>
      <c r="CE81" s="106">
        <v>4018.4403565615021</v>
      </c>
      <c r="CF81" s="106">
        <v>6.4439338619019058</v>
      </c>
      <c r="CG81" s="106">
        <v>4856.1485583292761</v>
      </c>
      <c r="CH81" s="106">
        <v>7.2409882576338678</v>
      </c>
      <c r="CI81" s="106">
        <v>5456.8087509528832</v>
      </c>
      <c r="CJ81" s="106">
        <v>6.9087269761299597</v>
      </c>
      <c r="CK81" s="106">
        <v>5206.4166492115373</v>
      </c>
      <c r="CL81" s="106">
        <v>7.5318200325732896</v>
      </c>
      <c r="CM81" s="106">
        <v>5675.9795765472309</v>
      </c>
      <c r="CN81" s="106">
        <v>0</v>
      </c>
      <c r="CO81" s="106">
        <v>0</v>
      </c>
      <c r="CP81" s="106">
        <v>1.0682290715637499</v>
      </c>
      <c r="CQ81" s="106">
        <v>805.01742833044193</v>
      </c>
      <c r="CR81" s="106">
        <v>1.1159257799494886</v>
      </c>
      <c r="CS81" s="106">
        <v>840.96166776993459</v>
      </c>
      <c r="CT81" s="106">
        <v>0.86671482230569208</v>
      </c>
      <c r="CU81" s="106">
        <v>653.15629008956955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3.3562040506595872</v>
      </c>
      <c r="O82" s="106">
        <v>1707.6366209755977</v>
      </c>
      <c r="P82" s="106">
        <v>3.3110729648656716</v>
      </c>
      <c r="Q82" s="106">
        <v>1684.6739245236533</v>
      </c>
      <c r="R82" s="106">
        <v>3.2328677377906772</v>
      </c>
      <c r="S82" s="106">
        <v>1644.8831049878961</v>
      </c>
      <c r="T82" s="106">
        <v>18.430203981322194</v>
      </c>
      <c r="U82" s="106">
        <v>9377.2877856967298</v>
      </c>
      <c r="V82" s="106">
        <v>0</v>
      </c>
      <c r="W82" s="106">
        <v>0</v>
      </c>
      <c r="X82" s="106">
        <v>5.2679249837475917</v>
      </c>
      <c r="Y82" s="106">
        <v>2680.3202317307741</v>
      </c>
      <c r="Z82" s="106">
        <v>5.9427919294444429</v>
      </c>
      <c r="AA82" s="106">
        <v>3023.6925337013317</v>
      </c>
      <c r="AB82" s="106">
        <v>4.0366482003816859</v>
      </c>
      <c r="AC82" s="106">
        <v>2053.8466043542012</v>
      </c>
      <c r="AD82" s="106">
        <v>7.0971519829651317</v>
      </c>
      <c r="AE82" s="106">
        <v>3611.0309289326583</v>
      </c>
      <c r="AF82" s="106">
        <v>0</v>
      </c>
      <c r="AG82" s="106">
        <v>0</v>
      </c>
      <c r="AH82" s="106">
        <v>17.313510216851501</v>
      </c>
      <c r="AI82" s="106">
        <v>8809.1139983340418</v>
      </c>
      <c r="AJ82" s="106">
        <v>13.585960874568471</v>
      </c>
      <c r="AK82" s="106">
        <v>6912.5368929804363</v>
      </c>
      <c r="AL82" s="106">
        <v>0</v>
      </c>
      <c r="AM82" s="106">
        <v>0</v>
      </c>
      <c r="AN82" s="106">
        <v>9.1468724554570215</v>
      </c>
      <c r="AO82" s="106">
        <v>4653.9287053365315</v>
      </c>
      <c r="AP82" s="106">
        <v>7.9385311100496887</v>
      </c>
      <c r="AQ82" s="106">
        <v>4039.1246287932809</v>
      </c>
      <c r="AR82" s="106">
        <v>6.6907044065615953</v>
      </c>
      <c r="AS82" s="106">
        <v>3404.2304020585389</v>
      </c>
      <c r="AT82" s="106">
        <v>0</v>
      </c>
      <c r="AU82" s="106">
        <v>0</v>
      </c>
      <c r="AV82" s="106">
        <v>10.737551502912442</v>
      </c>
      <c r="AW82" s="106">
        <v>5463.2662046818496</v>
      </c>
      <c r="AX82" s="106">
        <v>4.4043609290283996</v>
      </c>
      <c r="AY82" s="106">
        <v>2240.9388406896492</v>
      </c>
      <c r="AZ82" s="106">
        <v>2.2926595744680851</v>
      </c>
      <c r="BA82" s="106">
        <v>1166.5051914893616</v>
      </c>
      <c r="BB82" s="106">
        <v>7.6983475622053774</v>
      </c>
      <c r="BC82" s="106">
        <v>3916.9192396500953</v>
      </c>
      <c r="BD82" s="106">
        <v>4.9747243302293551</v>
      </c>
      <c r="BE82" s="106">
        <v>2531.1397392206954</v>
      </c>
      <c r="BF82" s="106">
        <v>4.3285397706302087</v>
      </c>
      <c r="BG82" s="106">
        <v>2202.3610352966498</v>
      </c>
      <c r="BH82" s="106">
        <v>7.4697796563826389</v>
      </c>
      <c r="BI82" s="106">
        <v>3800.6238891674857</v>
      </c>
      <c r="BJ82" s="106">
        <v>7.0957335841313265</v>
      </c>
      <c r="BK82" s="106">
        <v>3610.3092476060183</v>
      </c>
      <c r="BL82" s="106">
        <v>0</v>
      </c>
      <c r="BM82" s="106">
        <v>0</v>
      </c>
      <c r="BN82" s="106">
        <v>5.5402408252949495</v>
      </c>
      <c r="BO82" s="106">
        <v>2818.8745319100699</v>
      </c>
      <c r="BP82" s="106">
        <v>3.1688433933463434</v>
      </c>
      <c r="BQ82" s="106">
        <v>1612.3075185346192</v>
      </c>
      <c r="BR82" s="106">
        <v>5.5047897295597563</v>
      </c>
      <c r="BS82" s="106">
        <v>2800.8370144000032</v>
      </c>
      <c r="BT82" s="106">
        <v>1.8848868954758191</v>
      </c>
      <c r="BU82" s="106">
        <v>959.03045241809662</v>
      </c>
      <c r="BV82" s="106">
        <v>0</v>
      </c>
      <c r="BW82" s="106">
        <v>0</v>
      </c>
      <c r="BX82" s="106">
        <v>4.0548406940382327</v>
      </c>
      <c r="BY82" s="106">
        <v>2063.1029451266522</v>
      </c>
      <c r="BZ82" s="106">
        <v>4.0123287671232877</v>
      </c>
      <c r="CA82" s="106">
        <v>2041.4728767123283</v>
      </c>
      <c r="CB82" s="106">
        <v>0</v>
      </c>
      <c r="CC82" s="106">
        <v>0</v>
      </c>
      <c r="CD82" s="106">
        <v>4.9311514565252601</v>
      </c>
      <c r="CE82" s="106">
        <v>2508.9698610800519</v>
      </c>
      <c r="CF82" s="106">
        <v>6.9699692792000212</v>
      </c>
      <c r="CG82" s="106">
        <v>3546.32036925697</v>
      </c>
      <c r="CH82" s="106">
        <v>8.9022526689218768</v>
      </c>
      <c r="CI82" s="106">
        <v>4529.4661579474496</v>
      </c>
      <c r="CJ82" s="106">
        <v>8.0101182331941558</v>
      </c>
      <c r="CK82" s="106">
        <v>4075.5481570491856</v>
      </c>
      <c r="CL82" s="106">
        <v>7.4300386807817587</v>
      </c>
      <c r="CM82" s="106">
        <v>3780.4036807817579</v>
      </c>
      <c r="CN82" s="106">
        <v>0</v>
      </c>
      <c r="CO82" s="106">
        <v>0</v>
      </c>
      <c r="CP82" s="106">
        <v>0.97300276545486553</v>
      </c>
      <c r="CQ82" s="106">
        <v>495.06380706343549</v>
      </c>
      <c r="CR82" s="106">
        <v>1.1648974560340561</v>
      </c>
      <c r="CS82" s="106">
        <v>592.69982563012763</v>
      </c>
      <c r="CT82" s="106">
        <v>0.91486564576711937</v>
      </c>
      <c r="CU82" s="106">
        <v>465.48364056631027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3.2410060445888518</v>
      </c>
      <c r="O83" s="106">
        <v>2788.5616007642479</v>
      </c>
      <c r="P83" s="106">
        <v>3.1306638116644065</v>
      </c>
      <c r="Q83" s="106">
        <v>2693.6231435560553</v>
      </c>
      <c r="R83" s="106">
        <v>3.1308967255029905</v>
      </c>
      <c r="S83" s="106">
        <v>2693.8235426227729</v>
      </c>
      <c r="T83" s="106">
        <v>15.60423937085279</v>
      </c>
      <c r="U83" s="106">
        <v>13425.88755468174</v>
      </c>
      <c r="V83" s="106">
        <v>0</v>
      </c>
      <c r="W83" s="106">
        <v>0</v>
      </c>
      <c r="X83" s="106">
        <v>5.5871431133906917</v>
      </c>
      <c r="Y83" s="106">
        <v>4807.177934761351</v>
      </c>
      <c r="Z83" s="106">
        <v>5.6027171194356189</v>
      </c>
      <c r="AA83" s="106">
        <v>4820.5778095624064</v>
      </c>
      <c r="AB83" s="106">
        <v>3.6212415267114562</v>
      </c>
      <c r="AC83" s="106">
        <v>3115.716209582537</v>
      </c>
      <c r="AD83" s="106">
        <v>5.8551503859462342</v>
      </c>
      <c r="AE83" s="106">
        <v>5037.7713920681399</v>
      </c>
      <c r="AF83" s="106">
        <v>0</v>
      </c>
      <c r="AG83" s="106">
        <v>0</v>
      </c>
      <c r="AH83" s="106">
        <v>16.887182901209226</v>
      </c>
      <c r="AI83" s="106">
        <v>14529.732168200417</v>
      </c>
      <c r="AJ83" s="106">
        <v>11.64510932105869</v>
      </c>
      <c r="AK83" s="106">
        <v>10019.452059838897</v>
      </c>
      <c r="AL83" s="106">
        <v>0</v>
      </c>
      <c r="AM83" s="106">
        <v>0</v>
      </c>
      <c r="AN83" s="106">
        <v>9.382140632619226</v>
      </c>
      <c r="AO83" s="106">
        <v>8072.3938003055819</v>
      </c>
      <c r="AP83" s="106">
        <v>7.3274480739435859</v>
      </c>
      <c r="AQ83" s="106">
        <v>6304.5363228210608</v>
      </c>
      <c r="AR83" s="106">
        <v>6.1482148600836268</v>
      </c>
      <c r="AS83" s="106">
        <v>5289.9240656159527</v>
      </c>
      <c r="AT83" s="106">
        <v>0</v>
      </c>
      <c r="AU83" s="106">
        <v>0</v>
      </c>
      <c r="AV83" s="106">
        <v>9.1489463989712139</v>
      </c>
      <c r="AW83" s="106">
        <v>7871.7534816748321</v>
      </c>
      <c r="AX83" s="106">
        <v>3.7540835442396485</v>
      </c>
      <c r="AY83" s="106">
        <v>3230.0134814637936</v>
      </c>
      <c r="AZ83" s="106">
        <v>2.0932978723404259</v>
      </c>
      <c r="BA83" s="106">
        <v>1801.0734893617023</v>
      </c>
      <c r="BB83" s="106">
        <v>8.0062814646935916</v>
      </c>
      <c r="BC83" s="106">
        <v>6888.6045722223662</v>
      </c>
      <c r="BD83" s="106">
        <v>4.9321842042747477</v>
      </c>
      <c r="BE83" s="106">
        <v>4243.6512893579929</v>
      </c>
      <c r="BF83" s="106">
        <v>3.7639476266349643</v>
      </c>
      <c r="BG83" s="106">
        <v>3238.5005379567233</v>
      </c>
      <c r="BH83" s="106">
        <v>7.6008284222840894</v>
      </c>
      <c r="BI83" s="106">
        <v>6539.75277453323</v>
      </c>
      <c r="BJ83" s="106">
        <v>6.1553351573187411</v>
      </c>
      <c r="BK83" s="106">
        <v>5296.0503693570445</v>
      </c>
      <c r="BL83" s="106">
        <v>0</v>
      </c>
      <c r="BM83" s="106">
        <v>0</v>
      </c>
      <c r="BN83" s="106">
        <v>5.1804849275485241</v>
      </c>
      <c r="BO83" s="106">
        <v>4457.2892316627504</v>
      </c>
      <c r="BP83" s="106">
        <v>2.9714399890509844</v>
      </c>
      <c r="BQ83" s="106">
        <v>2556.6269665794671</v>
      </c>
      <c r="BR83" s="106">
        <v>4.8781434474288794</v>
      </c>
      <c r="BS83" s="106">
        <v>4197.1546221678082</v>
      </c>
      <c r="BT83" s="106">
        <v>1.8848868954758191</v>
      </c>
      <c r="BU83" s="106">
        <v>1621.7566848673948</v>
      </c>
      <c r="BV83" s="106">
        <v>0</v>
      </c>
      <c r="BW83" s="106">
        <v>0</v>
      </c>
      <c r="BX83" s="106">
        <v>4.2418408916990709</v>
      </c>
      <c r="BY83" s="106">
        <v>3649.6799032178806</v>
      </c>
      <c r="BZ83" s="106">
        <v>3.1821917808219182</v>
      </c>
      <c r="CA83" s="106">
        <v>2737.9578082191783</v>
      </c>
      <c r="CB83" s="106">
        <v>0</v>
      </c>
      <c r="CC83" s="106">
        <v>0</v>
      </c>
      <c r="CD83" s="106">
        <v>4.8950960493608626</v>
      </c>
      <c r="CE83" s="106">
        <v>4211.7406408700863</v>
      </c>
      <c r="CF83" s="106">
        <v>5.654880735954734</v>
      </c>
      <c r="CG83" s="106">
        <v>4865.459385215453</v>
      </c>
      <c r="CH83" s="106">
        <v>8.6515703857443604</v>
      </c>
      <c r="CI83" s="106">
        <v>7443.8111598944479</v>
      </c>
      <c r="CJ83" s="106">
        <v>7.2091064098747406</v>
      </c>
      <c r="CK83" s="106">
        <v>6202.7151550562266</v>
      </c>
      <c r="CL83" s="106">
        <v>6.3104438110749186</v>
      </c>
      <c r="CM83" s="106">
        <v>5429.5058550488602</v>
      </c>
      <c r="CN83" s="106">
        <v>0</v>
      </c>
      <c r="CO83" s="106">
        <v>0</v>
      </c>
      <c r="CP83" s="106">
        <v>0.89191920166696015</v>
      </c>
      <c r="CQ83" s="106">
        <v>767.40728111425244</v>
      </c>
      <c r="CR83" s="106">
        <v>0.95116663617289543</v>
      </c>
      <c r="CS83" s="106">
        <v>818.38377376315918</v>
      </c>
      <c r="CT83" s="106">
        <v>0.81856399884426478</v>
      </c>
      <c r="CU83" s="106">
        <v>704.29246460560535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3.1994913517899977</v>
      </c>
      <c r="O84" s="106">
        <v>2499.4426440183461</v>
      </c>
      <c r="P84" s="106">
        <v>3.3298512233613771</v>
      </c>
      <c r="Q84" s="106">
        <v>2601.2797756899076</v>
      </c>
      <c r="R84" s="106">
        <v>3.0356457113229345</v>
      </c>
      <c r="S84" s="106">
        <v>2371.4464296854762</v>
      </c>
      <c r="T84" s="106">
        <v>17.815863848611453</v>
      </c>
      <c r="U84" s="106">
        <v>13917.752838535265</v>
      </c>
      <c r="V84" s="106">
        <v>0</v>
      </c>
      <c r="W84" s="106">
        <v>0</v>
      </c>
      <c r="X84" s="106">
        <v>4.873693468210945</v>
      </c>
      <c r="Y84" s="106">
        <v>3807.3293373663901</v>
      </c>
      <c r="Z84" s="106">
        <v>5.4027240525067803</v>
      </c>
      <c r="AA84" s="106">
        <v>4220.608029818296</v>
      </c>
      <c r="AB84" s="106">
        <v>3.6665724141303744</v>
      </c>
      <c r="AC84" s="106">
        <v>2864.3263699186482</v>
      </c>
      <c r="AD84" s="106">
        <v>6.0325791855203628</v>
      </c>
      <c r="AE84" s="106">
        <v>4712.6508597285074</v>
      </c>
      <c r="AF84" s="106">
        <v>0</v>
      </c>
      <c r="AG84" s="106">
        <v>0</v>
      </c>
      <c r="AH84" s="106">
        <v>17.653139710538657</v>
      </c>
      <c r="AI84" s="106">
        <v>13790.632741872798</v>
      </c>
      <c r="AJ84" s="106">
        <v>13.585960874568471</v>
      </c>
      <c r="AK84" s="106">
        <v>10613.352635212888</v>
      </c>
      <c r="AL84" s="106">
        <v>0</v>
      </c>
      <c r="AM84" s="106">
        <v>0</v>
      </c>
      <c r="AN84" s="106">
        <v>8.9750376896137105</v>
      </c>
      <c r="AO84" s="106">
        <v>7011.2994431262305</v>
      </c>
      <c r="AP84" s="106">
        <v>6.9798430131199964</v>
      </c>
      <c r="AQ84" s="106">
        <v>5452.6533618493404</v>
      </c>
      <c r="AR84" s="106">
        <v>6.7811193309745894</v>
      </c>
      <c r="AS84" s="106">
        <v>5297.4104213573492</v>
      </c>
      <c r="AT84" s="106">
        <v>0</v>
      </c>
      <c r="AU84" s="106">
        <v>0</v>
      </c>
      <c r="AV84" s="106">
        <v>10.349579219850067</v>
      </c>
      <c r="AW84" s="106">
        <v>8085.0912865468717</v>
      </c>
      <c r="AX84" s="106">
        <v>4.5522329957757641</v>
      </c>
      <c r="AY84" s="106">
        <v>3556.2044163000264</v>
      </c>
      <c r="AZ84" s="106">
        <v>2.3923404255319149</v>
      </c>
      <c r="BA84" s="106">
        <v>1868.8963404255319</v>
      </c>
      <c r="BB84" s="106">
        <v>8.0062814646935916</v>
      </c>
      <c r="BC84" s="106">
        <v>6254.5070802186328</v>
      </c>
      <c r="BD84" s="106">
        <v>4.9321842042747477</v>
      </c>
      <c r="BE84" s="106">
        <v>3853.0223003794326</v>
      </c>
      <c r="BF84" s="106">
        <v>4.1403423892984605</v>
      </c>
      <c r="BG84" s="106">
        <v>3234.4354745199571</v>
      </c>
      <c r="BH84" s="106">
        <v>6.9455845927768394</v>
      </c>
      <c r="BI84" s="106">
        <v>5425.8906838772664</v>
      </c>
      <c r="BJ84" s="106">
        <v>7.0102428180574554</v>
      </c>
      <c r="BK84" s="106">
        <v>5476.4016894664837</v>
      </c>
      <c r="BL84" s="106">
        <v>0</v>
      </c>
      <c r="BM84" s="106">
        <v>0</v>
      </c>
      <c r="BN84" s="106">
        <v>5.899996723041375</v>
      </c>
      <c r="BO84" s="106">
        <v>4609.0774400399214</v>
      </c>
      <c r="BP84" s="106">
        <v>3.1740382074321678</v>
      </c>
      <c r="BQ84" s="106">
        <v>2479.5586476460094</v>
      </c>
      <c r="BR84" s="106">
        <v>5.5047897295597563</v>
      </c>
      <c r="BS84" s="106">
        <v>4300.3417367320817</v>
      </c>
      <c r="BT84" s="106">
        <v>1.8848868954758191</v>
      </c>
      <c r="BU84" s="106">
        <v>1472.4736427457099</v>
      </c>
      <c r="BV84" s="106">
        <v>0</v>
      </c>
      <c r="BW84" s="106">
        <v>0</v>
      </c>
      <c r="BX84" s="106">
        <v>3.921822286936909</v>
      </c>
      <c r="BY84" s="106">
        <v>3063.7275705551133</v>
      </c>
      <c r="BZ84" s="106">
        <v>3.8739726027397263</v>
      </c>
      <c r="CA84" s="106">
        <v>3026.3473972602737</v>
      </c>
      <c r="CB84" s="106">
        <v>0</v>
      </c>
      <c r="CC84" s="106">
        <v>0</v>
      </c>
      <c r="CD84" s="106">
        <v>4.9011052838882616</v>
      </c>
      <c r="CE84" s="106">
        <v>3828.7434477735096</v>
      </c>
      <c r="CF84" s="106">
        <v>6.5754427162264344</v>
      </c>
      <c r="CG84" s="106">
        <v>5136.73584991609</v>
      </c>
      <c r="CH84" s="106">
        <v>8.2216033699031481</v>
      </c>
      <c r="CI84" s="106">
        <v>6422.7165525683386</v>
      </c>
      <c r="CJ84" s="106">
        <v>7.8098652773643025</v>
      </c>
      <c r="CK84" s="106">
        <v>6101.0667546769928</v>
      </c>
      <c r="CL84" s="106">
        <v>6.6157878664495113</v>
      </c>
      <c r="CM84" s="106">
        <v>5168.253481270358</v>
      </c>
      <c r="CN84" s="106">
        <v>0</v>
      </c>
      <c r="CO84" s="106">
        <v>0</v>
      </c>
      <c r="CP84" s="106">
        <v>1.0135445473488183</v>
      </c>
      <c r="CQ84" s="106">
        <v>791.78100038889681</v>
      </c>
      <c r="CR84" s="106">
        <v>0.98175488089602969</v>
      </c>
      <c r="CS84" s="106">
        <v>766.94691295597829</v>
      </c>
      <c r="CT84" s="106">
        <v>0.86671482230569208</v>
      </c>
      <c r="CU84" s="106">
        <v>677.07761918520657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3.4036494138582776</v>
      </c>
      <c r="O85" s="106">
        <v>510.54741207874162</v>
      </c>
      <c r="P85" s="106">
        <v>3.3016838356178182</v>
      </c>
      <c r="Q85" s="106">
        <v>495.25257534267274</v>
      </c>
      <c r="R85" s="106">
        <v>3.3908701441477707</v>
      </c>
      <c r="S85" s="106">
        <v>508.63052162216559</v>
      </c>
      <c r="T85" s="106">
        <v>19.044544114032931</v>
      </c>
      <c r="U85" s="106">
        <v>2856.6816171049395</v>
      </c>
      <c r="V85" s="106">
        <v>0</v>
      </c>
      <c r="W85" s="106">
        <v>0</v>
      </c>
      <c r="X85" s="106">
        <v>6.7447585291837617</v>
      </c>
      <c r="Y85" s="106">
        <v>1011.7137793775643</v>
      </c>
      <c r="Z85" s="106">
        <v>6.3378215347437976</v>
      </c>
      <c r="AA85" s="106">
        <v>950.6732302115696</v>
      </c>
      <c r="AB85" s="106">
        <v>4.4877241328656616</v>
      </c>
      <c r="AC85" s="106">
        <v>673.15861992984924</v>
      </c>
      <c r="AD85" s="106">
        <v>7.6294383816875166</v>
      </c>
      <c r="AE85" s="106">
        <v>1144.4157572531276</v>
      </c>
      <c r="AF85" s="106">
        <v>0</v>
      </c>
      <c r="AG85" s="106">
        <v>0</v>
      </c>
      <c r="AH85" s="106">
        <v>20.377337454169229</v>
      </c>
      <c r="AI85" s="106">
        <v>3056.6006181253842</v>
      </c>
      <c r="AJ85" s="106">
        <v>14.448561565017265</v>
      </c>
      <c r="AK85" s="106">
        <v>2167.2842347525898</v>
      </c>
      <c r="AL85" s="106">
        <v>0</v>
      </c>
      <c r="AM85" s="106">
        <v>0</v>
      </c>
      <c r="AN85" s="106">
        <v>9.8976449301491556</v>
      </c>
      <c r="AO85" s="106">
        <v>1484.6467395223733</v>
      </c>
      <c r="AP85" s="106">
        <v>8.3620153934561934</v>
      </c>
      <c r="AQ85" s="106">
        <v>1254.302309018429</v>
      </c>
      <c r="AR85" s="106">
        <v>7.3236088774525561</v>
      </c>
      <c r="AS85" s="106">
        <v>1098.5413316178833</v>
      </c>
      <c r="AT85" s="106">
        <v>0</v>
      </c>
      <c r="AU85" s="106">
        <v>0</v>
      </c>
      <c r="AV85" s="106">
        <v>11.781642526736457</v>
      </c>
      <c r="AW85" s="106">
        <v>1767.2463790104684</v>
      </c>
      <c r="AX85" s="106">
        <v>4.3930197664618138</v>
      </c>
      <c r="AY85" s="106">
        <v>658.9529649692721</v>
      </c>
      <c r="AZ85" s="106">
        <v>2.3923404255319149</v>
      </c>
      <c r="BA85" s="106">
        <v>358.85106382978722</v>
      </c>
      <c r="BB85" s="106">
        <v>8.3142153671818075</v>
      </c>
      <c r="BC85" s="106">
        <v>1247.1323050772712</v>
      </c>
      <c r="BD85" s="106">
        <v>4.6258952974015743</v>
      </c>
      <c r="BE85" s="106">
        <v>693.88429461023611</v>
      </c>
      <c r="BF85" s="106">
        <v>4.1403423892984605</v>
      </c>
      <c r="BG85" s="106">
        <v>621.05135839476907</v>
      </c>
      <c r="BH85" s="106">
        <v>7.4697796563826389</v>
      </c>
      <c r="BI85" s="106">
        <v>1120.4669484573958</v>
      </c>
      <c r="BJ85" s="106">
        <v>7.5231874145006836</v>
      </c>
      <c r="BK85" s="106">
        <v>1128.4781121751025</v>
      </c>
      <c r="BL85" s="106">
        <v>0</v>
      </c>
      <c r="BM85" s="106">
        <v>0</v>
      </c>
      <c r="BN85" s="106">
        <v>6.0438990821399443</v>
      </c>
      <c r="BO85" s="106">
        <v>906.58486232099165</v>
      </c>
      <c r="BP85" s="106">
        <v>3.0909209475419614</v>
      </c>
      <c r="BQ85" s="106">
        <v>463.63814213129422</v>
      </c>
      <c r="BR85" s="106">
        <v>5.9563616943918047</v>
      </c>
      <c r="BS85" s="106">
        <v>893.45425415877071</v>
      </c>
      <c r="BT85" s="106">
        <v>2.1448712948517943</v>
      </c>
      <c r="BU85" s="106">
        <v>321.73069422776916</v>
      </c>
      <c r="BV85" s="106">
        <v>0</v>
      </c>
      <c r="BW85" s="106">
        <v>0</v>
      </c>
      <c r="BX85" s="106">
        <v>4.8323947932105051</v>
      </c>
      <c r="BY85" s="106">
        <v>724.85921898157574</v>
      </c>
      <c r="BZ85" s="106">
        <v>3.5972602739726032</v>
      </c>
      <c r="CA85" s="106">
        <v>539.58904109589048</v>
      </c>
      <c r="CB85" s="106">
        <v>0</v>
      </c>
      <c r="CC85" s="106">
        <v>0</v>
      </c>
      <c r="CD85" s="106">
        <v>5.1707984096450126</v>
      </c>
      <c r="CE85" s="106">
        <v>775.61976144675191</v>
      </c>
      <c r="CF85" s="106">
        <v>7.2329869878490785</v>
      </c>
      <c r="CG85" s="106">
        <v>1084.9480481773617</v>
      </c>
      <c r="CH85" s="106">
        <v>9.4979196626106575</v>
      </c>
      <c r="CI85" s="106">
        <v>1424.6879493915985</v>
      </c>
      <c r="CJ85" s="106">
        <v>7.409359365704594</v>
      </c>
      <c r="CK85" s="106">
        <v>1111.403904855689</v>
      </c>
      <c r="CL85" s="106">
        <v>7.7353827361563514</v>
      </c>
      <c r="CM85" s="106">
        <v>1160.3074104234527</v>
      </c>
      <c r="CN85" s="106">
        <v>0</v>
      </c>
      <c r="CO85" s="106">
        <v>0</v>
      </c>
      <c r="CP85" s="106">
        <v>1.0799235302087007</v>
      </c>
      <c r="CQ85" s="106">
        <v>161.98852953130509</v>
      </c>
      <c r="CR85" s="106">
        <v>1.1316830068307171</v>
      </c>
      <c r="CS85" s="106">
        <v>169.75245102460755</v>
      </c>
      <c r="CT85" s="106">
        <v>0.91486564576711937</v>
      </c>
      <c r="CU85" s="106">
        <v>137.22984686506791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3.3562040506595872</v>
      </c>
      <c r="O86" s="106">
        <v>1812.350187356177</v>
      </c>
      <c r="P86" s="106">
        <v>3.0884127300490687</v>
      </c>
      <c r="Q86" s="106">
        <v>1667.7428742264972</v>
      </c>
      <c r="R86" s="106">
        <v>2.7913601407224138</v>
      </c>
      <c r="S86" s="106">
        <v>1507.3344759901036</v>
      </c>
      <c r="T86" s="106">
        <v>18.798808060948634</v>
      </c>
      <c r="U86" s="106">
        <v>10151.356352912262</v>
      </c>
      <c r="V86" s="106">
        <v>0</v>
      </c>
      <c r="W86" s="106">
        <v>0</v>
      </c>
      <c r="X86" s="106">
        <v>5.3291634027234354</v>
      </c>
      <c r="Y86" s="106">
        <v>2877.7482374706551</v>
      </c>
      <c r="Z86" s="106">
        <v>6.0465058593276018</v>
      </c>
      <c r="AA86" s="106">
        <v>3265.1131640369049</v>
      </c>
      <c r="AB86" s="106">
        <v>4.1235932230833079</v>
      </c>
      <c r="AC86" s="106">
        <v>2226.7403404649863</v>
      </c>
      <c r="AD86" s="106">
        <v>6.4761511844556825</v>
      </c>
      <c r="AE86" s="106">
        <v>3497.1216396060686</v>
      </c>
      <c r="AF86" s="106">
        <v>0</v>
      </c>
      <c r="AG86" s="106">
        <v>0</v>
      </c>
      <c r="AH86" s="106">
        <v>16.085092995918075</v>
      </c>
      <c r="AI86" s="106">
        <v>8685.9502177957602</v>
      </c>
      <c r="AJ86" s="106">
        <v>11.860759493670889</v>
      </c>
      <c r="AK86" s="106">
        <v>6404.8101265822797</v>
      </c>
      <c r="AL86" s="106">
        <v>0</v>
      </c>
      <c r="AM86" s="106">
        <v>0</v>
      </c>
      <c r="AN86" s="106">
        <v>9.9781943448140105</v>
      </c>
      <c r="AO86" s="106">
        <v>5388.2249461995652</v>
      </c>
      <c r="AP86" s="106">
        <v>8.0985374181736809</v>
      </c>
      <c r="AQ86" s="106">
        <v>4373.210205813788</v>
      </c>
      <c r="AR86" s="106">
        <v>7.5948536506915394</v>
      </c>
      <c r="AS86" s="106">
        <v>4101.220971373431</v>
      </c>
      <c r="AT86" s="106">
        <v>0</v>
      </c>
      <c r="AU86" s="106">
        <v>0</v>
      </c>
      <c r="AV86" s="106">
        <v>10.228655931511533</v>
      </c>
      <c r="AW86" s="106">
        <v>5523.4742030162279</v>
      </c>
      <c r="AX86" s="106">
        <v>4.6582294975244762</v>
      </c>
      <c r="AY86" s="106">
        <v>2515.4439286632173</v>
      </c>
      <c r="AZ86" s="106">
        <v>2.0932978723404259</v>
      </c>
      <c r="BA86" s="106">
        <v>1130.3808510638301</v>
      </c>
      <c r="BB86" s="106">
        <v>7.0824797572289473</v>
      </c>
      <c r="BC86" s="106">
        <v>3824.5390689036317</v>
      </c>
      <c r="BD86" s="106">
        <v>5.1597601421254176</v>
      </c>
      <c r="BE86" s="106">
        <v>2786.2704767477253</v>
      </c>
      <c r="BF86" s="106">
        <v>4.5167371519619568</v>
      </c>
      <c r="BG86" s="106">
        <v>2439.0380620594565</v>
      </c>
      <c r="BH86" s="106">
        <v>7.731877188185539</v>
      </c>
      <c r="BI86" s="106">
        <v>4175.213681620191</v>
      </c>
      <c r="BJ86" s="106">
        <v>7.4376966484268126</v>
      </c>
      <c r="BK86" s="106">
        <v>4016.3561901504786</v>
      </c>
      <c r="BL86" s="106">
        <v>0</v>
      </c>
      <c r="BM86" s="106">
        <v>0</v>
      </c>
      <c r="BN86" s="106">
        <v>6.1878014412385145</v>
      </c>
      <c r="BO86" s="106">
        <v>3341.4127782687979</v>
      </c>
      <c r="BP86" s="106">
        <v>3.3714416117275268</v>
      </c>
      <c r="BQ86" s="106">
        <v>1820.5784703328645</v>
      </c>
      <c r="BR86" s="106">
        <v>5.2160169175157964</v>
      </c>
      <c r="BS86" s="106">
        <v>2816.6491354585301</v>
      </c>
      <c r="BT86" s="106">
        <v>2.0148790951638067</v>
      </c>
      <c r="BU86" s="106">
        <v>1088.0347113884557</v>
      </c>
      <c r="BV86" s="106">
        <v>0</v>
      </c>
      <c r="BW86" s="106">
        <v>0</v>
      </c>
      <c r="BX86" s="106">
        <v>4.4673913629820818</v>
      </c>
      <c r="BY86" s="106">
        <v>2412.3913360103243</v>
      </c>
      <c r="BZ86" s="106">
        <v>3.4589041095890409</v>
      </c>
      <c r="CA86" s="106">
        <v>1867.808219178082</v>
      </c>
      <c r="CB86" s="106">
        <v>0</v>
      </c>
      <c r="CC86" s="106">
        <v>0</v>
      </c>
      <c r="CD86" s="106">
        <v>4.8830775803060638</v>
      </c>
      <c r="CE86" s="106">
        <v>2636.8618933652742</v>
      </c>
      <c r="CF86" s="106">
        <v>6.312425007577378</v>
      </c>
      <c r="CG86" s="106">
        <v>3408.7095040917843</v>
      </c>
      <c r="CH86" s="106">
        <v>8.611185187606246</v>
      </c>
      <c r="CI86" s="106">
        <v>4650.0400013073731</v>
      </c>
      <c r="CJ86" s="106">
        <v>7.1089799319598139</v>
      </c>
      <c r="CK86" s="106">
        <v>3838.8491632582995</v>
      </c>
      <c r="CL86" s="106">
        <v>7.8371640879478823</v>
      </c>
      <c r="CM86" s="106">
        <v>4232.0686074918567</v>
      </c>
      <c r="CN86" s="106">
        <v>0</v>
      </c>
      <c r="CO86" s="106">
        <v>0</v>
      </c>
      <c r="CP86" s="106">
        <v>1.0540863292427709</v>
      </c>
      <c r="CQ86" s="106">
        <v>569.20661779109628</v>
      </c>
      <c r="CR86" s="106">
        <v>1.1491402291528279</v>
      </c>
      <c r="CS86" s="106">
        <v>620.53572374252701</v>
      </c>
      <c r="CT86" s="106">
        <v>0.81856399884426478</v>
      </c>
      <c r="CU86" s="106">
        <v>442.02455937590298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7.7795585095245352</v>
      </c>
      <c r="O87" s="106">
        <v>15207.48097441856</v>
      </c>
      <c r="P87" s="106">
        <v>12.711842736612233</v>
      </c>
      <c r="Q87" s="106">
        <v>24849.110181529592</v>
      </c>
      <c r="R87" s="106">
        <v>8.8481347559972541</v>
      </c>
      <c r="S87" s="106">
        <v>17296.333821023432</v>
      </c>
      <c r="T87" s="106">
        <v>12.041066601130499</v>
      </c>
      <c r="U87" s="106">
        <v>23537.876991889898</v>
      </c>
      <c r="V87" s="106">
        <v>0</v>
      </c>
      <c r="W87" s="106">
        <v>0</v>
      </c>
      <c r="X87" s="106">
        <v>6.130428462003545</v>
      </c>
      <c r="Y87" s="106">
        <v>11983.761557524529</v>
      </c>
      <c r="Z87" s="106">
        <v>3.6569350944471917</v>
      </c>
      <c r="AA87" s="106">
        <v>7148.5767226253702</v>
      </c>
      <c r="AB87" s="106">
        <v>2.7398967293848568</v>
      </c>
      <c r="AC87" s="106">
        <v>5355.9501266015177</v>
      </c>
      <c r="AD87" s="106">
        <v>3.726004791056694</v>
      </c>
      <c r="AE87" s="106">
        <v>7283.5941655576253</v>
      </c>
      <c r="AF87" s="106">
        <v>0</v>
      </c>
      <c r="AG87" s="106">
        <v>0</v>
      </c>
      <c r="AH87" s="106">
        <v>8.0546448841621316</v>
      </c>
      <c r="AI87" s="106">
        <v>15745.219819560134</v>
      </c>
      <c r="AJ87" s="106">
        <v>7.3321058688147316</v>
      </c>
      <c r="AK87" s="106">
        <v>14332.800552359036</v>
      </c>
      <c r="AL87" s="106">
        <v>0</v>
      </c>
      <c r="AM87" s="106">
        <v>0</v>
      </c>
      <c r="AN87" s="106">
        <v>5.015783276001506</v>
      </c>
      <c r="AO87" s="106">
        <v>9804.8531479277444</v>
      </c>
      <c r="AP87" s="106">
        <v>7.3163513552843042</v>
      </c>
      <c r="AQ87" s="106">
        <v>14302.003629309758</v>
      </c>
      <c r="AR87" s="106">
        <v>2.8028626568028301</v>
      </c>
      <c r="AS87" s="106">
        <v>5479.0359215181725</v>
      </c>
      <c r="AT87" s="106">
        <v>0</v>
      </c>
      <c r="AU87" s="106">
        <v>0</v>
      </c>
      <c r="AV87" s="106">
        <v>3.7443724975017836</v>
      </c>
      <c r="AW87" s="106">
        <v>7319.4993581164863</v>
      </c>
      <c r="AX87" s="106">
        <v>1.3967615401882032</v>
      </c>
      <c r="AY87" s="106">
        <v>2730.3894587598998</v>
      </c>
      <c r="AZ87" s="106">
        <v>3.4888297872340424</v>
      </c>
      <c r="BA87" s="106">
        <v>6819.9644680851061</v>
      </c>
      <c r="BB87" s="106">
        <v>9.8538848796228837</v>
      </c>
      <c r="BC87" s="106">
        <v>19262.374162686814</v>
      </c>
      <c r="BD87" s="106">
        <v>5.5510743568818892</v>
      </c>
      <c r="BE87" s="106">
        <v>10851.240152832717</v>
      </c>
      <c r="BF87" s="106">
        <v>5.4577240586206983</v>
      </c>
      <c r="BG87" s="106">
        <v>10668.758989791741</v>
      </c>
      <c r="BH87" s="106">
        <v>7.7284185972119612</v>
      </c>
      <c r="BI87" s="106">
        <v>15107.512673829942</v>
      </c>
      <c r="BJ87" s="106">
        <v>6.5827889876880983</v>
      </c>
      <c r="BK87" s="106">
        <v>12868.035913132695</v>
      </c>
      <c r="BL87" s="106">
        <v>0</v>
      </c>
      <c r="BM87" s="106">
        <v>0</v>
      </c>
      <c r="BN87" s="106">
        <v>3.3688656854506851</v>
      </c>
      <c r="BO87" s="106">
        <v>6585.4586419189991</v>
      </c>
      <c r="BP87" s="106">
        <v>12.135111501357541</v>
      </c>
      <c r="BQ87" s="106">
        <v>23721.715962853719</v>
      </c>
      <c r="BR87" s="106">
        <v>14.97874784067052</v>
      </c>
      <c r="BS87" s="106">
        <v>29280.456278942733</v>
      </c>
      <c r="BT87" s="106">
        <v>5.7196567862714511</v>
      </c>
      <c r="BU87" s="106">
        <v>11180.785085803433</v>
      </c>
      <c r="BV87" s="106">
        <v>0</v>
      </c>
      <c r="BW87" s="106">
        <v>0</v>
      </c>
      <c r="BX87" s="106">
        <v>15.139726964962643</v>
      </c>
      <c r="BY87" s="106">
        <v>29595.138271108972</v>
      </c>
      <c r="BZ87" s="106">
        <v>15.772602739726029</v>
      </c>
      <c r="CA87" s="106">
        <v>30832.283835616439</v>
      </c>
      <c r="CB87" s="106">
        <v>0</v>
      </c>
      <c r="CC87" s="106">
        <v>0</v>
      </c>
      <c r="CD87" s="106">
        <v>29.273213498491952</v>
      </c>
      <c r="CE87" s="106">
        <v>57223.277746852065</v>
      </c>
      <c r="CF87" s="106">
        <v>4.9973364643320908</v>
      </c>
      <c r="CG87" s="106">
        <v>9768.7933204763704</v>
      </c>
      <c r="CH87" s="106">
        <v>3.3853971074651845</v>
      </c>
      <c r="CI87" s="106">
        <v>6617.7742656729424</v>
      </c>
      <c r="CJ87" s="106">
        <v>3.704679682852297</v>
      </c>
      <c r="CK87" s="106">
        <v>7241.9078440396697</v>
      </c>
      <c r="CL87" s="106">
        <v>5.1908489413680776</v>
      </c>
      <c r="CM87" s="106">
        <v>10147.071510586318</v>
      </c>
      <c r="CN87" s="106">
        <v>0</v>
      </c>
      <c r="CO87" s="106">
        <v>0</v>
      </c>
      <c r="CP87" s="106">
        <v>1.2120191926974955</v>
      </c>
      <c r="CQ87" s="106">
        <v>2369.255117885064</v>
      </c>
      <c r="CR87" s="106">
        <v>1.1373223089919067</v>
      </c>
      <c r="CS87" s="106">
        <v>2223.2376496173792</v>
      </c>
      <c r="CT87" s="106">
        <v>0.77041317538283738</v>
      </c>
      <c r="CU87" s="106">
        <v>1506.0036752383705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8.9960609430605345</v>
      </c>
      <c r="O88" s="106">
        <v>17024.145728647753</v>
      </c>
      <c r="P88" s="106">
        <v>11.670949540807534</v>
      </c>
      <c r="Q88" s="106">
        <v>22086.104911024177</v>
      </c>
      <c r="R88" s="106">
        <v>9.3221419750685346</v>
      </c>
      <c r="S88" s="106">
        <v>17641.221473619695</v>
      </c>
      <c r="T88" s="106">
        <v>10.443782256082574</v>
      </c>
      <c r="U88" s="106">
        <v>19763.813541410662</v>
      </c>
      <c r="V88" s="106">
        <v>0</v>
      </c>
      <c r="W88" s="106">
        <v>0</v>
      </c>
      <c r="X88" s="106">
        <v>6.1218191076799791</v>
      </c>
      <c r="Y88" s="106">
        <v>11584.930479373592</v>
      </c>
      <c r="Z88" s="106">
        <v>4.4370812479292594</v>
      </c>
      <c r="AA88" s="106">
        <v>8396.7325535813306</v>
      </c>
      <c r="AB88" s="106">
        <v>2.8781175159743544</v>
      </c>
      <c r="AC88" s="106">
        <v>5446.5495872298679</v>
      </c>
      <c r="AD88" s="106">
        <v>3.8147191908437583</v>
      </c>
      <c r="AE88" s="106">
        <v>7218.9745967527278</v>
      </c>
      <c r="AF88" s="106">
        <v>0</v>
      </c>
      <c r="AG88" s="106">
        <v>0</v>
      </c>
      <c r="AH88" s="106">
        <v>8.3460969165669958</v>
      </c>
      <c r="AI88" s="106">
        <v>15794.153804911382</v>
      </c>
      <c r="AJ88" s="106">
        <v>8.6260069044879195</v>
      </c>
      <c r="AK88" s="106">
        <v>16323.855466052937</v>
      </c>
      <c r="AL88" s="106">
        <v>0</v>
      </c>
      <c r="AM88" s="106">
        <v>0</v>
      </c>
      <c r="AN88" s="106">
        <v>5.1590913696015486</v>
      </c>
      <c r="AO88" s="106">
        <v>9763.0645078339694</v>
      </c>
      <c r="AP88" s="106">
        <v>6.5659563444859135</v>
      </c>
      <c r="AQ88" s="106">
        <v>12425.415786305142</v>
      </c>
      <c r="AR88" s="106">
        <v>2.8028626568028301</v>
      </c>
      <c r="AS88" s="106">
        <v>5304.1372917336748</v>
      </c>
      <c r="AT88" s="106">
        <v>0</v>
      </c>
      <c r="AU88" s="106">
        <v>0</v>
      </c>
      <c r="AV88" s="106">
        <v>3.2603200615538368</v>
      </c>
      <c r="AW88" s="106">
        <v>6169.8296844844799</v>
      </c>
      <c r="AX88" s="106">
        <v>1.202264694000434</v>
      </c>
      <c r="AY88" s="106">
        <v>2275.1657069264211</v>
      </c>
      <c r="AZ88" s="106">
        <v>4.0869148936170214</v>
      </c>
      <c r="BA88" s="106">
        <v>7734.0777446808506</v>
      </c>
      <c r="BB88" s="106">
        <v>10.777686587087528</v>
      </c>
      <c r="BC88" s="106">
        <v>20395.694097404437</v>
      </c>
      <c r="BD88" s="106">
        <v>4.8109311092976377</v>
      </c>
      <c r="BE88" s="106">
        <v>9104.2060312348494</v>
      </c>
      <c r="BF88" s="106">
        <v>4.8931319146254539</v>
      </c>
      <c r="BG88" s="106">
        <v>9259.7628352372085</v>
      </c>
      <c r="BH88" s="106">
        <v>8.3872546342307288</v>
      </c>
      <c r="BI88" s="106">
        <v>15872.040669818231</v>
      </c>
      <c r="BJ88" s="106">
        <v>6.6682797537619694</v>
      </c>
      <c r="BK88" s="106">
        <v>12619.05260601915</v>
      </c>
      <c r="BL88" s="106">
        <v>0</v>
      </c>
      <c r="BM88" s="106">
        <v>0</v>
      </c>
      <c r="BN88" s="106">
        <v>3.8725239422956808</v>
      </c>
      <c r="BO88" s="106">
        <v>7328.3643084003461</v>
      </c>
      <c r="BP88" s="106">
        <v>10.805236281182303</v>
      </c>
      <c r="BQ88" s="106">
        <v>20447.829138509387</v>
      </c>
      <c r="BR88" s="106">
        <v>13.752921173537132</v>
      </c>
      <c r="BS88" s="106">
        <v>26026.028028801666</v>
      </c>
      <c r="BT88" s="106">
        <v>5.7846528861154445</v>
      </c>
      <c r="BU88" s="106">
        <v>10946.877121684867</v>
      </c>
      <c r="BV88" s="106">
        <v>0</v>
      </c>
      <c r="BW88" s="106">
        <v>0</v>
      </c>
      <c r="BX88" s="106">
        <v>14.736173261112045</v>
      </c>
      <c r="BY88" s="106">
        <v>27886.734279328433</v>
      </c>
      <c r="BZ88" s="106">
        <v>14.527397260273974</v>
      </c>
      <c r="CA88" s="106">
        <v>27491.646575342467</v>
      </c>
      <c r="CB88" s="106">
        <v>0</v>
      </c>
      <c r="CC88" s="106">
        <v>0</v>
      </c>
      <c r="CD88" s="106">
        <v>31.483396759340103</v>
      </c>
      <c r="CE88" s="106">
        <v>59579.180027375209</v>
      </c>
      <c r="CF88" s="106">
        <v>6.0494072989283207</v>
      </c>
      <c r="CG88" s="106">
        <v>11447.898372491953</v>
      </c>
      <c r="CH88" s="106">
        <v>3.3853971074651845</v>
      </c>
      <c r="CI88" s="106">
        <v>6406.5254861671147</v>
      </c>
      <c r="CJ88" s="106">
        <v>3.5044267270224432</v>
      </c>
      <c r="CK88" s="106">
        <v>6631.7771382172714</v>
      </c>
      <c r="CL88" s="106">
        <v>6.1068811074918568</v>
      </c>
      <c r="CM88" s="106">
        <v>11556.661807817589</v>
      </c>
      <c r="CN88" s="106">
        <v>0</v>
      </c>
      <c r="CO88" s="106">
        <v>0</v>
      </c>
      <c r="CP88" s="106">
        <v>1.257572885439284</v>
      </c>
      <c r="CQ88" s="106">
        <v>2379.8309284053007</v>
      </c>
      <c r="CR88" s="106">
        <v>0.96205834729449458</v>
      </c>
      <c r="CS88" s="106">
        <v>1820.5992164201014</v>
      </c>
      <c r="CT88" s="106">
        <v>0.81856399884426478</v>
      </c>
      <c r="CU88" s="106">
        <v>1549.0505114128866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7.2238757588442111</v>
      </c>
      <c r="O89" s="106">
        <v>17319.964519404879</v>
      </c>
      <c r="P89" s="106">
        <v>10.985543105714278</v>
      </c>
      <c r="Q89" s="106">
        <v>26338.938150260554</v>
      </c>
      <c r="R89" s="106">
        <v>8.3741275369259718</v>
      </c>
      <c r="S89" s="106">
        <v>20077.80818253371</v>
      </c>
      <c r="T89" s="106">
        <v>10.81238633570902</v>
      </c>
      <c r="U89" s="106">
        <v>25923.777478495944</v>
      </c>
      <c r="V89" s="106">
        <v>0</v>
      </c>
      <c r="W89" s="106">
        <v>0</v>
      </c>
      <c r="X89" s="106">
        <v>5.4110642720758344</v>
      </c>
      <c r="Y89" s="106">
        <v>12973.567698729021</v>
      </c>
      <c r="Z89" s="106">
        <v>3.9725406201985685</v>
      </c>
      <c r="AA89" s="106">
        <v>9524.5633909880871</v>
      </c>
      <c r="AB89" s="106">
        <v>2.5474277406730041</v>
      </c>
      <c r="AC89" s="106">
        <v>6107.7127510375949</v>
      </c>
      <c r="AD89" s="106">
        <v>3.1937183923343091</v>
      </c>
      <c r="AE89" s="106">
        <v>7657.2592174607389</v>
      </c>
      <c r="AF89" s="106">
        <v>0</v>
      </c>
      <c r="AG89" s="106">
        <v>0</v>
      </c>
      <c r="AH89" s="106">
        <v>8.1533870714378232</v>
      </c>
      <c r="AI89" s="106">
        <v>19548.560842479324</v>
      </c>
      <c r="AJ89" s="106">
        <v>7.1164556962025332</v>
      </c>
      <c r="AK89" s="106">
        <v>17062.414177215192</v>
      </c>
      <c r="AL89" s="106">
        <v>0</v>
      </c>
      <c r="AM89" s="106">
        <v>0</v>
      </c>
      <c r="AN89" s="106">
        <v>5.0359056842612944</v>
      </c>
      <c r="AO89" s="106">
        <v>12074.087468584879</v>
      </c>
      <c r="AP89" s="106">
        <v>6.1907588390867181</v>
      </c>
      <c r="AQ89" s="106">
        <v>14842.963392594314</v>
      </c>
      <c r="AR89" s="106">
        <v>2.5316178835638468</v>
      </c>
      <c r="AS89" s="106">
        <v>6069.8070376326787</v>
      </c>
      <c r="AT89" s="106">
        <v>0</v>
      </c>
      <c r="AU89" s="106">
        <v>0</v>
      </c>
      <c r="AV89" s="106">
        <v>3.1357451016952194</v>
      </c>
      <c r="AW89" s="106">
        <v>7518.2624558244579</v>
      </c>
      <c r="AX89" s="106">
        <v>1.1416328425180611</v>
      </c>
      <c r="AY89" s="106">
        <v>2737.1789032213032</v>
      </c>
      <c r="AZ89" s="106">
        <v>3.7878723404255323</v>
      </c>
      <c r="BA89" s="106">
        <v>9081.8027234042565</v>
      </c>
      <c r="BB89" s="106">
        <v>10.777686587087528</v>
      </c>
      <c r="BC89" s="106">
        <v>25840.581361201057</v>
      </c>
      <c r="BD89" s="106">
        <v>4.6258952974015743</v>
      </c>
      <c r="BE89" s="106">
        <v>11091.046565050014</v>
      </c>
      <c r="BF89" s="106">
        <v>5.0813292959572012</v>
      </c>
      <c r="BG89" s="106">
        <v>12182.995119986985</v>
      </c>
      <c r="BH89" s="106">
        <v>7.5542633411722919</v>
      </c>
      <c r="BI89" s="106">
        <v>18112.101786794687</v>
      </c>
      <c r="BJ89" s="106">
        <v>6.3263166894664842</v>
      </c>
      <c r="BK89" s="106">
        <v>15167.976894664842</v>
      </c>
      <c r="BL89" s="106">
        <v>0</v>
      </c>
      <c r="BM89" s="106">
        <v>0</v>
      </c>
      <c r="BN89" s="106">
        <v>3.0761152085466446</v>
      </c>
      <c r="BO89" s="106">
        <v>7375.2938240114345</v>
      </c>
      <c r="BP89" s="106">
        <v>10.649391624090555</v>
      </c>
      <c r="BQ89" s="106">
        <v>25532.981357919514</v>
      </c>
      <c r="BR89" s="106">
        <v>12.36751736776414</v>
      </c>
      <c r="BS89" s="106">
        <v>29652.359640951301</v>
      </c>
      <c r="BT89" s="106">
        <v>5.6546606864274578</v>
      </c>
      <c r="BU89" s="106">
        <v>13557.614461778472</v>
      </c>
      <c r="BV89" s="106">
        <v>0</v>
      </c>
      <c r="BW89" s="106">
        <v>0</v>
      </c>
      <c r="BX89" s="106">
        <v>13.870585580304709</v>
      </c>
      <c r="BY89" s="106">
        <v>33256.11598733857</v>
      </c>
      <c r="BZ89" s="106">
        <v>13.697260273972603</v>
      </c>
      <c r="CA89" s="106">
        <v>32840.551232876714</v>
      </c>
      <c r="CB89" s="106">
        <v>0</v>
      </c>
      <c r="CC89" s="106">
        <v>0</v>
      </c>
      <c r="CD89" s="106">
        <v>28.074978732893182</v>
      </c>
      <c r="CE89" s="106">
        <v>67312.569009984698</v>
      </c>
      <c r="CF89" s="106">
        <v>4.8658276100075621</v>
      </c>
      <c r="CG89" s="106">
        <v>11666.308277754131</v>
      </c>
      <c r="CH89" s="106">
        <v>3.3853971074651845</v>
      </c>
      <c r="CI89" s="106">
        <v>8116.8281048585259</v>
      </c>
      <c r="CJ89" s="106">
        <v>3.704679682852297</v>
      </c>
      <c r="CK89" s="106">
        <v>8882.3400076066664</v>
      </c>
      <c r="CL89" s="106">
        <v>5.0890675895765467</v>
      </c>
      <c r="CM89" s="106">
        <v>12201.548452768728</v>
      </c>
      <c r="CN89" s="106">
        <v>0</v>
      </c>
      <c r="CO89" s="106">
        <v>0</v>
      </c>
      <c r="CP89" s="106">
        <v>1.1714774108035426</v>
      </c>
      <c r="CQ89" s="106">
        <v>2808.7342401425735</v>
      </c>
      <c r="CR89" s="106">
        <v>0.9170259779302341</v>
      </c>
      <c r="CS89" s="106">
        <v>2198.6614846855291</v>
      </c>
      <c r="CT89" s="106">
        <v>0.81856399884426478</v>
      </c>
      <c r="CU89" s="106">
        <v>1962.5890436290092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8.0573998848646973</v>
      </c>
      <c r="O90" s="106">
        <v>17703.719027024712</v>
      </c>
      <c r="P90" s="106">
        <v>11.216239941926476</v>
      </c>
      <c r="Q90" s="106">
        <v>24644.322400400852</v>
      </c>
      <c r="R90" s="106">
        <v>8.2161251305688783</v>
      </c>
      <c r="S90" s="106">
        <v>18052.470136885939</v>
      </c>
      <c r="T90" s="106">
        <v>11.672462521504055</v>
      </c>
      <c r="U90" s="106">
        <v>25646.73465224871</v>
      </c>
      <c r="V90" s="106">
        <v>0</v>
      </c>
      <c r="W90" s="106">
        <v>0</v>
      </c>
      <c r="X90" s="106">
        <v>5.8958060112884469</v>
      </c>
      <c r="Y90" s="106">
        <v>12954.264968002975</v>
      </c>
      <c r="Z90" s="106">
        <v>3.8460893306539643</v>
      </c>
      <c r="AA90" s="106">
        <v>8450.6274773128898</v>
      </c>
      <c r="AB90" s="106">
        <v>2.4448762128972521</v>
      </c>
      <c r="AC90" s="106">
        <v>5371.8820149778421</v>
      </c>
      <c r="AD90" s="106">
        <v>3.4598615916955016</v>
      </c>
      <c r="AE90" s="106">
        <v>7602.0078892733554</v>
      </c>
      <c r="AF90" s="106">
        <v>0</v>
      </c>
      <c r="AG90" s="106">
        <v>0</v>
      </c>
      <c r="AH90" s="106">
        <v>7.4476520887112576</v>
      </c>
      <c r="AI90" s="106">
        <v>16363.981169316374</v>
      </c>
      <c r="AJ90" s="106">
        <v>8.1947065592635226</v>
      </c>
      <c r="AK90" s="106">
        <v>18005.409252013811</v>
      </c>
      <c r="AL90" s="106">
        <v>0</v>
      </c>
      <c r="AM90" s="106">
        <v>0</v>
      </c>
      <c r="AN90" s="106">
        <v>5.4772406339587318</v>
      </c>
      <c r="AO90" s="106">
        <v>12034.593120934125</v>
      </c>
      <c r="AP90" s="106">
        <v>6.3783575917863162</v>
      </c>
      <c r="AQ90" s="106">
        <v>14014.527300672893</v>
      </c>
      <c r="AR90" s="106">
        <v>2.5316178835638468</v>
      </c>
      <c r="AS90" s="106">
        <v>5562.4708137664838</v>
      </c>
      <c r="AT90" s="106">
        <v>0</v>
      </c>
      <c r="AU90" s="106">
        <v>0</v>
      </c>
      <c r="AV90" s="106">
        <v>3.3635239161826704</v>
      </c>
      <c r="AW90" s="106">
        <v>7390.3347486365628</v>
      </c>
      <c r="AX90" s="106">
        <v>1.271717449701262</v>
      </c>
      <c r="AY90" s="106">
        <v>2794.2175804836124</v>
      </c>
      <c r="AZ90" s="106">
        <v>3.9872340425531916</v>
      </c>
      <c r="BA90" s="106">
        <v>8760.7506382978718</v>
      </c>
      <c r="BB90" s="106">
        <v>9.8538848796228837</v>
      </c>
      <c r="BC90" s="106">
        <v>21650.955857507397</v>
      </c>
      <c r="BD90" s="106">
        <v>4.8109311092976377</v>
      </c>
      <c r="BE90" s="106">
        <v>10570.577833348769</v>
      </c>
      <c r="BF90" s="106">
        <v>4.8931319146254539</v>
      </c>
      <c r="BG90" s="106">
        <v>10751.189442815046</v>
      </c>
      <c r="BH90" s="106">
        <v>7.9833317139918245</v>
      </c>
      <c r="BI90" s="106">
        <v>17540.976441982835</v>
      </c>
      <c r="BJ90" s="106">
        <v>7.2667151162790695</v>
      </c>
      <c r="BK90" s="106">
        <v>15966.42645348837</v>
      </c>
      <c r="BL90" s="106">
        <v>0</v>
      </c>
      <c r="BM90" s="106">
        <v>0</v>
      </c>
      <c r="BN90" s="106">
        <v>3.6541975242943754</v>
      </c>
      <c r="BO90" s="106">
        <v>8029.0028003796006</v>
      </c>
      <c r="BP90" s="106">
        <v>9.8338037019629851</v>
      </c>
      <c r="BQ90" s="106">
        <v>21606.833493953069</v>
      </c>
      <c r="BR90" s="106">
        <v>13.95576783400592</v>
      </c>
      <c r="BS90" s="106">
        <v>30663.613084877805</v>
      </c>
      <c r="BT90" s="106">
        <v>5.1996879875195008</v>
      </c>
      <c r="BU90" s="106">
        <v>11424.754446177847</v>
      </c>
      <c r="BV90" s="106">
        <v>0</v>
      </c>
      <c r="BW90" s="106">
        <v>0</v>
      </c>
      <c r="BX90" s="106">
        <v>12.659924468752919</v>
      </c>
      <c r="BY90" s="106">
        <v>27816.38604274391</v>
      </c>
      <c r="BZ90" s="106">
        <v>15.080821917808219</v>
      </c>
      <c r="CA90" s="106">
        <v>33135.581917808217</v>
      </c>
      <c r="CB90" s="106">
        <v>0</v>
      </c>
      <c r="CC90" s="106">
        <v>0</v>
      </c>
      <c r="CD90" s="106">
        <v>26.996928657842403</v>
      </c>
      <c r="CE90" s="106">
        <v>59317.65164701132</v>
      </c>
      <c r="CF90" s="106">
        <v>5.654880735954734</v>
      </c>
      <c r="CG90" s="106">
        <v>12424.90395303974</v>
      </c>
      <c r="CH90" s="106">
        <v>3.4794359160058845</v>
      </c>
      <c r="CI90" s="106">
        <v>7645.0165946481293</v>
      </c>
      <c r="CJ90" s="106">
        <v>3.8048061607672241</v>
      </c>
      <c r="CK90" s="106">
        <v>8359.9200964377433</v>
      </c>
      <c r="CL90" s="106">
        <v>4.9872862377850158</v>
      </c>
      <c r="CM90" s="106">
        <v>10958.065321661235</v>
      </c>
      <c r="CN90" s="106">
        <v>0</v>
      </c>
      <c r="CO90" s="106">
        <v>0</v>
      </c>
      <c r="CP90" s="106">
        <v>1.2425371528957763</v>
      </c>
      <c r="CQ90" s="106">
        <v>2730.1026323425995</v>
      </c>
      <c r="CR90" s="106">
        <v>0.98739418305721949</v>
      </c>
      <c r="CS90" s="106">
        <v>2169.5024990133224</v>
      </c>
      <c r="CT90" s="106">
        <v>0.77041317538283738</v>
      </c>
      <c r="CU90" s="106">
        <v>1692.7518289511702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7.5017171341843731</v>
      </c>
      <c r="O91" s="106">
        <v>17229.943913794665</v>
      </c>
      <c r="P91" s="106">
        <v>10.043925125224481</v>
      </c>
      <c r="Q91" s="106">
        <v>23068.887227615585</v>
      </c>
      <c r="R91" s="106">
        <v>9.1641395687114411</v>
      </c>
      <c r="S91" s="106">
        <v>21048.195761416435</v>
      </c>
      <c r="T91" s="106">
        <v>9.5837060702875387</v>
      </c>
      <c r="U91" s="106">
        <v>22011.856102236416</v>
      </c>
      <c r="V91" s="106">
        <v>0</v>
      </c>
      <c r="W91" s="106">
        <v>0</v>
      </c>
      <c r="X91" s="106">
        <v>5.4024549177522703</v>
      </c>
      <c r="Y91" s="106">
        <v>12408.358455093412</v>
      </c>
      <c r="Z91" s="106">
        <v>3.932455410583001</v>
      </c>
      <c r="AA91" s="106">
        <v>9032.0635870270362</v>
      </c>
      <c r="AB91" s="106">
        <v>2.3036829880732754</v>
      </c>
      <c r="AC91" s="106">
        <v>5291.099087006698</v>
      </c>
      <c r="AD91" s="106">
        <v>3.3711471919084377</v>
      </c>
      <c r="AE91" s="106">
        <v>7742.8508703752987</v>
      </c>
      <c r="AF91" s="106">
        <v>0</v>
      </c>
      <c r="AG91" s="106">
        <v>0</v>
      </c>
      <c r="AH91" s="106">
        <v>8.1413427061172516</v>
      </c>
      <c r="AI91" s="106">
        <v>18699.035927410103</v>
      </c>
      <c r="AJ91" s="106">
        <v>7.3321058688147316</v>
      </c>
      <c r="AK91" s="106">
        <v>16840.380759493673</v>
      </c>
      <c r="AL91" s="106">
        <v>0</v>
      </c>
      <c r="AM91" s="106">
        <v>0</v>
      </c>
      <c r="AN91" s="106">
        <v>4.2992428080012903</v>
      </c>
      <c r="AO91" s="106">
        <v>9874.5008814173616</v>
      </c>
      <c r="AP91" s="106">
        <v>6.0031600863871217</v>
      </c>
      <c r="AQ91" s="106">
        <v>13788.058086413939</v>
      </c>
      <c r="AR91" s="106">
        <v>2.8932775812158247</v>
      </c>
      <c r="AS91" s="106">
        <v>6645.2799485365049</v>
      </c>
      <c r="AT91" s="106">
        <v>0</v>
      </c>
      <c r="AU91" s="106">
        <v>0</v>
      </c>
      <c r="AV91" s="106">
        <v>3.5960518651656295</v>
      </c>
      <c r="AW91" s="106">
        <v>8259.4119239124175</v>
      </c>
      <c r="AX91" s="106">
        <v>1.1997444356523042</v>
      </c>
      <c r="AY91" s="106">
        <v>2755.573019806212</v>
      </c>
      <c r="AZ91" s="106">
        <v>3.5885106382978726</v>
      </c>
      <c r="BA91" s="106">
        <v>8242.091234042553</v>
      </c>
      <c r="BB91" s="106">
        <v>9.8538848796228837</v>
      </c>
      <c r="BC91" s="106">
        <v>22632.402791517838</v>
      </c>
      <c r="BD91" s="106">
        <v>5.1810027330897634</v>
      </c>
      <c r="BE91" s="106">
        <v>11899.727077360567</v>
      </c>
      <c r="BF91" s="106">
        <v>4.7049345332937058</v>
      </c>
      <c r="BG91" s="106">
        <v>10806.293636068982</v>
      </c>
      <c r="BH91" s="106">
        <v>7.7176419746774068</v>
      </c>
      <c r="BI91" s="106">
        <v>17725.880087439065</v>
      </c>
      <c r="BJ91" s="106">
        <v>6.1553351573187411</v>
      </c>
      <c r="BK91" s="106">
        <v>14137.573789329683</v>
      </c>
      <c r="BL91" s="106">
        <v>0</v>
      </c>
      <c r="BM91" s="106">
        <v>0</v>
      </c>
      <c r="BN91" s="106">
        <v>3.5797734653916398</v>
      </c>
      <c r="BO91" s="106">
        <v>8222.0236953115163</v>
      </c>
      <c r="BP91" s="106">
        <v>9.4545829772488492</v>
      </c>
      <c r="BQ91" s="106">
        <v>21715.286182145155</v>
      </c>
      <c r="BR91" s="106">
        <v>12.410480443551727</v>
      </c>
      <c r="BS91" s="106">
        <v>28504.391482749601</v>
      </c>
      <c r="BT91" s="106">
        <v>5.1346918876755074</v>
      </c>
      <c r="BU91" s="106">
        <v>11793.360327613103</v>
      </c>
      <c r="BV91" s="106">
        <v>0</v>
      </c>
      <c r="BW91" s="106">
        <v>0</v>
      </c>
      <c r="BX91" s="106">
        <v>13.897576475584469</v>
      </c>
      <c r="BY91" s="106">
        <v>31919.953649122403</v>
      </c>
      <c r="BZ91" s="106">
        <v>15.772602739726029</v>
      </c>
      <c r="CA91" s="106">
        <v>36226.513972602741</v>
      </c>
      <c r="CB91" s="106">
        <v>0</v>
      </c>
      <c r="CC91" s="106">
        <v>0</v>
      </c>
      <c r="CD91" s="106">
        <v>26.553690158767292</v>
      </c>
      <c r="CE91" s="106">
        <v>60988.515556656712</v>
      </c>
      <c r="CF91" s="106">
        <v>4.7343187556830326</v>
      </c>
      <c r="CG91" s="106">
        <v>10873.783318052789</v>
      </c>
      <c r="CH91" s="106">
        <v>3.1973194903837854</v>
      </c>
      <c r="CI91" s="106">
        <v>7343.6034055134778</v>
      </c>
      <c r="CJ91" s="106">
        <v>3.704679682852297</v>
      </c>
      <c r="CK91" s="106">
        <v>8508.9082955751546</v>
      </c>
      <c r="CL91" s="106">
        <v>5.3944116449511395</v>
      </c>
      <c r="CM91" s="106">
        <v>12389.884666123775</v>
      </c>
      <c r="CN91" s="106">
        <v>0</v>
      </c>
      <c r="CO91" s="106">
        <v>0</v>
      </c>
      <c r="CP91" s="106">
        <v>1.2525609745914481</v>
      </c>
      <c r="CQ91" s="106">
        <v>2876.8820464416376</v>
      </c>
      <c r="CR91" s="106">
        <v>1.0643278993847167</v>
      </c>
      <c r="CS91" s="106">
        <v>2444.5483193068171</v>
      </c>
      <c r="CT91" s="106">
        <v>0.86671482230569208</v>
      </c>
      <c r="CU91" s="106">
        <v>1990.6706038717134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8.8909240108851826</v>
      </c>
      <c r="O92" s="106">
        <v>12632.224834665667</v>
      </c>
      <c r="P92" s="106">
        <v>13.526018114043564</v>
      </c>
      <c r="Q92" s="106">
        <v>19217.766536433097</v>
      </c>
      <c r="R92" s="106">
        <v>10.74416363228238</v>
      </c>
      <c r="S92" s="106">
        <v>15265.307688746805</v>
      </c>
      <c r="T92" s="106">
        <v>14.129823052347014</v>
      </c>
      <c r="U92" s="106">
        <v>20075.652592774637</v>
      </c>
      <c r="V92" s="106">
        <v>0</v>
      </c>
      <c r="W92" s="106">
        <v>0</v>
      </c>
      <c r="X92" s="106">
        <v>7.0974411374102324</v>
      </c>
      <c r="Y92" s="106">
        <v>10084.044368032457</v>
      </c>
      <c r="Z92" s="106">
        <v>4.5832390290923035</v>
      </c>
      <c r="AA92" s="106">
        <v>6511.8660125343449</v>
      </c>
      <c r="AB92" s="106">
        <v>2.8298141903209566</v>
      </c>
      <c r="AC92" s="106">
        <v>4020.6000016080152</v>
      </c>
      <c r="AD92" s="106">
        <v>3.5485759914825659</v>
      </c>
      <c r="AE92" s="106">
        <v>5041.8167686984298</v>
      </c>
      <c r="AF92" s="106">
        <v>0</v>
      </c>
      <c r="AG92" s="106">
        <v>0</v>
      </c>
      <c r="AH92" s="106">
        <v>8.7844685975298447</v>
      </c>
      <c r="AI92" s="106">
        <v>12480.972983370402</v>
      </c>
      <c r="AJ92" s="106">
        <v>8.8416570771001179</v>
      </c>
      <c r="AK92" s="106">
        <v>12562.226375143848</v>
      </c>
      <c r="AL92" s="106">
        <v>0</v>
      </c>
      <c r="AM92" s="106">
        <v>0</v>
      </c>
      <c r="AN92" s="106">
        <v>6.4797225567753269</v>
      </c>
      <c r="AO92" s="106">
        <v>9206.3898086663849</v>
      </c>
      <c r="AP92" s="106">
        <v>8.066746366082695</v>
      </c>
      <c r="AQ92" s="106">
        <v>11461.233236930293</v>
      </c>
      <c r="AR92" s="106">
        <v>3.164522354454808</v>
      </c>
      <c r="AS92" s="106">
        <v>4496.1533612093908</v>
      </c>
      <c r="AT92" s="106">
        <v>0</v>
      </c>
      <c r="AU92" s="106">
        <v>0</v>
      </c>
      <c r="AV92" s="106">
        <v>3.6150484031476595</v>
      </c>
      <c r="AW92" s="106">
        <v>5136.2607711921946</v>
      </c>
      <c r="AX92" s="106">
        <v>1.4018020568844631</v>
      </c>
      <c r="AY92" s="106">
        <v>1991.6803624214451</v>
      </c>
      <c r="AZ92" s="106">
        <v>4.2862765957446802</v>
      </c>
      <c r="BA92" s="106">
        <v>6089.9417872340418</v>
      </c>
      <c r="BB92" s="106">
        <v>11.701488294552174</v>
      </c>
      <c r="BC92" s="106">
        <v>16625.474568899728</v>
      </c>
      <c r="BD92" s="106">
        <v>5.1810027330897634</v>
      </c>
      <c r="BE92" s="106">
        <v>7361.1686831739353</v>
      </c>
      <c r="BF92" s="106">
        <v>4.8931319146254539</v>
      </c>
      <c r="BG92" s="106">
        <v>6952.1618242998447</v>
      </c>
      <c r="BH92" s="106">
        <v>8.0156615815954897</v>
      </c>
      <c r="BI92" s="106">
        <v>11388.651975130872</v>
      </c>
      <c r="BJ92" s="106">
        <v>7.9506412448700416</v>
      </c>
      <c r="BK92" s="106">
        <v>11296.271080711354</v>
      </c>
      <c r="BL92" s="106">
        <v>0</v>
      </c>
      <c r="BM92" s="106">
        <v>0</v>
      </c>
      <c r="BN92" s="106">
        <v>4.3264869337724416</v>
      </c>
      <c r="BO92" s="106">
        <v>6147.0726355038851</v>
      </c>
      <c r="BP92" s="106">
        <v>12.124721873185893</v>
      </c>
      <c r="BQ92" s="106">
        <v>17226.804837422515</v>
      </c>
      <c r="BR92" s="106">
        <v>15.190647651501564</v>
      </c>
      <c r="BS92" s="106">
        <v>21582.872183253421</v>
      </c>
      <c r="BT92" s="106">
        <v>7.7995319812792516</v>
      </c>
      <c r="BU92" s="106">
        <v>11081.57503900156</v>
      </c>
      <c r="BV92" s="106">
        <v>0</v>
      </c>
      <c r="BW92" s="106">
        <v>0</v>
      </c>
      <c r="BX92" s="106">
        <v>15.272745372063964</v>
      </c>
      <c r="BY92" s="106">
        <v>21699.516624628479</v>
      </c>
      <c r="BZ92" s="106">
        <v>17.294520547945208</v>
      </c>
      <c r="CA92" s="106">
        <v>24572.054794520551</v>
      </c>
      <c r="CB92" s="106">
        <v>0</v>
      </c>
      <c r="CC92" s="106">
        <v>0</v>
      </c>
      <c r="CD92" s="106">
        <v>32.819121491092837</v>
      </c>
      <c r="CE92" s="106">
        <v>46629.407814544698</v>
      </c>
      <c r="CF92" s="106">
        <v>6.0494072989283207</v>
      </c>
      <c r="CG92" s="106">
        <v>8594.9978903173578</v>
      </c>
      <c r="CH92" s="106">
        <v>3.7615523416279828</v>
      </c>
      <c r="CI92" s="106">
        <v>5344.4135669850375</v>
      </c>
      <c r="CJ92" s="106">
        <v>3.704679682852297</v>
      </c>
      <c r="CK92" s="106">
        <v>5263.608893396543</v>
      </c>
      <c r="CL92" s="106">
        <v>5.6997557003257331</v>
      </c>
      <c r="CM92" s="106">
        <v>8098.2128990228011</v>
      </c>
      <c r="CN92" s="106">
        <v>0</v>
      </c>
      <c r="CO92" s="106">
        <v>0</v>
      </c>
      <c r="CP92" s="106">
        <v>1.2508903376421694</v>
      </c>
      <c r="CQ92" s="106">
        <v>1777.2649917219942</v>
      </c>
      <c r="CR92" s="106">
        <v>1.0669541038649213</v>
      </c>
      <c r="CS92" s="106">
        <v>1515.9283907712802</v>
      </c>
      <c r="CT92" s="106">
        <v>0.81856399884426478</v>
      </c>
      <c r="CU92" s="106">
        <v>1163.0157295579313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7.3627964465142917</v>
      </c>
      <c r="O93" s="106">
        <v>13049.820421801929</v>
      </c>
      <c r="P93" s="106">
        <v>13.24031284162386</v>
      </c>
      <c r="Q93" s="106">
        <v>23467.130480494128</v>
      </c>
      <c r="R93" s="106">
        <v>10.586161225925286</v>
      </c>
      <c r="S93" s="106">
        <v>18762.912156829974</v>
      </c>
      <c r="T93" s="106">
        <v>13.14687884000983</v>
      </c>
      <c r="U93" s="106">
        <v>23301.528056033421</v>
      </c>
      <c r="V93" s="106">
        <v>0</v>
      </c>
      <c r="W93" s="106">
        <v>0</v>
      </c>
      <c r="X93" s="106">
        <v>6.2831500433662431</v>
      </c>
      <c r="Y93" s="106">
        <v>11136.255136862328</v>
      </c>
      <c r="Z93" s="106">
        <v>4.4370812479292594</v>
      </c>
      <c r="AA93" s="106">
        <v>7864.2828038298185</v>
      </c>
      <c r="AB93" s="106">
        <v>2.872172639505397</v>
      </c>
      <c r="AC93" s="106">
        <v>5090.6387862593656</v>
      </c>
      <c r="AD93" s="106">
        <v>3.3711471919084377</v>
      </c>
      <c r="AE93" s="106">
        <v>5975.0212829385146</v>
      </c>
      <c r="AF93" s="106">
        <v>0</v>
      </c>
      <c r="AG93" s="106">
        <v>0</v>
      </c>
      <c r="AH93" s="106">
        <v>9.1120537258964269</v>
      </c>
      <c r="AI93" s="106">
        <v>16150.204023778826</v>
      </c>
      <c r="AJ93" s="106">
        <v>9.272957422324513</v>
      </c>
      <c r="AK93" s="106">
        <v>16435.389735327964</v>
      </c>
      <c r="AL93" s="106">
        <v>0</v>
      </c>
      <c r="AM93" s="106">
        <v>0</v>
      </c>
      <c r="AN93" s="106">
        <v>5.5890156504016772</v>
      </c>
      <c r="AO93" s="106">
        <v>9905.9713387719312</v>
      </c>
      <c r="AP93" s="106">
        <v>7.5039501079839015</v>
      </c>
      <c r="AQ93" s="106">
        <v>13300.001171390666</v>
      </c>
      <c r="AR93" s="106">
        <v>2.9836925056288193</v>
      </c>
      <c r="AS93" s="106">
        <v>5288.2965969765191</v>
      </c>
      <c r="AT93" s="106">
        <v>0</v>
      </c>
      <c r="AU93" s="106">
        <v>0</v>
      </c>
      <c r="AV93" s="106">
        <v>3.2555709270583288</v>
      </c>
      <c r="AW93" s="106">
        <v>5770.1739111181814</v>
      </c>
      <c r="AX93" s="106">
        <v>1.2098254690448238</v>
      </c>
      <c r="AY93" s="106">
        <v>2144.2946613350455</v>
      </c>
      <c r="AZ93" s="106">
        <v>3.8875531914893617</v>
      </c>
      <c r="BA93" s="106">
        <v>6890.2992765957442</v>
      </c>
      <c r="BB93" s="106">
        <v>11.701488294552174</v>
      </c>
      <c r="BC93" s="106">
        <v>20739.717853264272</v>
      </c>
      <c r="BD93" s="106">
        <v>4.9959669211937001</v>
      </c>
      <c r="BE93" s="106">
        <v>8854.8517711237128</v>
      </c>
      <c r="BF93" s="106">
        <v>5.2695266772889502</v>
      </c>
      <c r="BG93" s="106">
        <v>9339.7090828269338</v>
      </c>
      <c r="BH93" s="106">
        <v>7.5794087937529193</v>
      </c>
      <c r="BI93" s="106">
        <v>13433.744146047673</v>
      </c>
      <c r="BJ93" s="106">
        <v>7.5231874145006836</v>
      </c>
      <c r="BK93" s="106">
        <v>13334.097373461011</v>
      </c>
      <c r="BL93" s="106">
        <v>0</v>
      </c>
      <c r="BM93" s="106">
        <v>0</v>
      </c>
      <c r="BN93" s="106">
        <v>4.1007418777107869</v>
      </c>
      <c r="BO93" s="106">
        <v>7268.1549040545979</v>
      </c>
      <c r="BP93" s="106">
        <v>10.919522425587457</v>
      </c>
      <c r="BQ93" s="106">
        <v>19353.761547111208</v>
      </c>
      <c r="BR93" s="106">
        <v>14.149254898070856</v>
      </c>
      <c r="BS93" s="106">
        <v>25078.139381340781</v>
      </c>
      <c r="BT93" s="106">
        <v>6.3696177847113882</v>
      </c>
      <c r="BU93" s="106">
        <v>11289.510561622463</v>
      </c>
      <c r="BV93" s="106">
        <v>0</v>
      </c>
      <c r="BW93" s="106">
        <v>0</v>
      </c>
      <c r="BX93" s="106">
        <v>14.74067174365867</v>
      </c>
      <c r="BY93" s="106">
        <v>26126.366598460623</v>
      </c>
      <c r="BZ93" s="106">
        <v>15.772602739726029</v>
      </c>
      <c r="CA93" s="106">
        <v>27955.36109589041</v>
      </c>
      <c r="CB93" s="106">
        <v>0</v>
      </c>
      <c r="CC93" s="106">
        <v>0</v>
      </c>
      <c r="CD93" s="106">
        <v>29.440749637282909</v>
      </c>
      <c r="CE93" s="106">
        <v>52180.784657120224</v>
      </c>
      <c r="CF93" s="106">
        <v>5.5233718816302053</v>
      </c>
      <c r="CG93" s="106">
        <v>9789.6243230013752</v>
      </c>
      <c r="CH93" s="106">
        <v>3.5734747245465841</v>
      </c>
      <c r="CI93" s="106">
        <v>6333.6266017863654</v>
      </c>
      <c r="CJ93" s="106">
        <v>4.0050591165970779</v>
      </c>
      <c r="CK93" s="106">
        <v>7098.5667782566607</v>
      </c>
      <c r="CL93" s="106">
        <v>6.1068811074918568</v>
      </c>
      <c r="CM93" s="106">
        <v>10823.836074918567</v>
      </c>
      <c r="CN93" s="106">
        <v>0</v>
      </c>
      <c r="CO93" s="106">
        <v>0</v>
      </c>
      <c r="CP93" s="106">
        <v>1.3725156833240275</v>
      </c>
      <c r="CQ93" s="106">
        <v>2432.6467971235061</v>
      </c>
      <c r="CR93" s="106">
        <v>1.0669541038649213</v>
      </c>
      <c r="CS93" s="106">
        <v>1891.0694536901863</v>
      </c>
      <c r="CT93" s="106">
        <v>0.81856399884426478</v>
      </c>
      <c r="CU93" s="106">
        <v>1450.8228315515748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7.0849550711741305</v>
      </c>
      <c r="O94" s="106">
        <v>16969.884386476275</v>
      </c>
      <c r="P94" s="106">
        <v>11.267880152789667</v>
      </c>
      <c r="Q94" s="106">
        <v>26988.826541961807</v>
      </c>
      <c r="R94" s="106">
        <v>8.6901323496401588</v>
      </c>
      <c r="S94" s="106">
        <v>20814.605003858105</v>
      </c>
      <c r="T94" s="106">
        <v>10.075178176456133</v>
      </c>
      <c r="U94" s="106">
        <v>24132.066768247725</v>
      </c>
      <c r="V94" s="106">
        <v>0</v>
      </c>
      <c r="W94" s="106">
        <v>0</v>
      </c>
      <c r="X94" s="106">
        <v>5.0306077234568924</v>
      </c>
      <c r="Y94" s="106">
        <v>12049.311619223949</v>
      </c>
      <c r="Z94" s="106">
        <v>3.9494899020029668</v>
      </c>
      <c r="AA94" s="106">
        <v>9459.8182132775055</v>
      </c>
      <c r="AB94" s="106">
        <v>2.6016759427953589</v>
      </c>
      <c r="AC94" s="106">
        <v>6231.534218183443</v>
      </c>
      <c r="AD94" s="106">
        <v>3.3711471919084377</v>
      </c>
      <c r="AE94" s="106">
        <v>8074.5717540590895</v>
      </c>
      <c r="AF94" s="106">
        <v>0</v>
      </c>
      <c r="AG94" s="106">
        <v>0</v>
      </c>
      <c r="AH94" s="106">
        <v>8.2136088980406896</v>
      </c>
      <c r="AI94" s="106">
        <v>19673.236032587058</v>
      </c>
      <c r="AJ94" s="106">
        <v>7.9790563866513242</v>
      </c>
      <c r="AK94" s="106">
        <v>19111.43585730725</v>
      </c>
      <c r="AL94" s="106">
        <v>0</v>
      </c>
      <c r="AM94" s="106">
        <v>0</v>
      </c>
      <c r="AN94" s="106">
        <v>5.6262540620074279</v>
      </c>
      <c r="AO94" s="106">
        <v>13476.003729320191</v>
      </c>
      <c r="AP94" s="106">
        <v>7.1287526025847061</v>
      </c>
      <c r="AQ94" s="106">
        <v>17074.788233710886</v>
      </c>
      <c r="AR94" s="106">
        <v>2.6220328079768414</v>
      </c>
      <c r="AS94" s="106">
        <v>6280.2929816661299</v>
      </c>
      <c r="AT94" s="106">
        <v>0</v>
      </c>
      <c r="AU94" s="106">
        <v>0</v>
      </c>
      <c r="AV94" s="106">
        <v>3.4928480105367954</v>
      </c>
      <c r="AW94" s="106">
        <v>8366.0695548377316</v>
      </c>
      <c r="AX94" s="106">
        <v>1.2679370621790671</v>
      </c>
      <c r="AY94" s="106">
        <v>3036.9628513313014</v>
      </c>
      <c r="AZ94" s="106">
        <v>3.2894680851063831</v>
      </c>
      <c r="BA94" s="106">
        <v>7878.9339574468086</v>
      </c>
      <c r="BB94" s="106">
        <v>9.2380170746464518</v>
      </c>
      <c r="BC94" s="106">
        <v>22126.898497193179</v>
      </c>
      <c r="BD94" s="106">
        <v>4.9959669211937001</v>
      </c>
      <c r="BE94" s="106">
        <v>11966.33996964315</v>
      </c>
      <c r="BF94" s="106">
        <v>4.8931319146254539</v>
      </c>
      <c r="BG94" s="106">
        <v>11720.029561910886</v>
      </c>
      <c r="BH94" s="106">
        <v>6.7823395758096661</v>
      </c>
      <c r="BI94" s="106">
        <v>16245.05975197931</v>
      </c>
      <c r="BJ94" s="106">
        <v>6.0698443912448701</v>
      </c>
      <c r="BK94" s="106">
        <v>14538.491285909711</v>
      </c>
      <c r="BL94" s="106">
        <v>0</v>
      </c>
      <c r="BM94" s="106">
        <v>0</v>
      </c>
      <c r="BN94" s="106">
        <v>3.2175446882917647</v>
      </c>
      <c r="BO94" s="106">
        <v>7706.6630373964344</v>
      </c>
      <c r="BP94" s="106">
        <v>10.545495107857052</v>
      </c>
      <c r="BQ94" s="106">
        <v>25258.569882339209</v>
      </c>
      <c r="BR94" s="106">
        <v>11.249251613120517</v>
      </c>
      <c r="BS94" s="106">
        <v>26944.207463746261</v>
      </c>
      <c r="BT94" s="106">
        <v>5.459672386895476</v>
      </c>
      <c r="BU94" s="106">
        <v>13077.007301092042</v>
      </c>
      <c r="BV94" s="106">
        <v>0</v>
      </c>
      <c r="BW94" s="106">
        <v>0</v>
      </c>
      <c r="BX94" s="106">
        <v>12.353401311630639</v>
      </c>
      <c r="BY94" s="106">
        <v>29588.866821617707</v>
      </c>
      <c r="BZ94" s="106">
        <v>15.080821917808219</v>
      </c>
      <c r="CA94" s="106">
        <v>36121.584657534244</v>
      </c>
      <c r="CB94" s="106">
        <v>0</v>
      </c>
      <c r="CC94" s="106">
        <v>0</v>
      </c>
      <c r="CD94" s="106">
        <v>25.235993130596761</v>
      </c>
      <c r="CE94" s="106">
        <v>60445.250746405356</v>
      </c>
      <c r="CF94" s="106">
        <v>4.9973364643320908</v>
      </c>
      <c r="CG94" s="106">
        <v>11969.620299368224</v>
      </c>
      <c r="CH94" s="106">
        <v>3.2913582989244849</v>
      </c>
      <c r="CI94" s="106">
        <v>7883.4613975839256</v>
      </c>
      <c r="CJ94" s="106">
        <v>3.4043002491075161</v>
      </c>
      <c r="CK94" s="106">
        <v>8153.9799566623215</v>
      </c>
      <c r="CL94" s="106">
        <v>5.1908489413680776</v>
      </c>
      <c r="CM94" s="106">
        <v>12433.121384364818</v>
      </c>
      <c r="CN94" s="106">
        <v>0</v>
      </c>
      <c r="CO94" s="106">
        <v>0</v>
      </c>
      <c r="CP94" s="106">
        <v>1.208677918798938</v>
      </c>
      <c r="CQ94" s="106">
        <v>2895.025351107216</v>
      </c>
      <c r="CR94" s="106">
        <v>0.91833908017033639</v>
      </c>
      <c r="CS94" s="106">
        <v>2199.6057648239894</v>
      </c>
      <c r="CT94" s="106">
        <v>0.72226235192141008</v>
      </c>
      <c r="CU94" s="106">
        <v>1729.9627853221614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6.7614685995395671</v>
      </c>
      <c r="O95" s="106">
        <v>11716.272789282162</v>
      </c>
      <c r="P95" s="106">
        <v>6.8220226996407654</v>
      </c>
      <c r="Q95" s="106">
        <v>11821.200933937518</v>
      </c>
      <c r="R95" s="106">
        <v>8.1701619549712348</v>
      </c>
      <c r="S95" s="106">
        <v>14157.256635574155</v>
      </c>
      <c r="T95" s="106">
        <v>8.3550258048660613</v>
      </c>
      <c r="U95" s="106">
        <v>14477.588714671911</v>
      </c>
      <c r="V95" s="106">
        <v>0</v>
      </c>
      <c r="W95" s="106">
        <v>0</v>
      </c>
      <c r="X95" s="106">
        <v>3.3327026876662629</v>
      </c>
      <c r="Y95" s="106">
        <v>5774.9072171880998</v>
      </c>
      <c r="Z95" s="106">
        <v>3.0229467221281681</v>
      </c>
      <c r="AA95" s="106">
        <v>5238.1620801036897</v>
      </c>
      <c r="AB95" s="106">
        <v>7.7998320831913208</v>
      </c>
      <c r="AC95" s="106">
        <v>13515.54903375392</v>
      </c>
      <c r="AD95" s="106">
        <v>17.920308756986959</v>
      </c>
      <c r="AE95" s="106">
        <v>31052.311014107003</v>
      </c>
      <c r="AF95" s="106">
        <v>0</v>
      </c>
      <c r="AG95" s="106">
        <v>0</v>
      </c>
      <c r="AH95" s="106">
        <v>31.864194287634561</v>
      </c>
      <c r="AI95" s="106">
        <v>55214.275861613169</v>
      </c>
      <c r="AJ95" s="106">
        <v>8.4103567318757211</v>
      </c>
      <c r="AK95" s="106">
        <v>14573.466144994249</v>
      </c>
      <c r="AL95" s="106">
        <v>0</v>
      </c>
      <c r="AM95" s="106">
        <v>0</v>
      </c>
      <c r="AN95" s="106">
        <v>5.3023994632015912</v>
      </c>
      <c r="AO95" s="106">
        <v>9187.9977898357174</v>
      </c>
      <c r="AP95" s="106">
        <v>8.7345133952268679</v>
      </c>
      <c r="AQ95" s="106">
        <v>15135.164811249117</v>
      </c>
      <c r="AR95" s="106">
        <v>12.748504342232227</v>
      </c>
      <c r="AS95" s="106">
        <v>22090.608324220004</v>
      </c>
      <c r="AT95" s="106">
        <v>0</v>
      </c>
      <c r="AU95" s="106">
        <v>0</v>
      </c>
      <c r="AV95" s="106">
        <v>16.296312249382964</v>
      </c>
      <c r="AW95" s="106">
        <v>28238.249865730799</v>
      </c>
      <c r="AX95" s="106">
        <v>9.851729133558484</v>
      </c>
      <c r="AY95" s="106">
        <v>17071.076242630141</v>
      </c>
      <c r="AZ95" s="106">
        <v>8.5725531914893605</v>
      </c>
      <c r="BA95" s="106">
        <v>14854.520170212763</v>
      </c>
      <c r="BB95" s="106">
        <v>37.26000220107403</v>
      </c>
      <c r="BC95" s="106">
        <v>64564.131814021079</v>
      </c>
      <c r="BD95" s="106">
        <v>14.987900763581102</v>
      </c>
      <c r="BE95" s="106">
        <v>25971.034443133332</v>
      </c>
      <c r="BF95" s="106">
        <v>12.044632405231887</v>
      </c>
      <c r="BG95" s="106">
        <v>20870.939031785812</v>
      </c>
      <c r="BH95" s="106">
        <v>12.622192337728555</v>
      </c>
      <c r="BI95" s="106">
        <v>21871.734882816039</v>
      </c>
      <c r="BJ95" s="106">
        <v>7.8651504787961697</v>
      </c>
      <c r="BK95" s="106">
        <v>13628.732749658002</v>
      </c>
      <c r="BL95" s="106">
        <v>0</v>
      </c>
      <c r="BM95" s="106">
        <v>0</v>
      </c>
      <c r="BN95" s="106">
        <v>11.43210587537828</v>
      </c>
      <c r="BO95" s="106">
        <v>19809.553060855484</v>
      </c>
      <c r="BP95" s="106">
        <v>10.701341172050894</v>
      </c>
      <c r="BQ95" s="106">
        <v>18543.283982929788</v>
      </c>
      <c r="BR95" s="106">
        <v>11.117753263692462</v>
      </c>
      <c r="BS95" s="106">
        <v>19264.842855326297</v>
      </c>
      <c r="BT95" s="106">
        <v>7.2795631825273013</v>
      </c>
      <c r="BU95" s="106">
        <v>12614.027082683308</v>
      </c>
      <c r="BV95" s="106">
        <v>0</v>
      </c>
      <c r="BW95" s="106">
        <v>0</v>
      </c>
      <c r="BX95" s="106">
        <v>12.609188472836632</v>
      </c>
      <c r="BY95" s="106">
        <v>21849.201785731315</v>
      </c>
      <c r="BZ95" s="106">
        <v>12.036986301369863</v>
      </c>
      <c r="CA95" s="106">
        <v>20857.689863013697</v>
      </c>
      <c r="CB95" s="106">
        <v>0</v>
      </c>
      <c r="CC95" s="106">
        <v>0</v>
      </c>
      <c r="CD95" s="106">
        <v>31.026694935257748</v>
      </c>
      <c r="CE95" s="106">
        <v>53763.056983814626</v>
      </c>
      <c r="CF95" s="106">
        <v>16.135498779052618</v>
      </c>
      <c r="CG95" s="106">
        <v>27959.592284342376</v>
      </c>
      <c r="CH95" s="106">
        <v>7.469240177818941</v>
      </c>
      <c r="CI95" s="106">
        <v>12942.699380124661</v>
      </c>
      <c r="CJ95" s="106">
        <v>8.5492321529544135</v>
      </c>
      <c r="CK95" s="106">
        <v>14814.109474639406</v>
      </c>
      <c r="CL95" s="106">
        <v>6.9211319218241041</v>
      </c>
      <c r="CM95" s="106">
        <v>11992.937394136807</v>
      </c>
      <c r="CN95" s="106">
        <v>0</v>
      </c>
      <c r="CO95" s="106">
        <v>0</v>
      </c>
      <c r="CP95" s="106">
        <v>12.851744860383016</v>
      </c>
      <c r="CQ95" s="106">
        <v>22269.503494071691</v>
      </c>
      <c r="CR95" s="106">
        <v>11.601257284996347</v>
      </c>
      <c r="CS95" s="106">
        <v>20102.658623441668</v>
      </c>
      <c r="CT95" s="106">
        <v>11.652499277665415</v>
      </c>
      <c r="CU95" s="106">
        <v>20191.45074833863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8.4818928851790645</v>
      </c>
      <c r="O96" s="106">
        <v>6982.2942230794051</v>
      </c>
      <c r="P96" s="106">
        <v>8.1526263742766467</v>
      </c>
      <c r="Q96" s="106">
        <v>6711.242031304535</v>
      </c>
      <c r="R96" s="106">
        <v>9.7647499406719316</v>
      </c>
      <c r="S96" s="106">
        <v>8038.3421511611332</v>
      </c>
      <c r="T96" s="106">
        <v>9.0922339641189485</v>
      </c>
      <c r="U96" s="106">
        <v>7484.726999262718</v>
      </c>
      <c r="V96" s="106">
        <v>0</v>
      </c>
      <c r="W96" s="106">
        <v>0</v>
      </c>
      <c r="X96" s="106">
        <v>4.5505835837242872</v>
      </c>
      <c r="Y96" s="106">
        <v>3746.0404061218328</v>
      </c>
      <c r="Z96" s="106">
        <v>3.7398373251842227</v>
      </c>
      <c r="AA96" s="106">
        <v>3078.6340860916521</v>
      </c>
      <c r="AB96" s="106">
        <v>9.3737694412688803</v>
      </c>
      <c r="AC96" s="106">
        <v>7716.487004052542</v>
      </c>
      <c r="AD96" s="106">
        <v>24.307745541655578</v>
      </c>
      <c r="AE96" s="106">
        <v>20010.136129890871</v>
      </c>
      <c r="AF96" s="106">
        <v>0</v>
      </c>
      <c r="AG96" s="106">
        <v>0</v>
      </c>
      <c r="AH96" s="106">
        <v>39.733291120800843</v>
      </c>
      <c r="AI96" s="106">
        <v>32708.44525064325</v>
      </c>
      <c r="AJ96" s="106">
        <v>9.9199079401611066</v>
      </c>
      <c r="AK96" s="106">
        <v>8166.0682163406218</v>
      </c>
      <c r="AL96" s="106">
        <v>0</v>
      </c>
      <c r="AM96" s="106">
        <v>0</v>
      </c>
      <c r="AN96" s="106">
        <v>6.6230306503753695</v>
      </c>
      <c r="AO96" s="106">
        <v>5452.0788313890034</v>
      </c>
      <c r="AP96" s="106">
        <v>8.7814504214199172</v>
      </c>
      <c r="AQ96" s="106">
        <v>7228.8899869128754</v>
      </c>
      <c r="AR96" s="106">
        <v>16.545931167577997</v>
      </c>
      <c r="AS96" s="106">
        <v>13620.610537150205</v>
      </c>
      <c r="AT96" s="106">
        <v>0</v>
      </c>
      <c r="AU96" s="106">
        <v>0</v>
      </c>
      <c r="AV96" s="106">
        <v>19.531609534186934</v>
      </c>
      <c r="AW96" s="106">
        <v>16078.420968542683</v>
      </c>
      <c r="AX96" s="106">
        <v>11.683140318643074</v>
      </c>
      <c r="AY96" s="106">
        <v>9617.5611103069787</v>
      </c>
      <c r="AZ96" s="106">
        <v>8.9712765957446816</v>
      </c>
      <c r="BA96" s="106">
        <v>7385.1548936170211</v>
      </c>
      <c r="BB96" s="106">
        <v>43.871974305912097</v>
      </c>
      <c r="BC96" s="106">
        <v>36115.409248626835</v>
      </c>
      <c r="BD96" s="106">
        <v>17.948473753918108</v>
      </c>
      <c r="BE96" s="106">
        <v>14775.183594225386</v>
      </c>
      <c r="BF96" s="106">
        <v>14.303000981212865</v>
      </c>
      <c r="BG96" s="106">
        <v>11774.230407734429</v>
      </c>
      <c r="BH96" s="106">
        <v>15.970255635495167</v>
      </c>
      <c r="BI96" s="106">
        <v>13146.714439139621</v>
      </c>
      <c r="BJ96" s="106">
        <v>8.5490766073871409</v>
      </c>
      <c r="BK96" s="106">
        <v>7037.5998632010942</v>
      </c>
      <c r="BL96" s="106">
        <v>0</v>
      </c>
      <c r="BM96" s="106">
        <v>0</v>
      </c>
      <c r="BN96" s="106">
        <v>13.791419846084755</v>
      </c>
      <c r="BO96" s="106">
        <v>11353.09681729697</v>
      </c>
      <c r="BP96" s="106">
        <v>11.740306334385933</v>
      </c>
      <c r="BQ96" s="106">
        <v>9664.6201744664995</v>
      </c>
      <c r="BR96" s="106">
        <v>14.14986779015404</v>
      </c>
      <c r="BS96" s="106">
        <v>11648.171164854804</v>
      </c>
      <c r="BT96" s="106">
        <v>10.334379875195008</v>
      </c>
      <c r="BU96" s="106">
        <v>8507.2615132605297</v>
      </c>
      <c r="BV96" s="106">
        <v>0</v>
      </c>
      <c r="BW96" s="106">
        <v>0</v>
      </c>
      <c r="BX96" s="106">
        <v>15.951959199162161</v>
      </c>
      <c r="BY96" s="106">
        <v>13131.65281275029</v>
      </c>
      <c r="BZ96" s="106">
        <v>14.25068493150685</v>
      </c>
      <c r="CA96" s="106">
        <v>11731.163835616439</v>
      </c>
      <c r="CB96" s="106">
        <v>0</v>
      </c>
      <c r="CC96" s="106">
        <v>0</v>
      </c>
      <c r="CD96" s="106">
        <v>39.891464916759965</v>
      </c>
      <c r="CE96" s="106">
        <v>32838.653919476797</v>
      </c>
      <c r="CF96" s="106">
        <v>20.269597453171919</v>
      </c>
      <c r="CG96" s="106">
        <v>16685.932623451121</v>
      </c>
      <c r="CH96" s="106">
        <v>9.363442932173232</v>
      </c>
      <c r="CI96" s="106">
        <v>7707.9862217650043</v>
      </c>
      <c r="CJ96" s="106">
        <v>9.1649119258199434</v>
      </c>
      <c r="CK96" s="106">
        <v>7544.5554973349772</v>
      </c>
      <c r="CL96" s="106">
        <v>9.160321661237786</v>
      </c>
      <c r="CM96" s="106">
        <v>7540.776791530945</v>
      </c>
      <c r="CN96" s="106">
        <v>0</v>
      </c>
      <c r="CO96" s="106">
        <v>0</v>
      </c>
      <c r="CP96" s="106">
        <v>17.960009379021059</v>
      </c>
      <c r="CQ96" s="106">
        <v>14784.679720810134</v>
      </c>
      <c r="CR96" s="106">
        <v>15.675508355322444</v>
      </c>
      <c r="CS96" s="106">
        <v>12904.078478101435</v>
      </c>
      <c r="CT96" s="106">
        <v>17.912106327650967</v>
      </c>
      <c r="CU96" s="106">
        <v>14745.245928922275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7.8609727601005419</v>
      </c>
      <c r="O97" s="106">
        <v>14376.146983671872</v>
      </c>
      <c r="P97" s="106">
        <v>7.0936442781886928</v>
      </c>
      <c r="Q97" s="106">
        <v>12972.85665595148</v>
      </c>
      <c r="R97" s="106">
        <v>8.226193349040642</v>
      </c>
      <c r="S97" s="106">
        <v>15044.062396725525</v>
      </c>
      <c r="T97" s="106">
        <v>7.9864217252396159</v>
      </c>
      <c r="U97" s="106">
        <v>14605.568051118209</v>
      </c>
      <c r="V97" s="106">
        <v>0</v>
      </c>
      <c r="W97" s="106">
        <v>0</v>
      </c>
      <c r="X97" s="106">
        <v>3.4905898816230994</v>
      </c>
      <c r="Y97" s="106">
        <v>6383.5907755123235</v>
      </c>
      <c r="Z97" s="106">
        <v>2.9105588672679468</v>
      </c>
      <c r="AA97" s="106">
        <v>5322.8300564596211</v>
      </c>
      <c r="AB97" s="106">
        <v>6.4064739608876975</v>
      </c>
      <c r="AC97" s="106">
        <v>11716.159579671421</v>
      </c>
      <c r="AD97" s="106">
        <v>17.654165557625767</v>
      </c>
      <c r="AE97" s="106">
        <v>32285.937971786003</v>
      </c>
      <c r="AF97" s="106">
        <v>0</v>
      </c>
      <c r="AG97" s="106">
        <v>0</v>
      </c>
      <c r="AH97" s="106">
        <v>28.49448338788029</v>
      </c>
      <c r="AI97" s="106">
        <v>52110.711219755474</v>
      </c>
      <c r="AJ97" s="106">
        <v>7.5477560414269291</v>
      </c>
      <c r="AK97" s="106">
        <v>13803.336248561567</v>
      </c>
      <c r="AL97" s="106">
        <v>0</v>
      </c>
      <c r="AM97" s="106">
        <v>0</v>
      </c>
      <c r="AN97" s="106">
        <v>6.3313838611103357</v>
      </c>
      <c r="AO97" s="106">
        <v>11578.834805198581</v>
      </c>
      <c r="AP97" s="106">
        <v>7.4696089043369946</v>
      </c>
      <c r="AQ97" s="106">
        <v>13660.420764251496</v>
      </c>
      <c r="AR97" s="106">
        <v>11.663525249276294</v>
      </c>
      <c r="AS97" s="106">
        <v>21330.254975876487</v>
      </c>
      <c r="AT97" s="106">
        <v>0</v>
      </c>
      <c r="AU97" s="106">
        <v>0</v>
      </c>
      <c r="AV97" s="106">
        <v>15.817008947930523</v>
      </c>
      <c r="AW97" s="106">
        <v>28926.145963975341</v>
      </c>
      <c r="AX97" s="106">
        <v>8.5255348271179194</v>
      </c>
      <c r="AY97" s="106">
        <v>15591.498091833251</v>
      </c>
      <c r="AZ97" s="106">
        <v>7.7751063829787235</v>
      </c>
      <c r="BA97" s="106">
        <v>14219.11455319149</v>
      </c>
      <c r="BB97" s="106">
        <v>33.872729273703662</v>
      </c>
      <c r="BC97" s="106">
        <v>61946.447295749254</v>
      </c>
      <c r="BD97" s="106">
        <v>12.952506832724408</v>
      </c>
      <c r="BE97" s="106">
        <v>23687.544495686398</v>
      </c>
      <c r="BF97" s="106">
        <v>12.421027167895383</v>
      </c>
      <c r="BG97" s="106">
        <v>22715.574484647077</v>
      </c>
      <c r="BH97" s="106">
        <v>12.28825065569529</v>
      </c>
      <c r="BI97" s="106">
        <v>22472.752799135546</v>
      </c>
      <c r="BJ97" s="106">
        <v>6.8392612859097124</v>
      </c>
      <c r="BK97" s="106">
        <v>12507.641039671682</v>
      </c>
      <c r="BL97" s="106">
        <v>0</v>
      </c>
      <c r="BM97" s="106">
        <v>0</v>
      </c>
      <c r="BN97" s="106">
        <v>11.523840089755168</v>
      </c>
      <c r="BO97" s="106">
        <v>21074.798756144253</v>
      </c>
      <c r="BP97" s="106">
        <v>9.6623760097158566</v>
      </c>
      <c r="BQ97" s="106">
        <v>17670.553246568357</v>
      </c>
      <c r="BR97" s="106">
        <v>11.550912481758401</v>
      </c>
      <c r="BS97" s="106">
        <v>21124.308746639763</v>
      </c>
      <c r="BT97" s="106">
        <v>8.0595163806552268</v>
      </c>
      <c r="BU97" s="106">
        <v>14739.243556942278</v>
      </c>
      <c r="BV97" s="106">
        <v>0</v>
      </c>
      <c r="BW97" s="106">
        <v>0</v>
      </c>
      <c r="BX97" s="106">
        <v>13.970861921676249</v>
      </c>
      <c r="BY97" s="106">
        <v>25549.912282361525</v>
      </c>
      <c r="BZ97" s="106">
        <v>11.206849315068494</v>
      </c>
      <c r="CA97" s="106">
        <v>20495.086027397261</v>
      </c>
      <c r="CB97" s="106">
        <v>0</v>
      </c>
      <c r="CC97" s="106">
        <v>0</v>
      </c>
      <c r="CD97" s="106">
        <v>31.248314184795305</v>
      </c>
      <c r="CE97" s="106">
        <v>57146.916981153656</v>
      </c>
      <c r="CF97" s="106">
        <v>16.27337698782814</v>
      </c>
      <c r="CG97" s="106">
        <v>29760.751835340103</v>
      </c>
      <c r="CH97" s="106">
        <v>7.6573177949003401</v>
      </c>
      <c r="CI97" s="106">
        <v>14003.702783313742</v>
      </c>
      <c r="CJ97" s="106">
        <v>7.3526880531006134</v>
      </c>
      <c r="CK97" s="106">
        <v>13446.595911510401</v>
      </c>
      <c r="CL97" s="106">
        <v>7.1246946254071659</v>
      </c>
      <c r="CM97" s="106">
        <v>13029.641530944624</v>
      </c>
      <c r="CN97" s="106">
        <v>0</v>
      </c>
      <c r="CO97" s="106">
        <v>0</v>
      </c>
      <c r="CP97" s="106">
        <v>12.811203078489061</v>
      </c>
      <c r="CQ97" s="106">
        <v>23429.128189940795</v>
      </c>
      <c r="CR97" s="106">
        <v>11.981060350874202</v>
      </c>
      <c r="CS97" s="106">
        <v>21910.96316967874</v>
      </c>
      <c r="CT97" s="106">
        <v>11.845102571511125</v>
      </c>
      <c r="CU97" s="106">
        <v>21662.323582779547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8.3963482311075115</v>
      </c>
      <c r="O98" s="106">
        <v>10609.625624827451</v>
      </c>
      <c r="P98" s="106">
        <v>6.6650863695591323</v>
      </c>
      <c r="Q98" s="106">
        <v>8422.0031365749182</v>
      </c>
      <c r="R98" s="106">
        <v>9.2840227234930204</v>
      </c>
      <c r="S98" s="106">
        <v>11731.291113405779</v>
      </c>
      <c r="T98" s="106">
        <v>9.4608380437453903</v>
      </c>
      <c r="U98" s="106">
        <v>11954.714952076674</v>
      </c>
      <c r="V98" s="106">
        <v>0</v>
      </c>
      <c r="W98" s="106">
        <v>0</v>
      </c>
      <c r="X98" s="106">
        <v>4.0555106193233978</v>
      </c>
      <c r="Y98" s="106">
        <v>5124.5432185770451</v>
      </c>
      <c r="Z98" s="106">
        <v>3.3791302499515354</v>
      </c>
      <c r="AA98" s="106">
        <v>4269.86898383876</v>
      </c>
      <c r="AB98" s="106">
        <v>8.5763972284094248</v>
      </c>
      <c r="AC98" s="106">
        <v>10837.135537818149</v>
      </c>
      <c r="AD98" s="106">
        <v>20.049454351876498</v>
      </c>
      <c r="AE98" s="106">
        <v>25334.49051903114</v>
      </c>
      <c r="AF98" s="106">
        <v>0</v>
      </c>
      <c r="AG98" s="106">
        <v>0</v>
      </c>
      <c r="AH98" s="106">
        <v>37.495642519415412</v>
      </c>
      <c r="AI98" s="106">
        <v>47379.49388753331</v>
      </c>
      <c r="AJ98" s="106">
        <v>9.4886075949367097</v>
      </c>
      <c r="AK98" s="106">
        <v>11989.804556962026</v>
      </c>
      <c r="AL98" s="106">
        <v>0</v>
      </c>
      <c r="AM98" s="106">
        <v>0</v>
      </c>
      <c r="AN98" s="106">
        <v>6.1622480248018503</v>
      </c>
      <c r="AO98" s="106">
        <v>7786.6166041396173</v>
      </c>
      <c r="AP98" s="106">
        <v>8.2544944708548904</v>
      </c>
      <c r="AQ98" s="106">
        <v>10430.379213372238</v>
      </c>
      <c r="AR98" s="106">
        <v>15.370537150209067</v>
      </c>
      <c r="AS98" s="106">
        <v>19422.210743004176</v>
      </c>
      <c r="AT98" s="106">
        <v>0</v>
      </c>
      <c r="AU98" s="106">
        <v>0</v>
      </c>
      <c r="AV98" s="106">
        <v>17.734222153740284</v>
      </c>
      <c r="AW98" s="106">
        <v>22408.96311346622</v>
      </c>
      <c r="AX98" s="106">
        <v>10.420098122033012</v>
      </c>
      <c r="AY98" s="106">
        <v>13166.835987000914</v>
      </c>
      <c r="AZ98" s="106">
        <v>9.0709574468085101</v>
      </c>
      <c r="BA98" s="106">
        <v>11462.061829787233</v>
      </c>
      <c r="BB98" s="106">
        <v>38.825623559032103</v>
      </c>
      <c r="BC98" s="106">
        <v>49060.057929192961</v>
      </c>
      <c r="BD98" s="106">
        <v>17.208330506333859</v>
      </c>
      <c r="BE98" s="106">
        <v>21744.446427803461</v>
      </c>
      <c r="BF98" s="106">
        <v>13.173816693222374</v>
      </c>
      <c r="BG98" s="106">
        <v>16646.434773555789</v>
      </c>
      <c r="BH98" s="106">
        <v>14.467651682883407</v>
      </c>
      <c r="BI98" s="106">
        <v>18281.324666491473</v>
      </c>
      <c r="BJ98" s="106">
        <v>8.9765304377564981</v>
      </c>
      <c r="BK98" s="106">
        <v>11342.743861149111</v>
      </c>
      <c r="BL98" s="106">
        <v>0</v>
      </c>
      <c r="BM98" s="106">
        <v>0</v>
      </c>
      <c r="BN98" s="106">
        <v>13.173771460681824</v>
      </c>
      <c r="BO98" s="106">
        <v>16646.37761771755</v>
      </c>
      <c r="BP98" s="106">
        <v>11.428616785685421</v>
      </c>
      <c r="BQ98" s="106">
        <v>14441.200170392096</v>
      </c>
      <c r="BR98" s="106">
        <v>12.128458105846322</v>
      </c>
      <c r="BS98" s="106">
        <v>15325.519662547411</v>
      </c>
      <c r="BT98" s="106">
        <v>8.7744734789391572</v>
      </c>
      <c r="BU98" s="106">
        <v>11087.424687987519</v>
      </c>
      <c r="BV98" s="106">
        <v>0</v>
      </c>
      <c r="BW98" s="106">
        <v>0</v>
      </c>
      <c r="BX98" s="106">
        <v>14.301756523386766</v>
      </c>
      <c r="BY98" s="106">
        <v>18071.699542951515</v>
      </c>
      <c r="BZ98" s="106">
        <v>14.942465753424658</v>
      </c>
      <c r="CA98" s="106">
        <v>18881.299726027395</v>
      </c>
      <c r="CB98" s="106">
        <v>0</v>
      </c>
      <c r="CC98" s="106">
        <v>0</v>
      </c>
      <c r="CD98" s="106">
        <v>33.68612592970841</v>
      </c>
      <c r="CE98" s="106">
        <v>42565.788724779544</v>
      </c>
      <c r="CF98" s="106">
        <v>17.087907531579273</v>
      </c>
      <c r="CG98" s="106">
        <v>21592.279956903567</v>
      </c>
      <c r="CH98" s="106">
        <v>8.9872876980104319</v>
      </c>
      <c r="CI98" s="106">
        <v>11356.336735205981</v>
      </c>
      <c r="CJ98" s="106">
        <v>9.2501174983589021</v>
      </c>
      <c r="CK98" s="106">
        <v>11688.448470926307</v>
      </c>
      <c r="CL98" s="106">
        <v>7.6336013843648205</v>
      </c>
      <c r="CM98" s="106">
        <v>9645.8187092833869</v>
      </c>
      <c r="CN98" s="106">
        <v>0</v>
      </c>
      <c r="CO98" s="106">
        <v>0</v>
      </c>
      <c r="CP98" s="106">
        <v>15.851836720535516</v>
      </c>
      <c r="CQ98" s="106">
        <v>20030.380880068678</v>
      </c>
      <c r="CR98" s="106">
        <v>15.019484877897057</v>
      </c>
      <c r="CS98" s="106">
        <v>18978.62109171072</v>
      </c>
      <c r="CT98" s="106">
        <v>13.241476451892519</v>
      </c>
      <c r="CU98" s="106">
        <v>16731.929644611384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4.8453321907054701</v>
      </c>
      <c r="O99" s="106">
        <v>26560.172936571103</v>
      </c>
      <c r="P99" s="106">
        <v>4.1722201771089127</v>
      </c>
      <c r="Q99" s="106">
        <v>22870.442122840213</v>
      </c>
      <c r="R99" s="106">
        <v>5.4000857344862112</v>
      </c>
      <c r="S99" s="106">
        <v>29601.109962159611</v>
      </c>
      <c r="T99" s="106">
        <v>4.6689850086016227</v>
      </c>
      <c r="U99" s="106">
        <v>25593.508223150653</v>
      </c>
      <c r="V99" s="106">
        <v>0</v>
      </c>
      <c r="W99" s="106">
        <v>0</v>
      </c>
      <c r="X99" s="106">
        <v>2.3022047968222608</v>
      </c>
      <c r="Y99" s="106">
        <v>12619.765814260903</v>
      </c>
      <c r="Z99" s="106">
        <v>1.5829698553181579</v>
      </c>
      <c r="AA99" s="106">
        <v>8677.2075589120141</v>
      </c>
      <c r="AB99" s="106">
        <v>3.550647322985701</v>
      </c>
      <c r="AC99" s="106">
        <v>19463.228365678417</v>
      </c>
      <c r="AD99" s="106">
        <v>7.185866382752196</v>
      </c>
      <c r="AE99" s="106">
        <v>39390.045163694434</v>
      </c>
      <c r="AF99" s="106">
        <v>0</v>
      </c>
      <c r="AG99" s="106">
        <v>0</v>
      </c>
      <c r="AH99" s="106">
        <v>14.423078623444011</v>
      </c>
      <c r="AI99" s="106">
        <v>79061.547782270689</v>
      </c>
      <c r="AJ99" s="106">
        <v>5.6069044879171477</v>
      </c>
      <c r="AK99" s="106">
        <v>30734.807640966632</v>
      </c>
      <c r="AL99" s="106">
        <v>0</v>
      </c>
      <c r="AM99" s="106">
        <v>0</v>
      </c>
      <c r="AN99" s="106">
        <v>4.0126266208012042</v>
      </c>
      <c r="AO99" s="106">
        <v>21995.614084583878</v>
      </c>
      <c r="AP99" s="106">
        <v>4.8775675701895356</v>
      </c>
      <c r="AQ99" s="106">
        <v>26736.874392750957</v>
      </c>
      <c r="AR99" s="106">
        <v>6.7811193309745894</v>
      </c>
      <c r="AS99" s="106">
        <v>37171.383724670304</v>
      </c>
      <c r="AT99" s="106">
        <v>0</v>
      </c>
      <c r="AU99" s="106">
        <v>0</v>
      </c>
      <c r="AV99" s="106">
        <v>8.0283302993283705</v>
      </c>
      <c r="AW99" s="106">
        <v>44008.095368798393</v>
      </c>
      <c r="AX99" s="106">
        <v>4.4837997979657205</v>
      </c>
      <c r="AY99" s="106">
        <v>24578.396972528892</v>
      </c>
      <c r="AZ99" s="106">
        <v>4.0869148936170214</v>
      </c>
      <c r="BA99" s="106">
        <v>22402.832680851061</v>
      </c>
      <c r="BB99" s="106">
        <v>20.631571466710412</v>
      </c>
      <c r="BC99" s="106">
        <v>113094.02215191978</v>
      </c>
      <c r="BD99" s="106">
        <v>7.4014324758425198</v>
      </c>
      <c r="BE99" s="106">
        <v>40571.692259578354</v>
      </c>
      <c r="BF99" s="106">
        <v>6.3987109652794398</v>
      </c>
      <c r="BG99" s="106">
        <v>35075.174027275774</v>
      </c>
      <c r="BH99" s="106">
        <v>6.3820088630822793</v>
      </c>
      <c r="BI99" s="106">
        <v>34983.619783871822</v>
      </c>
      <c r="BJ99" s="106">
        <v>3.8470844733242133</v>
      </c>
      <c r="BK99" s="106">
        <v>21088.178248974007</v>
      </c>
      <c r="BL99" s="106">
        <v>0</v>
      </c>
      <c r="BM99" s="106">
        <v>0</v>
      </c>
      <c r="BN99" s="106">
        <v>5.2297048363182963</v>
      </c>
      <c r="BO99" s="106">
        <v>28667.150030762372</v>
      </c>
      <c r="BP99" s="106">
        <v>5.1948258116751909</v>
      </c>
      <c r="BQ99" s="106">
        <v>28475.957169278725</v>
      </c>
      <c r="BR99" s="106">
        <v>6.3530018649671209</v>
      </c>
      <c r="BS99" s="106">
        <v>34824.615023003767</v>
      </c>
      <c r="BT99" s="106">
        <v>4.6797191887675513</v>
      </c>
      <c r="BU99" s="106">
        <v>25652.348705148208</v>
      </c>
      <c r="BV99" s="106">
        <v>0</v>
      </c>
      <c r="BW99" s="106">
        <v>0</v>
      </c>
      <c r="BX99" s="106">
        <v>6.9696862719249335</v>
      </c>
      <c r="BY99" s="106">
        <v>38205.032268183713</v>
      </c>
      <c r="BZ99" s="106">
        <v>6.9178082191780819</v>
      </c>
      <c r="CA99" s="106">
        <v>37920.657534246573</v>
      </c>
      <c r="CB99" s="106">
        <v>0</v>
      </c>
      <c r="CC99" s="106">
        <v>0</v>
      </c>
      <c r="CD99" s="106">
        <v>15.513347467628874</v>
      </c>
      <c r="CE99" s="106">
        <v>85037.965478554426</v>
      </c>
      <c r="CF99" s="106">
        <v>7.91825626642194</v>
      </c>
      <c r="CG99" s="106">
        <v>43404.713550018503</v>
      </c>
      <c r="CH99" s="106">
        <v>3.8286325355708652</v>
      </c>
      <c r="CI99" s="106">
        <v>20987.032106985254</v>
      </c>
      <c r="CJ99" s="106">
        <v>4.1492945352314283</v>
      </c>
      <c r="CK99" s="106">
        <v>22744.772924324596</v>
      </c>
      <c r="CL99" s="106">
        <v>3.562347312703583</v>
      </c>
      <c r="CM99" s="106">
        <v>19527.363029315959</v>
      </c>
      <c r="CN99" s="106">
        <v>0</v>
      </c>
      <c r="CO99" s="106">
        <v>0</v>
      </c>
      <c r="CP99" s="106">
        <v>5.4128822820138067</v>
      </c>
      <c r="CQ99" s="106">
        <v>29671.25551708688</v>
      </c>
      <c r="CR99" s="106">
        <v>4.3904038649152426</v>
      </c>
      <c r="CS99" s="106">
        <v>24066.437825919391</v>
      </c>
      <c r="CT99" s="106">
        <v>4.4298757584513151</v>
      </c>
      <c r="CU99" s="106">
        <v>24282.806957526725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7.0155872932803831</v>
      </c>
      <c r="O100" s="106">
        <v>11382.088824618093</v>
      </c>
      <c r="P100" s="106">
        <v>6.3746865325154989</v>
      </c>
      <c r="Q100" s="106">
        <v>10342.291430353145</v>
      </c>
      <c r="R100" s="106">
        <v>7.8227814461685279</v>
      </c>
      <c r="S100" s="106">
        <v>12691.680618263819</v>
      </c>
      <c r="T100" s="106">
        <v>9.3379700172032454</v>
      </c>
      <c r="U100" s="106">
        <v>15149.922555910543</v>
      </c>
      <c r="V100" s="106">
        <v>0</v>
      </c>
      <c r="W100" s="106">
        <v>0</v>
      </c>
      <c r="X100" s="106">
        <v>3.3154839790191328</v>
      </c>
      <c r="Y100" s="106">
        <v>5379.0412075606409</v>
      </c>
      <c r="Z100" s="106">
        <v>2.7717162563275406</v>
      </c>
      <c r="AA100" s="106">
        <v>4496.8324542658011</v>
      </c>
      <c r="AB100" s="106">
        <v>7.6103355327139468</v>
      </c>
      <c r="AC100" s="106">
        <v>12347.008368275106</v>
      </c>
      <c r="AD100" s="106">
        <v>19.251024753792919</v>
      </c>
      <c r="AE100" s="106">
        <v>31232.862560553629</v>
      </c>
      <c r="AF100" s="106">
        <v>0</v>
      </c>
      <c r="AG100" s="106">
        <v>0</v>
      </c>
      <c r="AH100" s="106">
        <v>30.368413764937419</v>
      </c>
      <c r="AI100" s="106">
        <v>49269.714492234467</v>
      </c>
      <c r="AJ100" s="106">
        <v>8.1947065592635226</v>
      </c>
      <c r="AK100" s="106">
        <v>13295.091921749137</v>
      </c>
      <c r="AL100" s="106">
        <v>0</v>
      </c>
      <c r="AM100" s="106">
        <v>0</v>
      </c>
      <c r="AN100" s="106">
        <v>5.8756318376017642</v>
      </c>
      <c r="AO100" s="106">
        <v>9532.6250933251013</v>
      </c>
      <c r="AP100" s="106">
        <v>7.7827234094410764</v>
      </c>
      <c r="AQ100" s="106">
        <v>12626.690459477202</v>
      </c>
      <c r="AR100" s="106">
        <v>13.290993888710194</v>
      </c>
      <c r="AS100" s="106">
        <v>21563.308485043417</v>
      </c>
      <c r="AT100" s="106">
        <v>0</v>
      </c>
      <c r="AU100" s="106">
        <v>0</v>
      </c>
      <c r="AV100" s="106">
        <v>15.457531471841195</v>
      </c>
      <c r="AW100" s="106">
        <v>25078.299059915153</v>
      </c>
      <c r="AX100" s="106">
        <v>9.7254249138974789</v>
      </c>
      <c r="AY100" s="106">
        <v>15778.529380307269</v>
      </c>
      <c r="AZ100" s="106">
        <v>7.5757446808510647</v>
      </c>
      <c r="BA100" s="106">
        <v>12290.888170212766</v>
      </c>
      <c r="BB100" s="106">
        <v>41.571076835909039</v>
      </c>
      <c r="BC100" s="106">
        <v>67444.915058578816</v>
      </c>
      <c r="BD100" s="106">
        <v>15.172936575477163</v>
      </c>
      <c r="BE100" s="106">
        <v>24616.572300054147</v>
      </c>
      <c r="BF100" s="106">
        <v>12.985619311890625</v>
      </c>
      <c r="BG100" s="106">
        <v>21067.868771611349</v>
      </c>
      <c r="BH100" s="106">
        <v>13.740563703145792</v>
      </c>
      <c r="BI100" s="106">
        <v>22292.690551983731</v>
      </c>
      <c r="BJ100" s="106">
        <v>7.0102428180574554</v>
      </c>
      <c r="BK100" s="106">
        <v>11373.417948016415</v>
      </c>
      <c r="BL100" s="106">
        <v>0</v>
      </c>
      <c r="BM100" s="106">
        <v>0</v>
      </c>
      <c r="BN100" s="106">
        <v>12.124178319683949</v>
      </c>
      <c r="BO100" s="106">
        <v>19670.266905855238</v>
      </c>
      <c r="BP100" s="106">
        <v>10.805237688284398</v>
      </c>
      <c r="BQ100" s="106">
        <v>17530.417625472608</v>
      </c>
      <c r="BR100" s="106">
        <v>12.272844511868302</v>
      </c>
      <c r="BS100" s="106">
        <v>19911.46293605513</v>
      </c>
      <c r="BT100" s="106">
        <v>7.5395475819032765</v>
      </c>
      <c r="BU100" s="106">
        <v>12232.161996879875</v>
      </c>
      <c r="BV100" s="106">
        <v>0</v>
      </c>
      <c r="BW100" s="106">
        <v>0</v>
      </c>
      <c r="BX100" s="106">
        <v>12.814182600683974</v>
      </c>
      <c r="BY100" s="106">
        <v>20789.729851349679</v>
      </c>
      <c r="BZ100" s="106">
        <v>13.282191780821918</v>
      </c>
      <c r="CA100" s="106">
        <v>21549.027945205478</v>
      </c>
      <c r="CB100" s="106">
        <v>0</v>
      </c>
      <c r="CC100" s="106">
        <v>0</v>
      </c>
      <c r="CD100" s="106">
        <v>30.140217937107526</v>
      </c>
      <c r="CE100" s="106">
        <v>48899.489581163245</v>
      </c>
      <c r="CF100" s="106">
        <v>14.589239299413224</v>
      </c>
      <c r="CG100" s="106">
        <v>23669.581839368013</v>
      </c>
      <c r="CH100" s="106">
        <v>7.3350270661745673</v>
      </c>
      <c r="CI100" s="106">
        <v>11900.347912161616</v>
      </c>
      <c r="CJ100" s="106">
        <v>9.1350701150680091</v>
      </c>
      <c r="CK100" s="106">
        <v>14820.737754686337</v>
      </c>
      <c r="CL100" s="106">
        <v>7.6336013843648205</v>
      </c>
      <c r="CM100" s="106">
        <v>12384.754885993483</v>
      </c>
      <c r="CN100" s="106">
        <v>0</v>
      </c>
      <c r="CO100" s="106">
        <v>0</v>
      </c>
      <c r="CP100" s="106">
        <v>13.135537333640684</v>
      </c>
      <c r="CQ100" s="106">
        <v>21311.095770098644</v>
      </c>
      <c r="CR100" s="106">
        <v>13.195081905630587</v>
      </c>
      <c r="CS100" s="106">
        <v>21407.700883695063</v>
      </c>
      <c r="CT100" s="106">
        <v>13.33777809881537</v>
      </c>
      <c r="CU100" s="106">
        <v>21639.211187518056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8.5174769075780841</v>
      </c>
      <c r="O101" s="106">
        <v>10139.20451078095</v>
      </c>
      <c r="P101" s="106">
        <v>6.5175391687253521</v>
      </c>
      <c r="Q101" s="106">
        <v>7758.4786264506583</v>
      </c>
      <c r="R101" s="106">
        <v>9.0464571510001299</v>
      </c>
      <c r="S101" s="106">
        <v>10768.902592550554</v>
      </c>
      <c r="T101" s="106">
        <v>9.8294421233718356</v>
      </c>
      <c r="U101" s="106">
        <v>11700.967903661833</v>
      </c>
      <c r="V101" s="106">
        <v>0</v>
      </c>
      <c r="W101" s="106">
        <v>0</v>
      </c>
      <c r="X101" s="106">
        <v>3.8917088806185989</v>
      </c>
      <c r="Y101" s="106">
        <v>4632.6902514883795</v>
      </c>
      <c r="Z101" s="106">
        <v>2.7305115371872364</v>
      </c>
      <c r="AA101" s="106">
        <v>3250.400933867686</v>
      </c>
      <c r="AB101" s="106">
        <v>7.6073630944794672</v>
      </c>
      <c r="AC101" s="106">
        <v>9055.8050276683571</v>
      </c>
      <c r="AD101" s="106">
        <v>20.138168751663564</v>
      </c>
      <c r="AE101" s="106">
        <v>23972.476081980305</v>
      </c>
      <c r="AF101" s="106">
        <v>0</v>
      </c>
      <c r="AG101" s="106">
        <v>0</v>
      </c>
      <c r="AH101" s="106">
        <v>38.006280392301697</v>
      </c>
      <c r="AI101" s="106">
        <v>45242.676178995935</v>
      </c>
      <c r="AJ101" s="106">
        <v>9.4886075949367097</v>
      </c>
      <c r="AK101" s="106">
        <v>11295.238481012659</v>
      </c>
      <c r="AL101" s="106">
        <v>0</v>
      </c>
      <c r="AM101" s="106">
        <v>0</v>
      </c>
      <c r="AN101" s="106">
        <v>7.374477857451212</v>
      </c>
      <c r="AO101" s="106">
        <v>8778.5784415099224</v>
      </c>
      <c r="AP101" s="106">
        <v>8.6295426241814877</v>
      </c>
      <c r="AQ101" s="106">
        <v>10272.607539825642</v>
      </c>
      <c r="AR101" s="106">
        <v>13.743068510775167</v>
      </c>
      <c r="AS101" s="106">
        <v>16359.748755226758</v>
      </c>
      <c r="AT101" s="106">
        <v>0</v>
      </c>
      <c r="AU101" s="106">
        <v>0</v>
      </c>
      <c r="AV101" s="106">
        <v>17.494570503014064</v>
      </c>
      <c r="AW101" s="106">
        <v>20825.536726787937</v>
      </c>
      <c r="AX101" s="106">
        <v>10.735858671185527</v>
      </c>
      <c r="AY101" s="106">
        <v>12779.966162179249</v>
      </c>
      <c r="AZ101" s="106">
        <v>8.5725531914893605</v>
      </c>
      <c r="BA101" s="106">
        <v>10204.767319148934</v>
      </c>
      <c r="BB101" s="106">
        <v>42.802812445861903</v>
      </c>
      <c r="BC101" s="106">
        <v>50952.467935554007</v>
      </c>
      <c r="BD101" s="106">
        <v>17.172212607291879</v>
      </c>
      <c r="BE101" s="106">
        <v>20441.801887720252</v>
      </c>
      <c r="BF101" s="106">
        <v>15.620382650535102</v>
      </c>
      <c r="BG101" s="106">
        <v>18594.503507196983</v>
      </c>
      <c r="BH101" s="106">
        <v>16.309518820526741</v>
      </c>
      <c r="BI101" s="106">
        <v>19414.85120395503</v>
      </c>
      <c r="BJ101" s="106">
        <v>8.2926043091655277</v>
      </c>
      <c r="BK101" s="106">
        <v>9871.5161696306423</v>
      </c>
      <c r="BL101" s="106">
        <v>0</v>
      </c>
      <c r="BM101" s="106">
        <v>0</v>
      </c>
      <c r="BN101" s="106">
        <v>12.635255214589295</v>
      </c>
      <c r="BO101" s="106">
        <v>15041.007807447095</v>
      </c>
      <c r="BP101" s="106">
        <v>11.844202850619437</v>
      </c>
      <c r="BQ101" s="106">
        <v>14099.339073377376</v>
      </c>
      <c r="BR101" s="106">
        <v>13.427935760044143</v>
      </c>
      <c r="BS101" s="106">
        <v>15984.614728756545</v>
      </c>
      <c r="BT101" s="106">
        <v>9.3594383775351027</v>
      </c>
      <c r="BU101" s="106">
        <v>11141.475444617785</v>
      </c>
      <c r="BV101" s="106">
        <v>0</v>
      </c>
      <c r="BW101" s="106">
        <v>0</v>
      </c>
      <c r="BX101" s="106">
        <v>15.126857861274463</v>
      </c>
      <c r="BY101" s="106">
        <v>18007.011598061119</v>
      </c>
      <c r="BZ101" s="106">
        <v>13.835616438356164</v>
      </c>
      <c r="CA101" s="106">
        <v>16469.917808219176</v>
      </c>
      <c r="CB101" s="106">
        <v>0</v>
      </c>
      <c r="CC101" s="106">
        <v>0</v>
      </c>
      <c r="CD101" s="106">
        <v>31.691552683870416</v>
      </c>
      <c r="CE101" s="106">
        <v>37725.624314879336</v>
      </c>
      <c r="CF101" s="106">
        <v>18.909923428769705</v>
      </c>
      <c r="CG101" s="106">
        <v>22510.372849607455</v>
      </c>
      <c r="CH101" s="106">
        <v>8.0558506682969693</v>
      </c>
      <c r="CI101" s="106">
        <v>9589.6846355407106</v>
      </c>
      <c r="CJ101" s="106">
        <v>9.5753651077302973</v>
      </c>
      <c r="CK101" s="106">
        <v>11398.514624242145</v>
      </c>
      <c r="CL101" s="106">
        <v>8.4478521986970687</v>
      </c>
      <c r="CM101" s="106">
        <v>10056.32325732899</v>
      </c>
      <c r="CN101" s="106">
        <v>0</v>
      </c>
      <c r="CO101" s="106">
        <v>0</v>
      </c>
      <c r="CP101" s="106">
        <v>16.135629193793186</v>
      </c>
      <c r="CQ101" s="106">
        <v>19207.852992291406</v>
      </c>
      <c r="CR101" s="106">
        <v>13.465745062942187</v>
      </c>
      <c r="CS101" s="106">
        <v>16029.622922926377</v>
      </c>
      <c r="CT101" s="106">
        <v>15.841620918809594</v>
      </c>
      <c r="CU101" s="106">
        <v>18857.86554175094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6.6903005547415315</v>
      </c>
      <c r="O102" s="106">
        <v>12973.830835754778</v>
      </c>
      <c r="P102" s="106">
        <v>6.2714061107891181</v>
      </c>
      <c r="Q102" s="106">
        <v>12161.510730042257</v>
      </c>
      <c r="R102" s="106">
        <v>7.6961547358999534</v>
      </c>
      <c r="S102" s="106">
        <v>14924.383263857188</v>
      </c>
      <c r="T102" s="106">
        <v>8.3550258048660613</v>
      </c>
      <c r="U102" s="106">
        <v>16202.066040796264</v>
      </c>
      <c r="V102" s="106">
        <v>0</v>
      </c>
      <c r="W102" s="106">
        <v>0</v>
      </c>
      <c r="X102" s="106">
        <v>3.286212174319012</v>
      </c>
      <c r="Y102" s="106">
        <v>6372.6226484394274</v>
      </c>
      <c r="Z102" s="106">
        <v>2.6593284014673193</v>
      </c>
      <c r="AA102" s="106">
        <v>5156.9696361254255</v>
      </c>
      <c r="AB102" s="106">
        <v>6.5238876798358429</v>
      </c>
      <c r="AC102" s="106">
        <v>12651.122988737665</v>
      </c>
      <c r="AD102" s="106">
        <v>17.476736758051636</v>
      </c>
      <c r="AE102" s="106">
        <v>33890.887921213733</v>
      </c>
      <c r="AF102" s="106">
        <v>0</v>
      </c>
      <c r="AG102" s="106">
        <v>0</v>
      </c>
      <c r="AH102" s="106">
        <v>31.146414939587427</v>
      </c>
      <c r="AI102" s="106">
        <v>60399.12785084793</v>
      </c>
      <c r="AJ102" s="106">
        <v>8.1947065592635226</v>
      </c>
      <c r="AK102" s="106">
        <v>15891.174959723821</v>
      </c>
      <c r="AL102" s="106">
        <v>0</v>
      </c>
      <c r="AM102" s="106">
        <v>0</v>
      </c>
      <c r="AN102" s="106">
        <v>5.1590913696015486</v>
      </c>
      <c r="AO102" s="106">
        <v>10004.509983931322</v>
      </c>
      <c r="AP102" s="106">
        <v>7.9910164955723797</v>
      </c>
      <c r="AQ102" s="106">
        <v>15496.179188213957</v>
      </c>
      <c r="AR102" s="106">
        <v>13.110164039884205</v>
      </c>
      <c r="AS102" s="106">
        <v>25423.230106143448</v>
      </c>
      <c r="AT102" s="106">
        <v>0</v>
      </c>
      <c r="AU102" s="106">
        <v>0</v>
      </c>
      <c r="AV102" s="106">
        <v>16.416138074746073</v>
      </c>
      <c r="AW102" s="106">
        <v>31834.17495454758</v>
      </c>
      <c r="AX102" s="106">
        <v>9.7254249138974789</v>
      </c>
      <c r="AY102" s="106">
        <v>18859.543993029991</v>
      </c>
      <c r="AZ102" s="106">
        <v>7.2767021276595747</v>
      </c>
      <c r="BA102" s="106">
        <v>14110.980765957445</v>
      </c>
      <c r="BB102" s="106">
        <v>35.412398786144735</v>
      </c>
      <c r="BC102" s="106">
        <v>68671.723726091863</v>
      </c>
      <c r="BD102" s="106">
        <v>13.507614268412597</v>
      </c>
      <c r="BE102" s="106">
        <v>26193.965589305706</v>
      </c>
      <c r="BF102" s="106">
        <v>12.985619311890625</v>
      </c>
      <c r="BG102" s="106">
        <v>25181.712969618296</v>
      </c>
      <c r="BH102" s="106">
        <v>12.415707214085218</v>
      </c>
      <c r="BI102" s="106">
        <v>24076.539429554054</v>
      </c>
      <c r="BJ102" s="106">
        <v>6.7537705198358413</v>
      </c>
      <c r="BK102" s="106">
        <v>13096.911792065663</v>
      </c>
      <c r="BL102" s="106">
        <v>0</v>
      </c>
      <c r="BM102" s="106">
        <v>0</v>
      </c>
      <c r="BN102" s="106">
        <v>10.29325139935697</v>
      </c>
      <c r="BO102" s="106">
        <v>19960.673113633035</v>
      </c>
      <c r="BP102" s="106">
        <v>8.9351003960813298</v>
      </c>
      <c r="BQ102" s="106">
        <v>17326.946688080912</v>
      </c>
      <c r="BR102" s="106">
        <v>11.117753263692462</v>
      </c>
      <c r="BS102" s="106">
        <v>21559.547128952421</v>
      </c>
      <c r="BT102" s="106">
        <v>7.0195787831513261</v>
      </c>
      <c r="BU102" s="106">
        <v>13612.367176287051</v>
      </c>
      <c r="BV102" s="106">
        <v>0</v>
      </c>
      <c r="BW102" s="106">
        <v>0</v>
      </c>
      <c r="BX102" s="106">
        <v>13.95736647403637</v>
      </c>
      <c r="BY102" s="106">
        <v>27066.125066451325</v>
      </c>
      <c r="BZ102" s="106">
        <v>12.452054794520548</v>
      </c>
      <c r="CA102" s="106">
        <v>24147.024657534243</v>
      </c>
      <c r="CB102" s="106">
        <v>0</v>
      </c>
      <c r="CC102" s="106">
        <v>0</v>
      </c>
      <c r="CD102" s="106">
        <v>28.367263940807081</v>
      </c>
      <c r="CE102" s="106">
        <v>55009.798234013084</v>
      </c>
      <c r="CF102" s="106">
        <v>15.083427944456387</v>
      </c>
      <c r="CG102" s="106">
        <v>29249.783469889822</v>
      </c>
      <c r="CH102" s="106">
        <v>7.429065874715266</v>
      </c>
      <c r="CI102" s="106">
        <v>14406.444544247843</v>
      </c>
      <c r="CJ102" s="106">
        <v>7.3092328877896673</v>
      </c>
      <c r="CK102" s="106">
        <v>14174.064416001722</v>
      </c>
      <c r="CL102" s="106">
        <v>6.9211319218241041</v>
      </c>
      <c r="CM102" s="106">
        <v>13421.459022801302</v>
      </c>
      <c r="CN102" s="106">
        <v>0</v>
      </c>
      <c r="CO102" s="106">
        <v>0</v>
      </c>
      <c r="CP102" s="106">
        <v>12.892286642276968</v>
      </c>
      <c r="CQ102" s="106">
        <v>25000.722256703495</v>
      </c>
      <c r="CR102" s="106">
        <v>11.946532799430763</v>
      </c>
      <c r="CS102" s="106">
        <v>23166.716404656134</v>
      </c>
      <c r="CT102" s="106">
        <v>11.700650101126843</v>
      </c>
      <c r="CU102" s="106">
        <v>22689.900676105171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7.5534780327611992</v>
      </c>
      <c r="O103" s="106">
        <v>15318.453450439712</v>
      </c>
      <c r="P103" s="106">
        <v>6.25732241691734</v>
      </c>
      <c r="Q103" s="106">
        <v>12689.849861508366</v>
      </c>
      <c r="R103" s="106">
        <v>7.7443422059472304</v>
      </c>
      <c r="S103" s="106">
        <v>15705.525993660984</v>
      </c>
      <c r="T103" s="106">
        <v>8.6007618579503546</v>
      </c>
      <c r="U103" s="106">
        <v>17442.345047923318</v>
      </c>
      <c r="V103" s="106">
        <v>0</v>
      </c>
      <c r="W103" s="106">
        <v>0</v>
      </c>
      <c r="X103" s="106">
        <v>3.3811390784352917</v>
      </c>
      <c r="Y103" s="106">
        <v>6856.9500510667713</v>
      </c>
      <c r="Z103" s="106">
        <v>2.6345457586757148</v>
      </c>
      <c r="AA103" s="106">
        <v>5342.8587985943495</v>
      </c>
      <c r="AB103" s="106">
        <v>6.1055085679311345</v>
      </c>
      <c r="AC103" s="106">
        <v>12381.97137576434</v>
      </c>
      <c r="AD103" s="106">
        <v>17.29930795847751</v>
      </c>
      <c r="AE103" s="106">
        <v>35082.996539792388</v>
      </c>
      <c r="AF103" s="106">
        <v>0</v>
      </c>
      <c r="AG103" s="106">
        <v>0</v>
      </c>
      <c r="AH103" s="106">
        <v>30.90314036846485</v>
      </c>
      <c r="AI103" s="106">
        <v>62671.568667246713</v>
      </c>
      <c r="AJ103" s="106">
        <v>8.6260069044879195</v>
      </c>
      <c r="AK103" s="106">
        <v>17493.542002301499</v>
      </c>
      <c r="AL103" s="106">
        <v>0</v>
      </c>
      <c r="AM103" s="106">
        <v>0</v>
      </c>
      <c r="AN103" s="106">
        <v>6.2743305166238015</v>
      </c>
      <c r="AO103" s="106">
        <v>12724.342287713069</v>
      </c>
      <c r="AP103" s="106">
        <v>7.7620290760093731</v>
      </c>
      <c r="AQ103" s="106">
        <v>15741.394966147009</v>
      </c>
      <c r="AR103" s="106">
        <v>12.025184946928272</v>
      </c>
      <c r="AS103" s="106">
        <v>24387.075072370535</v>
      </c>
      <c r="AT103" s="106">
        <v>0</v>
      </c>
      <c r="AU103" s="106">
        <v>0</v>
      </c>
      <c r="AV103" s="106">
        <v>15.457531471841195</v>
      </c>
      <c r="AW103" s="106">
        <v>31347.873824893944</v>
      </c>
      <c r="AX103" s="106">
        <v>8.9044474861009384</v>
      </c>
      <c r="AY103" s="106">
        <v>18058.219501812702</v>
      </c>
      <c r="AZ103" s="106">
        <v>7.7751063829787235</v>
      </c>
      <c r="BA103" s="106">
        <v>15767.915744680851</v>
      </c>
      <c r="BB103" s="106">
        <v>37.26000220107403</v>
      </c>
      <c r="BC103" s="106">
        <v>75563.284463778138</v>
      </c>
      <c r="BD103" s="106">
        <v>13.137542644620471</v>
      </c>
      <c r="BE103" s="106">
        <v>26642.936483290316</v>
      </c>
      <c r="BF103" s="106">
        <v>11.668237642568389</v>
      </c>
      <c r="BG103" s="106">
        <v>23663.185939128693</v>
      </c>
      <c r="BH103" s="106">
        <v>13.358194027975996</v>
      </c>
      <c r="BI103" s="106">
        <v>27090.417488735318</v>
      </c>
      <c r="BJ103" s="106">
        <v>6.4972982216142272</v>
      </c>
      <c r="BK103" s="106">
        <v>13176.520793433652</v>
      </c>
      <c r="BL103" s="106">
        <v>0</v>
      </c>
      <c r="BM103" s="106">
        <v>0</v>
      </c>
      <c r="BN103" s="106">
        <v>11.092133012459456</v>
      </c>
      <c r="BO103" s="106">
        <v>22494.845749267777</v>
      </c>
      <c r="BP103" s="106">
        <v>9.1428934285483372</v>
      </c>
      <c r="BQ103" s="106">
        <v>18541.787873096029</v>
      </c>
      <c r="BR103" s="106">
        <v>10.1070484215386</v>
      </c>
      <c r="BS103" s="106">
        <v>20497.094198880281</v>
      </c>
      <c r="BT103" s="106">
        <v>7.7995319812792516</v>
      </c>
      <c r="BU103" s="106">
        <v>15817.450858034323</v>
      </c>
      <c r="BV103" s="106">
        <v>0</v>
      </c>
      <c r="BW103" s="106">
        <v>0</v>
      </c>
      <c r="BX103" s="106">
        <v>13.089216379979874</v>
      </c>
      <c r="BY103" s="106">
        <v>26544.930818599183</v>
      </c>
      <c r="BZ103" s="106">
        <v>12.036986301369863</v>
      </c>
      <c r="CA103" s="106">
        <v>24411.008219178082</v>
      </c>
      <c r="CB103" s="106">
        <v>0</v>
      </c>
      <c r="CC103" s="106">
        <v>0</v>
      </c>
      <c r="CD103" s="106">
        <v>31.026694935257748</v>
      </c>
      <c r="CE103" s="106">
        <v>62922.137328702709</v>
      </c>
      <c r="CF103" s="106">
        <v>15.897958488207522</v>
      </c>
      <c r="CG103" s="106">
        <v>32241.059814084852</v>
      </c>
      <c r="CH103" s="106">
        <v>6.551229731645777</v>
      </c>
      <c r="CI103" s="106">
        <v>13285.893895777635</v>
      </c>
      <c r="CJ103" s="106">
        <v>7.1126460162681795</v>
      </c>
      <c r="CK103" s="106">
        <v>14424.446120991868</v>
      </c>
      <c r="CL103" s="106">
        <v>6.6157878664495113</v>
      </c>
      <c r="CM103" s="106">
        <v>13416.817793159609</v>
      </c>
      <c r="CN103" s="106">
        <v>0</v>
      </c>
      <c r="CO103" s="106">
        <v>0</v>
      </c>
      <c r="CP103" s="106">
        <v>12.730119514701158</v>
      </c>
      <c r="CQ103" s="106">
        <v>25816.682375813951</v>
      </c>
      <c r="CR103" s="106">
        <v>9.9784623671545951</v>
      </c>
      <c r="CS103" s="106">
        <v>20236.321680589517</v>
      </c>
      <c r="CT103" s="106">
        <v>12.182158335741116</v>
      </c>
      <c r="CU103" s="106">
        <v>24705.417104882985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6.847013253611121</v>
      </c>
      <c r="O104" s="106">
        <v>14189.750266783687</v>
      </c>
      <c r="P104" s="106">
        <v>6.6369189818155734</v>
      </c>
      <c r="Q104" s="106">
        <v>13754.350897914595</v>
      </c>
      <c r="R104" s="106">
        <v>8.4547910715969028</v>
      </c>
      <c r="S104" s="106">
        <v>17521.709016777422</v>
      </c>
      <c r="T104" s="106">
        <v>8.4778938314082097</v>
      </c>
      <c r="U104" s="106">
        <v>17569.587176210374</v>
      </c>
      <c r="V104" s="106">
        <v>0</v>
      </c>
      <c r="W104" s="106">
        <v>0</v>
      </c>
      <c r="X104" s="106">
        <v>3.3577818184831334</v>
      </c>
      <c r="Y104" s="106">
        <v>6958.6670406244457</v>
      </c>
      <c r="Z104" s="106">
        <v>2.6329932680019779</v>
      </c>
      <c r="AA104" s="106">
        <v>5456.6152486072988</v>
      </c>
      <c r="AB104" s="106">
        <v>6.4666670394790096</v>
      </c>
      <c r="AC104" s="106">
        <v>13401.520772616301</v>
      </c>
      <c r="AD104" s="106">
        <v>16.234735161032742</v>
      </c>
      <c r="AE104" s="106">
        <v>33644.865147724253</v>
      </c>
      <c r="AF104" s="106">
        <v>0</v>
      </c>
      <c r="AG104" s="106">
        <v>0</v>
      </c>
      <c r="AH104" s="106">
        <v>29.371226749805988</v>
      </c>
      <c r="AI104" s="106">
        <v>60868.930316297934</v>
      </c>
      <c r="AJ104" s="106">
        <v>8.1947065592635226</v>
      </c>
      <c r="AK104" s="106">
        <v>16982.709873417723</v>
      </c>
      <c r="AL104" s="106">
        <v>0</v>
      </c>
      <c r="AM104" s="106">
        <v>0</v>
      </c>
      <c r="AN104" s="106">
        <v>6.0333570050129426</v>
      </c>
      <c r="AO104" s="106">
        <v>12503.529057188824</v>
      </c>
      <c r="AP104" s="106">
        <v>8.3317234452520665</v>
      </c>
      <c r="AQ104" s="106">
        <v>17266.663667940382</v>
      </c>
      <c r="AR104" s="106">
        <v>12.20601479575426</v>
      </c>
      <c r="AS104" s="106">
        <v>25295.745062721129</v>
      </c>
      <c r="AT104" s="106">
        <v>0</v>
      </c>
      <c r="AU104" s="106">
        <v>0</v>
      </c>
      <c r="AV104" s="106">
        <v>13.540318266031434</v>
      </c>
      <c r="AW104" s="106">
        <v>28060.955574523545</v>
      </c>
      <c r="AX104" s="106">
        <v>8.0203179484738953</v>
      </c>
      <c r="AY104" s="106">
        <v>16621.306916417303</v>
      </c>
      <c r="AZ104" s="106">
        <v>7.2767021276595747</v>
      </c>
      <c r="BA104" s="106">
        <v>15080.237489361703</v>
      </c>
      <c r="BB104" s="106">
        <v>34.146910868174601</v>
      </c>
      <c r="BC104" s="106">
        <v>70766.058083205047</v>
      </c>
      <c r="BD104" s="106">
        <v>14.160591465809341</v>
      </c>
      <c r="BE104" s="106">
        <v>29346.409753743279</v>
      </c>
      <c r="BF104" s="106">
        <v>12.609224549227129</v>
      </c>
      <c r="BG104" s="106">
        <v>26131.356955818304</v>
      </c>
      <c r="BH104" s="106">
        <v>11.396054746965767</v>
      </c>
      <c r="BI104" s="106">
        <v>23617.183857611857</v>
      </c>
      <c r="BJ104" s="106">
        <v>7.6941689466484267</v>
      </c>
      <c r="BK104" s="106">
        <v>15945.395725034201</v>
      </c>
      <c r="BL104" s="106">
        <v>0</v>
      </c>
      <c r="BM104" s="106">
        <v>0</v>
      </c>
      <c r="BN104" s="106">
        <v>11.005344556789471</v>
      </c>
      <c r="BO104" s="106">
        <v>22807.476059490498</v>
      </c>
      <c r="BP104" s="106">
        <v>8.8312038798478252</v>
      </c>
      <c r="BQ104" s="106">
        <v>18301.786920596634</v>
      </c>
      <c r="BR104" s="106">
        <v>10.540207639604542</v>
      </c>
      <c r="BS104" s="106">
        <v>21843.526312316455</v>
      </c>
      <c r="BT104" s="106">
        <v>7.864528081123245</v>
      </c>
      <c r="BU104" s="106">
        <v>16298.447995319813</v>
      </c>
      <c r="BV104" s="106">
        <v>0</v>
      </c>
      <c r="BW104" s="106">
        <v>0</v>
      </c>
      <c r="BX104" s="106">
        <v>13.722819037660107</v>
      </c>
      <c r="BY104" s="106">
        <v>28439.170173646809</v>
      </c>
      <c r="BZ104" s="106">
        <v>12.728767123287673</v>
      </c>
      <c r="CA104" s="106">
        <v>26379.096986301374</v>
      </c>
      <c r="CB104" s="106">
        <v>0</v>
      </c>
      <c r="CC104" s="106">
        <v>0</v>
      </c>
      <c r="CD104" s="106">
        <v>31.469933434332859</v>
      </c>
      <c r="CE104" s="106">
        <v>65218.290049311421</v>
      </c>
      <c r="CF104" s="106">
        <v>15.227675507682898</v>
      </c>
      <c r="CG104" s="106">
        <v>31557.834722122039</v>
      </c>
      <c r="CH104" s="106">
        <v>6.4392888117180114</v>
      </c>
      <c r="CI104" s="106">
        <v>13344.782133404407</v>
      </c>
      <c r="CJ104" s="106">
        <v>8.4093165940369072</v>
      </c>
      <c r="CK104" s="106">
        <v>17427.467709482087</v>
      </c>
      <c r="CL104" s="106">
        <v>6.4122251628664495</v>
      </c>
      <c r="CM104" s="106">
        <v>13288.69542752443</v>
      </c>
      <c r="CN104" s="106">
        <v>0</v>
      </c>
      <c r="CO104" s="106">
        <v>0</v>
      </c>
      <c r="CP104" s="106">
        <v>12.730119514701158</v>
      </c>
      <c r="CQ104" s="106">
        <v>26381.899682266681</v>
      </c>
      <c r="CR104" s="106">
        <v>9.9439348157111542</v>
      </c>
      <c r="CS104" s="106">
        <v>20607.810512079795</v>
      </c>
      <c r="CT104" s="106">
        <v>10.930236925744007</v>
      </c>
      <c r="CU104" s="106">
        <v>22651.823004911879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7.1307852993511194</v>
      </c>
      <c r="O105" s="106">
        <v>14247.309028103537</v>
      </c>
      <c r="P105" s="106">
        <v>6.8079390057689864</v>
      </c>
      <c r="Q105" s="106">
        <v>13602.262133526434</v>
      </c>
      <c r="R105" s="106">
        <v>7.5773719496535072</v>
      </c>
      <c r="S105" s="106">
        <v>15139.589155407708</v>
      </c>
      <c r="T105" s="106">
        <v>8.6007618579503546</v>
      </c>
      <c r="U105" s="106">
        <v>17184.322192184809</v>
      </c>
      <c r="V105" s="106">
        <v>0</v>
      </c>
      <c r="W105" s="106">
        <v>0</v>
      </c>
      <c r="X105" s="106">
        <v>3.1620134655026111</v>
      </c>
      <c r="Y105" s="106">
        <v>6317.7029040742173</v>
      </c>
      <c r="Z105" s="106">
        <v>2.9556006054418349</v>
      </c>
      <c r="AA105" s="106">
        <v>5905.2900096727863</v>
      </c>
      <c r="AB105" s="106">
        <v>6.4726119159479669</v>
      </c>
      <c r="AC105" s="106">
        <v>12932.278608064038</v>
      </c>
      <c r="AD105" s="106">
        <v>16.589592760180995</v>
      </c>
      <c r="AE105" s="106">
        <v>33146.00633484163</v>
      </c>
      <c r="AF105" s="106">
        <v>0</v>
      </c>
      <c r="AG105" s="106">
        <v>0</v>
      </c>
      <c r="AH105" s="106">
        <v>30.671910162662854</v>
      </c>
      <c r="AI105" s="106">
        <v>61282.476505000384</v>
      </c>
      <c r="AJ105" s="106">
        <v>7.5477560414269291</v>
      </c>
      <c r="AK105" s="106">
        <v>15080.416570771004</v>
      </c>
      <c r="AL105" s="106">
        <v>0</v>
      </c>
      <c r="AM105" s="106">
        <v>0</v>
      </c>
      <c r="AN105" s="106">
        <v>5.9763036605264084</v>
      </c>
      <c r="AO105" s="106">
        <v>11940.654713731765</v>
      </c>
      <c r="AP105" s="106">
        <v>8.0117108290040822</v>
      </c>
      <c r="AQ105" s="106">
        <v>16007.398236350156</v>
      </c>
      <c r="AR105" s="106">
        <v>11.301865551624314</v>
      </c>
      <c r="AS105" s="106">
        <v>22581.12737214538</v>
      </c>
      <c r="AT105" s="106">
        <v>0</v>
      </c>
      <c r="AU105" s="106">
        <v>0</v>
      </c>
      <c r="AV105" s="106">
        <v>14.019621567483872</v>
      </c>
      <c r="AW105" s="106">
        <v>28011.203891832778</v>
      </c>
      <c r="AX105" s="106">
        <v>8.7149911566094289</v>
      </c>
      <c r="AY105" s="106">
        <v>17412.552330905641</v>
      </c>
      <c r="AZ105" s="106">
        <v>7.5757446808510647</v>
      </c>
      <c r="BA105" s="106">
        <v>15136.337872340428</v>
      </c>
      <c r="BB105" s="106">
        <v>39.982728977067126</v>
      </c>
      <c r="BC105" s="106">
        <v>79885.492496180115</v>
      </c>
      <c r="BD105" s="106">
        <v>12.582435208932282</v>
      </c>
      <c r="BE105" s="106">
        <v>25139.705547446698</v>
      </c>
      <c r="BF105" s="106">
        <v>12.044632405231887</v>
      </c>
      <c r="BG105" s="106">
        <v>24065.17554565331</v>
      </c>
      <c r="BH105" s="106">
        <v>12.848367794416269</v>
      </c>
      <c r="BI105" s="106">
        <v>25671.038853243706</v>
      </c>
      <c r="BJ105" s="106">
        <v>7.8651504787961697</v>
      </c>
      <c r="BK105" s="106">
        <v>15714.570656634747</v>
      </c>
      <c r="BL105" s="106">
        <v>0</v>
      </c>
      <c r="BM105" s="106">
        <v>0</v>
      </c>
      <c r="BN105" s="106">
        <v>11.511475692987915</v>
      </c>
      <c r="BO105" s="106">
        <v>22999.928434589856</v>
      </c>
      <c r="BP105" s="106">
        <v>9.7662725259493612</v>
      </c>
      <c r="BQ105" s="106">
        <v>19513.012506846822</v>
      </c>
      <c r="BR105" s="106">
        <v>10.540207639604542</v>
      </c>
      <c r="BS105" s="106">
        <v>21059.334863929875</v>
      </c>
      <c r="BT105" s="106">
        <v>7.669539781591264</v>
      </c>
      <c r="BU105" s="106">
        <v>15323.740483619345</v>
      </c>
      <c r="BV105" s="106">
        <v>0</v>
      </c>
      <c r="BW105" s="106">
        <v>0</v>
      </c>
      <c r="BX105" s="106">
        <v>11.716609896749542</v>
      </c>
      <c r="BY105" s="106">
        <v>23409.786573705584</v>
      </c>
      <c r="BZ105" s="106">
        <v>12.175342465753424</v>
      </c>
      <c r="CA105" s="106">
        <v>24326.334246575341</v>
      </c>
      <c r="CB105" s="106">
        <v>0</v>
      </c>
      <c r="CC105" s="106">
        <v>0</v>
      </c>
      <c r="CD105" s="106">
        <v>30.361837186645079</v>
      </c>
      <c r="CE105" s="106">
        <v>60662.950698916866</v>
      </c>
      <c r="CF105" s="106">
        <v>15.609463361754505</v>
      </c>
      <c r="CG105" s="106">
        <v>31187.7077967855</v>
      </c>
      <c r="CH105" s="106">
        <v>6.6049887895655797</v>
      </c>
      <c r="CI105" s="106">
        <v>13196.767601552028</v>
      </c>
      <c r="CJ105" s="106">
        <v>7.137514191894792</v>
      </c>
      <c r="CK105" s="106">
        <v>14260.753355405794</v>
      </c>
      <c r="CL105" s="106">
        <v>7.3282573289902277</v>
      </c>
      <c r="CM105" s="106">
        <v>14641.858143322475</v>
      </c>
      <c r="CN105" s="106">
        <v>0</v>
      </c>
      <c r="CO105" s="106">
        <v>0</v>
      </c>
      <c r="CP105" s="106">
        <v>12.608494169019298</v>
      </c>
      <c r="CQ105" s="106">
        <v>25191.771349700557</v>
      </c>
      <c r="CR105" s="106">
        <v>10.77259605035375</v>
      </c>
      <c r="CS105" s="106">
        <v>21523.646908606792</v>
      </c>
      <c r="CT105" s="106">
        <v>11.652499277665415</v>
      </c>
      <c r="CU105" s="106">
        <v>23281.693556775499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339.0769539268112</v>
      </c>
      <c r="F109" s="106">
        <f>SUM(T$6:T$19)+SUM(V$6:V$19)+SUM(X$6:X$19)+SUM(Z$6:Z$19)</f>
        <v>105.83008712653279</v>
      </c>
      <c r="G109" s="106">
        <f>SUM(AB$6:AB$19)+SUM(AD$6:AD$19)+SUM(AF$6:AF$19)+SUM(AH$6:AH$19)</f>
        <v>234.95315585964946</v>
      </c>
      <c r="H109" s="106">
        <f>SUM(AJ$6:AJ$19)+SUM(AL$6:AL$19)+SUM(AN$6:AN$19)+SUM(AP$6:AP$19)</f>
        <v>190.91746651511386</v>
      </c>
      <c r="I109" s="106">
        <f>SUM(AR$6:AR$19)+SUM(AT$6:AT$19)+SUM(AV$6:AV$19)+SUM(AX$6:AX$19)</f>
        <v>237.18694776539439</v>
      </c>
      <c r="J109" s="106">
        <f>SUM(AZ$6:AZ$19)+SUM(BB$6:BB$19)+SUM(BD$6:BD$19)+SUM(BF$6:BF$19)</f>
        <v>420.11743070337565</v>
      </c>
      <c r="K109" s="106">
        <f>SUM(BH$6:BH$19)+SUM(BJ$6:BJ$19)+SUM(BL$6:BL$19)+SUM(BN$6:BN$19)</f>
        <v>354.50516618708747</v>
      </c>
      <c r="L109" s="106">
        <f>SUM(BP$6:BP$19)+SUM(BR$6:BR$19)+SUM(BT$6:BT$19)+SUM(BV$6:BV$19)</f>
        <v>142.72095650876565</v>
      </c>
      <c r="M109" s="106">
        <f>SUM(BX$6:BX$19)+SUM(BZ$6:BZ$19)+SUM(CB$6:CB$19)+SUM(CD$6:CD$19)</f>
        <v>507.07634493071572</v>
      </c>
      <c r="N109" s="106">
        <f>SUM(CF$6:CF$19)+SUM(CH$6:CH$19)+SUM(CJ$6:CJ$19)+SUM(CL$6:CL$19)</f>
        <v>95.1951433562067</v>
      </c>
      <c r="O109" s="106">
        <f>SUM(CN$6:CN$19)+SUM(CP$6:CP$19)+SUM(CR$6:CR$19)+SUM(CT$6:CT$19)</f>
        <v>82.489246160816464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247.85709202628306</v>
      </c>
      <c r="F110" s="106">
        <f>SUM(T$20:T$36)+SUM(V$20:V$36)+SUM(X$20:X$36)+SUM(Z$20:Z$36)</f>
        <v>197.42317765274029</v>
      </c>
      <c r="G110" s="106">
        <f>SUM(AB$20:AB$36)+SUM(AD$20:AD$36)+SUM(AF$20:AF$36)+SUM(AH$20:AH$36)</f>
        <v>403.9998983793655</v>
      </c>
      <c r="H110" s="106">
        <f>SUM(AJ$20:AJ$36)+SUM(AL$20:AL$36)+SUM(AN$20:AN$36)+SUM(AP$20:AP$36)</f>
        <v>400.22574983788149</v>
      </c>
      <c r="I110" s="106">
        <f>SUM(AR$20:AR$36)+SUM(AT$20:AT$36)+SUM(AV$20:AV$36)+SUM(AX$20:AX$36)</f>
        <v>439.47674945851577</v>
      </c>
      <c r="J110" s="106">
        <f>SUM(AZ$20:AZ$36)+SUM(BB$20:BB$36)+SUM(BD$20:BD$36)+SUM(BF$20:BF$36)</f>
        <v>169.35776378110205</v>
      </c>
      <c r="K110" s="106">
        <f>SUM(BH$20:BH$36)+SUM(BJ$20:BJ$36)+SUM(BL$20:BL$36)+SUM(BN$20:BN$36)</f>
        <v>277.16640560402476</v>
      </c>
      <c r="L110" s="106">
        <f>SUM(BP$20:BP$36)+SUM(BR$20:BR$36)+SUM(BT$20:BT$36)+SUM(BV$20:BV$36)</f>
        <v>448.67055007535362</v>
      </c>
      <c r="M110" s="106">
        <f>SUM(BX$20:BX$36)+SUM(BZ$20:BZ$36)+SUM(CB$20:CB$36)+SUM(CD$20:CD$36)</f>
        <v>226.8518675413622</v>
      </c>
      <c r="N110" s="106">
        <f>SUM(CF$20:CF$36)+SUM(CH$20:CH$36)+SUM(CJ$20:CJ$36)+SUM(CL$20:CL$36)</f>
        <v>658.99605882763626</v>
      </c>
      <c r="O110" s="106">
        <f>SUM(CN$20:CN$36)+SUM(CP$20:CP$36)+SUM(CR$20:CR$36)+SUM(CT$20:CT$36)</f>
        <v>500.30479725039527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168.73604537488509</v>
      </c>
      <c r="F111" s="106">
        <f>SUM(T$37:T$48)+SUM(V$37:V$48)+SUM(X$37:X$48)+SUM(Z$37:Z$48)</f>
        <v>80.911974432652499</v>
      </c>
      <c r="G111" s="106">
        <f>SUM(AB$37:AB$48)+SUM(AD$37:AD$48)+SUM(AF$37:AF$48)+SUM(AH$37:AH$48)</f>
        <v>196.91733963249098</v>
      </c>
      <c r="H111" s="106">
        <f>SUM(AJ$37:AJ$48)+SUM(AL$37:AL$48)+SUM(AN$37:AN$48)+SUM(AP$37:AP$48)</f>
        <v>267.14785279089517</v>
      </c>
      <c r="I111" s="106">
        <f>SUM(AR$37:AR$48)+SUM(AT$37:AT$48)+SUM(AV$37:AV$48)+SUM(AX$37:AX$48)</f>
        <v>134.10735873457526</v>
      </c>
      <c r="J111" s="106">
        <f>SUM(AZ$37:AZ$48)+SUM(BB$37:BB$48)+SUM(BD$37:BD$48)+SUM(BF$37:BF$48)</f>
        <v>83.680712128520383</v>
      </c>
      <c r="K111" s="106">
        <f>SUM(BH$37:BH$48)+SUM(BJ$37:BJ$48)+SUM(BL$37:BL$48)+SUM(BN$37:BN$48)</f>
        <v>394.60609345716148</v>
      </c>
      <c r="L111" s="106">
        <f>SUM(BP$37:BP$48)+SUM(BR$37:BR$48)+SUM(BT$37:BT$48)+SUM(BV$37:BV$48)</f>
        <v>296.10352724184361</v>
      </c>
      <c r="M111" s="106">
        <f>SUM(BX$37:BX$48)+SUM(BZ$37:BZ$48)+SUM(CB$37:CB$48)+SUM(CD$37:CD$48)</f>
        <v>39.583488076574625</v>
      </c>
      <c r="N111" s="106">
        <f>SUM(CF$37:CF$48)+SUM(CH$37:CH$48)+SUM(CJ$37:CJ$48)+SUM(CL$37:CL$48)</f>
        <v>105.7473604399994</v>
      </c>
      <c r="O111" s="106">
        <f>SUM(CN$37:CN$48)+SUM(CP$37:CP$48)+SUM(CR$37:CR$48)+SUM(CT$37:CT$48)</f>
        <v>94.360412256237353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432.99949007854121</v>
      </c>
      <c r="F112" s="106">
        <f>SUM(T$49:T$70)+SUM(V$49:V$70)+SUM(X$49:X$70)+SUM(Z$49:Z$70)</f>
        <v>293.03671289734314</v>
      </c>
      <c r="G112" s="106">
        <f>SUM(AB$49:AB$70)+SUM(AD$49:AD$70)+SUM(AF$49:AF$70)+SUM(AH$49:AH$70)</f>
        <v>208.67403413041691</v>
      </c>
      <c r="H112" s="106">
        <f>SUM(AJ$49:AJ$70)+SUM(AL$49:AL$70)+SUM(AN$49:AN$70)+SUM(AP$49:AP$70)</f>
        <v>306.57825893150766</v>
      </c>
      <c r="I112" s="106">
        <f>SUM(AR$49:AR$70)+SUM(AT$49:AT$70)+SUM(AV$49:AV$70)+SUM(AX$49:AX$70)</f>
        <v>340.9460995521257</v>
      </c>
      <c r="J112" s="106">
        <f>SUM(AZ$49:AZ$70)+SUM(BB$49:BB$70)+SUM(BD$49:BD$70)+SUM(BF$49:BF$70)</f>
        <v>814.1241790863395</v>
      </c>
      <c r="K112" s="106">
        <f>SUM(BH$49:BH$70)+SUM(BJ$49:BJ$70)+SUM(BL$49:BL$70)+SUM(BN$49:BN$70)</f>
        <v>76.402916830876492</v>
      </c>
      <c r="L112" s="106">
        <f>SUM(BP$49:BP$70)+SUM(BR$49:BR$70)+SUM(BT$49:BT$70)+SUM(BV$49:BV$70)</f>
        <v>135.47934172523398</v>
      </c>
      <c r="M112" s="106">
        <f>SUM(BX$49:BX$70)+SUM(BZ$49:BZ$70)+SUM(CB$49:CB$70)+SUM(CD$49:CD$70)</f>
        <v>106.19216010511708</v>
      </c>
      <c r="N112" s="106">
        <f>SUM(CF$49:CF$70)+SUM(CH$49:CH$70)+SUM(CJ$49:CJ$70)+SUM(CL$49:CL$70)</f>
        <v>105.48968033046899</v>
      </c>
      <c r="O112" s="106">
        <f>SUM(CN$49:CN$70)+SUM(CP$49:CP$70)+SUM(CR$49:CR$70)+SUM(CT$49:CT$70)</f>
        <v>321.23454483270768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150.84111271437442</v>
      </c>
      <c r="F113" s="106">
        <f>SUM(T$71:T$86)+SUM(V$71:V$86)+SUM(X$71:X$86)+SUM(Z$71:Z$86)</f>
        <v>467.56865062752428</v>
      </c>
      <c r="G113" s="106">
        <f>SUM(AB$71:AB$86)+SUM(AD$71:AD$86)+SUM(AF$71:AF$86)+SUM(AH$71:AH$86)</f>
        <v>455.74965469869011</v>
      </c>
      <c r="H113" s="106">
        <f>SUM(AJ$71:AJ$86)+SUM(AL$71:AL$86)+SUM(AN$71:AN$86)+SUM(AP$71:AP$86)</f>
        <v>491.0280462826953</v>
      </c>
      <c r="I113" s="106">
        <f>SUM(AR$71:AR$86)+SUM(AT$71:AT$86)+SUM(AV$71:AV$86)+SUM(AX$71:AX$86)</f>
        <v>346.72432102341224</v>
      </c>
      <c r="J113" s="106">
        <f>SUM(AZ$71:AZ$86)+SUM(BB$71:BB$86)+SUM(BD$71:BD$86)+SUM(BF$71:BF$86)</f>
        <v>305.16634603437086</v>
      </c>
      <c r="K113" s="106">
        <f>SUM(BH$71:BH$86)+SUM(BJ$71:BJ$86)+SUM(BL$71:BL$86)+SUM(BN$71:BN$86)</f>
        <v>322.50515526414631</v>
      </c>
      <c r="L113" s="106">
        <f>SUM(BP$71:BP$86)+SUM(BR$71:BR$86)+SUM(BT$71:BT$86)+SUM(BV$71:BV$86)</f>
        <v>167.46781342893013</v>
      </c>
      <c r="M113" s="106">
        <f>SUM(BX$71:BX$86)+SUM(BZ$71:BZ$86)+SUM(CB$71:CB$86)+SUM(CD$71:CD$86)</f>
        <v>206.67892634866706</v>
      </c>
      <c r="N113" s="106">
        <f>SUM(CF$71:CF$86)+SUM(CH$71:CH$86)+SUM(CJ$71:CJ$86)+SUM(CL$71:CL$86)</f>
        <v>473.10720721083533</v>
      </c>
      <c r="O113" s="106">
        <f>SUM(CN$71:CN$86)+SUM(CP$71:CP$86)+SUM(CR$71:CR$86)+SUM(CT$71:CT$86)</f>
        <v>48.077377949845051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231.50512549291395</v>
      </c>
      <c r="F114" s="106">
        <f>SUM(T$87:T$94)+SUM(V$87:V$94)+SUM(X$87:X$94)+SUM(Z$87:Z$94)</f>
        <v>172.09296741139664</v>
      </c>
      <c r="G114" s="106">
        <f>SUM(AB$87:AB$94)+SUM(AD$87:AD$94)+SUM(AF$87:AF$94)+SUM(AH$87:AH$94)</f>
        <v>115.32724038122502</v>
      </c>
      <c r="H114" s="106">
        <f>SUM(AJ$87:AJ$94)+SUM(AL$87:AL$94)+SUM(AN$87:AN$94)+SUM(AP$87:AP$94)</f>
        <v>162.53134111834987</v>
      </c>
      <c r="I114" s="106">
        <f>SUM(AR$87:AR$94)+SUM(AT$87:AT$94)+SUM(AV$87:AV$94)+SUM(AX$87:AX$94)</f>
        <v>59.887652663020191</v>
      </c>
      <c r="J114" s="106">
        <f>SUM(AZ$87:AZ$94)+SUM(BB$87:BB$94)+SUM(BD$87:BD$94)+SUM(BF$87:BF$94)</f>
        <v>194.39949445637063</v>
      </c>
      <c r="K114" s="106">
        <f>SUM(BH$87:BH$94)+SUM(BJ$87:BJ$94)+SUM(BL$87:BL$94)+SUM(BN$87:BN$94)</f>
        <v>145.48767829332627</v>
      </c>
      <c r="L114" s="106">
        <f>SUM(BP$87:BP$94)+SUM(BR$87:BR$94)+SUM(BT$87:BT$94)+SUM(BV$87:BV$94)</f>
        <v>241.64462670159048</v>
      </c>
      <c r="M114" s="106">
        <f>SUM(BX$87:BX$94)+SUM(BZ$87:BZ$94)+SUM(CB$87:CB$94)+SUM(CD$87:CD$94)</f>
        <v>465.54750738136386</v>
      </c>
      <c r="N114" s="106">
        <f>SUM(CF$87:CF$94)+SUM(CH$87:CH$94)+SUM(CJ$87:CJ$94)+SUM(CL$87:CL$94)</f>
        <v>143.63451085894241</v>
      </c>
      <c r="O114" s="106">
        <f>SUM(CN$87:CN$94)+SUM(CP$87:CP$94)+SUM(CR$87:CR$94)+SUM(CT$87:CT$94)</f>
        <v>24.492687081121268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241.05918038619092</v>
      </c>
      <c r="F115" s="106">
        <f>SUM(T$95:T$105)+SUM(V$95:V$105)+SUM(X$95:X$105)+SUM(Z$95:Z$105)</f>
        <v>161.91142985181045</v>
      </c>
      <c r="G115" s="106">
        <f>SUM(AB$95:AB$105)+SUM(AD$95:AD$105)+SUM(AF$95:AF$105)+SUM(AH$95:AH$105)</f>
        <v>613.07867691816216</v>
      </c>
      <c r="H115" s="106">
        <f>SUM(AJ$95:AJ$105)+SUM(AL$95:AL$105)+SUM(AN$95:AN$105)+SUM(AP$95:AP$105)</f>
        <v>242.97128452355645</v>
      </c>
      <c r="I115" s="106">
        <f>SUM(AR$95:AR$105)+SUM(AT$95:AT$105)+SUM(AV$95:AV$105)+SUM(AX$95:AX$105)</f>
        <v>409.37087080295652</v>
      </c>
      <c r="J115" s="106">
        <f>SUM(AZ$95:AZ$105)+SUM(BB$95:BB$105)+SUM(BD$95:BD$105)+SUM(BF$95:BF$105)</f>
        <v>782.65407380992087</v>
      </c>
      <c r="K115" s="106">
        <f>SUM(BH$95:BH$105)+SUM(BJ$95:BJ$105)+SUM(BL$95:BL$105)+SUM(BN$95:BN$105)</f>
        <v>345.80158436337723</v>
      </c>
      <c r="L115" s="106">
        <f>SUM(BP$95:BP$105)+SUM(BR$95:BR$105)+SUM(BT$95:BT$105)+SUM(BV$95:BV$105)</f>
        <v>317.73818431828261</v>
      </c>
      <c r="M115" s="106">
        <f>SUM(BX$95:BX$105)+SUM(BZ$95:BZ$105)+SUM(CB$95:CB$105)+SUM(CD$95:CD$105)</f>
        <v>614.51970561619964</v>
      </c>
      <c r="N115" s="106">
        <f>SUM(CF$95:CF$105)+SUM(CH$95:CH$105)+SUM(CJ$95:CJ$105)+SUM(CL$95:CL$105)</f>
        <v>417.63003897591091</v>
      </c>
      <c r="O115" s="106">
        <f>SUM(CN$95:CN$105)+SUM(CP$95:CP$105)+SUM(CR$95:CR$105)+SUM(CT$95:CT$105)</f>
        <v>407.81593446887695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1812.075</v>
      </c>
      <c r="F116" s="106">
        <f t="shared" si="0"/>
        <v>1478.7750000000001</v>
      </c>
      <c r="G116" s="106">
        <f t="shared" si="0"/>
        <v>2228.7000000000003</v>
      </c>
      <c r="H116" s="106">
        <f t="shared" si="0"/>
        <v>2061.4</v>
      </c>
      <c r="I116" s="106">
        <f t="shared" si="0"/>
        <v>1967.7</v>
      </c>
      <c r="J116" s="106">
        <f t="shared" si="0"/>
        <v>2769.5</v>
      </c>
      <c r="K116" s="106">
        <f t="shared" si="0"/>
        <v>1916.4749999999999</v>
      </c>
      <c r="L116" s="106">
        <f t="shared" si="0"/>
        <v>1749.8249999999998</v>
      </c>
      <c r="M116" s="106">
        <f t="shared" si="0"/>
        <v>2166.4500000000003</v>
      </c>
      <c r="N116" s="106">
        <f t="shared" si="0"/>
        <v>1999.8000000000002</v>
      </c>
      <c r="O116" s="106">
        <f t="shared" si="0"/>
        <v>1478.7750000000001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465028.60304795008</v>
      </c>
      <c r="F120" s="106">
        <f>F109*pricing!F24*2000</f>
        <v>291586.73099206761</v>
      </c>
      <c r="G120" s="106">
        <f>G109*pricing!G24*2000</f>
        <v>655187.00679968344</v>
      </c>
      <c r="H120" s="106">
        <f>H109*pricing!H24*2000</f>
        <v>661947.7742610625</v>
      </c>
      <c r="I120" s="106">
        <f>I109*pricing!I24*2000</f>
        <v>765722.93591079325</v>
      </c>
      <c r="J120" s="106">
        <f>J109*pricing!J24*2000</f>
        <v>601238.92693930329</v>
      </c>
      <c r="K120" s="106">
        <f>K109*pricing!K24*2000</f>
        <v>573613.68456276227</v>
      </c>
      <c r="L120" s="106">
        <f>L109*pricing!L24*2000</f>
        <v>448943.80075810821</v>
      </c>
      <c r="M120" s="106">
        <f>M109*pricing!M24*2000</f>
        <v>573350.15361297375</v>
      </c>
      <c r="N120" s="106">
        <f>N109*pricing!N24*2000</f>
        <v>218248.91823443281</v>
      </c>
      <c r="O120" s="106">
        <f>O109*pricing!O24*2000</f>
        <v>244425.43309335504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528124.31393409322</v>
      </c>
      <c r="F121" s="106">
        <f>F110*pricing!F25*2000</f>
        <v>515842.91710724949</v>
      </c>
      <c r="G121" s="106">
        <f>G110*pricing!G25*2000</f>
        <v>1233524.008884158</v>
      </c>
      <c r="H121" s="106">
        <f>H110*pricing!H25*2000</f>
        <v>1276559.7184885293</v>
      </c>
      <c r="I121" s="106">
        <f>I110*pricing!I25*2000</f>
        <v>1413438.6758879519</v>
      </c>
      <c r="J121" s="106">
        <f>J110*pricing!J25*2000</f>
        <v>548271.27033698966</v>
      </c>
      <c r="K121" s="106">
        <f>K110*pricing!K25*2000</f>
        <v>596487.01318257244</v>
      </c>
      <c r="L121" s="106">
        <f>L110*pricing!L25*2000</f>
        <v>1146668.6205124201</v>
      </c>
      <c r="M121" s="106">
        <f>M110*pricing!M25*2000</f>
        <v>488989.58376941219</v>
      </c>
      <c r="N121" s="106">
        <f>N110*pricing!N25*2000</f>
        <v>800992.13784202852</v>
      </c>
      <c r="O121" s="106">
        <f>O110*pricing!O25*2000</f>
        <v>808485.86694243294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262925.74345322291</v>
      </c>
      <c r="F122" s="106">
        <f>F111*pricing!F26*2000</f>
        <v>226524.64289769522</v>
      </c>
      <c r="G122" s="106">
        <f>G111*pricing!G26*2000</f>
        <v>551264.56234643003</v>
      </c>
      <c r="H122" s="106">
        <f>H111*pricing!H26*2000</f>
        <v>790376.70467682858</v>
      </c>
      <c r="I122" s="106">
        <f>I111*pricing!I26*2000</f>
        <v>478028.4952061518</v>
      </c>
      <c r="J122" s="106">
        <f>J111*pricing!J26*2000</f>
        <v>247900.84944810884</v>
      </c>
      <c r="K122" s="106">
        <f>K111*pricing!K26*2000</f>
        <v>455660.29579634086</v>
      </c>
      <c r="L122" s="106">
        <f>L111*pricing!L26*2000</f>
        <v>613175.75824734161</v>
      </c>
      <c r="M122" s="106">
        <f>M111*pricing!M26*2000</f>
        <v>129396.96074195871</v>
      </c>
      <c r="N122" s="106">
        <f>N111*pricing!N26*2000</f>
        <v>191811.7279233583</v>
      </c>
      <c r="O122" s="106">
        <f>O111*pricing!O26*2000</f>
        <v>231369.82404132641</v>
      </c>
    </row>
    <row r="123" spans="2:15" x14ac:dyDescent="0.2">
      <c r="C123" s="105" t="s">
        <v>129</v>
      </c>
      <c r="D123" s="106">
        <f>D112*pricing!D27*2000</f>
        <v>0</v>
      </c>
      <c r="E123" s="106">
        <f>E112*pricing!E27*2000</f>
        <v>662906.03381491301</v>
      </c>
      <c r="F123" s="106">
        <f>F112*pricing!F27*2000</f>
        <v>569582.0603987152</v>
      </c>
      <c r="G123" s="106">
        <f>G112*pricing!G27*2000</f>
        <v>699136.43392443063</v>
      </c>
      <c r="H123" s="106">
        <f>H112*pricing!H27*2000</f>
        <v>965753.67455537675</v>
      </c>
      <c r="I123" s="106">
        <f>I112*pricing!I27*2000</f>
        <v>967805.02601101634</v>
      </c>
      <c r="J123" s="106">
        <f>J112*pricing!J27*2000</f>
        <v>1034915.6829200845</v>
      </c>
      <c r="K123" s="106">
        <f>K112*pricing!K27*2000</f>
        <v>247253.04769235474</v>
      </c>
      <c r="L123" s="106">
        <f>L112*pricing!L27*2000</f>
        <v>447904.83915917261</v>
      </c>
      <c r="M123" s="106">
        <f>M112*pricing!M27*2000</f>
        <v>295114.20275592495</v>
      </c>
      <c r="N123" s="106">
        <f>N112*pricing!N27*2000</f>
        <v>275324.20178854</v>
      </c>
      <c r="O123" s="106">
        <f>O112*pricing!O27*2000</f>
        <v>494106.21624762769</v>
      </c>
    </row>
    <row r="124" spans="2:15" x14ac:dyDescent="0.2">
      <c r="C124" s="105" t="s">
        <v>130</v>
      </c>
      <c r="D124" s="106">
        <f>D113*pricing!D28*2000</f>
        <v>0</v>
      </c>
      <c r="E124" s="106">
        <f>E113*pricing!E28*2000</f>
        <v>532514.185903462</v>
      </c>
      <c r="F124" s="106">
        <f>F113*pricing!F28*2000</f>
        <v>669220.28057546995</v>
      </c>
      <c r="G124" s="106">
        <f>G113*pricing!G28*2000</f>
        <v>909491.14339503506</v>
      </c>
      <c r="H124" s="106">
        <f>H113*pricing!H28*2000</f>
        <v>1012178.5417307318</v>
      </c>
      <c r="I124" s="106">
        <f>I113*pricing!I28*2000</f>
        <v>624916.15280941315</v>
      </c>
      <c r="J124" s="106">
        <f>J113*pricing!J28*2000</f>
        <v>1002263.2285814498</v>
      </c>
      <c r="K124" s="106">
        <f>K113*pricing!K28*2000</f>
        <v>633389.61762767087</v>
      </c>
      <c r="L124" s="106">
        <f>L113*pricing!L28*2000</f>
        <v>476537.23041551857</v>
      </c>
      <c r="M124" s="106">
        <f>M113*pricing!M28*2000</f>
        <v>610598.87304643786</v>
      </c>
      <c r="N124" s="106">
        <f>N113*pricing!N28*2000</f>
        <v>903083.53265596018</v>
      </c>
      <c r="O124" s="106">
        <f>O113*pricing!O28*2000</f>
        <v>151454.79704110714</v>
      </c>
    </row>
    <row r="125" spans="2:15" x14ac:dyDescent="0.2">
      <c r="C125" s="105" t="s">
        <v>131</v>
      </c>
      <c r="D125" s="106">
        <f>D114*pricing!D29*2000</f>
        <v>0</v>
      </c>
      <c r="E125" s="106">
        <f>E114*pricing!E29*2000</f>
        <v>412457.0291541543</v>
      </c>
      <c r="F125" s="106">
        <f>F114*pricing!F29*2000</f>
        <v>221594.85451502743</v>
      </c>
      <c r="G125" s="106">
        <f>G114*pricing!G29*2000</f>
        <v>278111.2071400276</v>
      </c>
      <c r="H125" s="106">
        <f>H114*pricing!H29*2000</f>
        <v>339980.81397314213</v>
      </c>
      <c r="I125" s="106">
        <f>I114*pricing!I29*2000</f>
        <v>181752.70903123516</v>
      </c>
      <c r="J125" s="106">
        <f>J114*pricing!J29*2000</f>
        <v>511654.48587722291</v>
      </c>
      <c r="K125" s="106">
        <f>K114*pricing!K29*2000</f>
        <v>260280.44792700125</v>
      </c>
      <c r="L125" s="106">
        <f>L114*pricing!L29*2000</f>
        <v>297973.8045091051</v>
      </c>
      <c r="M125" s="106">
        <f>M114*pricing!M29*2000</f>
        <v>668783.89844399015</v>
      </c>
      <c r="N125" s="106">
        <f>N114*pricing!N29*2000</f>
        <v>329736.85352098115</v>
      </c>
      <c r="O125" s="106">
        <f>O114*pricing!O29*2000</f>
        <v>79298.935684435593</v>
      </c>
    </row>
    <row r="126" spans="2:15" x14ac:dyDescent="0.2">
      <c r="C126" s="105" t="s">
        <v>132</v>
      </c>
      <c r="D126" s="106">
        <f>D115*pricing!D30*2000</f>
        <v>0</v>
      </c>
      <c r="E126" s="106">
        <f>E115*pricing!E30*2000</f>
        <v>657716.000053606</v>
      </c>
      <c r="F126" s="106">
        <f>F115*pricing!F30*2000</f>
        <v>417437.88156300498</v>
      </c>
      <c r="G126" s="106">
        <f>G115*pricing!G30*2000</f>
        <v>838365.68391837587</v>
      </c>
      <c r="H126" s="106">
        <f>H115*pricing!H30*2000</f>
        <v>836377.39952090452</v>
      </c>
      <c r="I126" s="106">
        <f>I115*pricing!I30*2000</f>
        <v>627448.88951471599</v>
      </c>
      <c r="J126" s="106">
        <f>J115*pricing!J30*2000</f>
        <v>1468709.7079241551</v>
      </c>
      <c r="K126" s="106">
        <f>K115*pricing!K30*2000</f>
        <v>577643.22821749875</v>
      </c>
      <c r="L126" s="106">
        <f>L115*pricing!L30*2000</f>
        <v>617427.39685441961</v>
      </c>
      <c r="M126" s="106">
        <f>M115*pricing!M30*2000</f>
        <v>1132257.0359555087</v>
      </c>
      <c r="N126" s="106">
        <f>N115*pricing!N30*2000</f>
        <v>839033.57576988975</v>
      </c>
      <c r="O126" s="106">
        <f>O115*pricing!O30*2000</f>
        <v>410914.49216584151</v>
      </c>
    </row>
    <row r="127" spans="2:15" x14ac:dyDescent="0.2">
      <c r="C127" s="105" t="s">
        <v>277</v>
      </c>
      <c r="D127" s="106">
        <f t="shared" ref="D127:O127" si="1">SUM(D$120:D$126)</f>
        <v>0</v>
      </c>
      <c r="E127" s="106">
        <f t="shared" si="1"/>
        <v>3521671.909361402</v>
      </c>
      <c r="F127" s="106">
        <f t="shared" si="1"/>
        <v>2911789.36804923</v>
      </c>
      <c r="G127" s="106">
        <f t="shared" si="1"/>
        <v>5165080.0464081401</v>
      </c>
      <c r="H127" s="106">
        <f t="shared" si="1"/>
        <v>5883174.6272065761</v>
      </c>
      <c r="I127" s="106">
        <f t="shared" si="1"/>
        <v>5059112.8843712779</v>
      </c>
      <c r="J127" s="106">
        <f t="shared" si="1"/>
        <v>5414954.1520273145</v>
      </c>
      <c r="K127" s="106">
        <f t="shared" si="1"/>
        <v>3344327.3350062016</v>
      </c>
      <c r="L127" s="106">
        <f t="shared" si="1"/>
        <v>4048631.4504560856</v>
      </c>
      <c r="M127" s="106">
        <f t="shared" si="1"/>
        <v>3898490.7083262061</v>
      </c>
      <c r="N127" s="106">
        <f t="shared" si="1"/>
        <v>3558230.9477351904</v>
      </c>
      <c r="O127" s="106">
        <f t="shared" si="1"/>
        <v>2420055.5652161264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169041.95925496175</v>
      </c>
      <c r="F131" s="112">
        <f>SUM(U$6:U$19)+SUM(W$6:W$19)+SUM(Y$6:Y$19)+SUM(AA$6:AA$19)</f>
        <v>52935.549587396381</v>
      </c>
      <c r="G131" s="112">
        <f>SUM(AC$6:AC$19)+SUM(AE$6:AE$19)+SUM(AG$6:AG$19)+SUM(AI$6:AI$19)</f>
        <v>117623.03587142515</v>
      </c>
      <c r="H131" s="112">
        <f>SUM(AK$6:AK$19)+SUM(AM$6:AM$19)+SUM(AO$6:AO$19)+SUM(AQ$6:AQ$19)</f>
        <v>96074.530286085064</v>
      </c>
      <c r="I131" s="112">
        <f>SUM(AS$6:AS$19)+SUM(AU$6:AU$19)+SUM(AW$6:AW$19)+SUM(AY$6:AY$19)</f>
        <v>119077.25989800048</v>
      </c>
      <c r="J131" s="112">
        <f>SUM(BA$6:BA$19)+SUM(BC$6:BC$19)+SUM(BE$6:BE$19)+SUM(BG$6:BG$19)</f>
        <v>210105.157079761</v>
      </c>
      <c r="K131" s="112">
        <f>SUM(BI$6:BI$19)+SUM(BK$6:BK$19)+SUM(BM$6:BM$19)+SUM(BO$6:BO$19)</f>
        <v>176364.64325119252</v>
      </c>
      <c r="L131" s="112">
        <f>SUM(BQ$6:BQ$19)+SUM(BS$6:BS$19)+SUM(BU$6:BU$19)+SUM(BW$6:BW$19)</f>
        <v>71756.527351885801</v>
      </c>
      <c r="M131" s="112">
        <f>SUM(BY$6:BY$19)+SUM(CA$6:CA$19)+SUM(CC$6:CC$19)+SUM(CE$6:CE$19)</f>
        <v>250573.14949440706</v>
      </c>
      <c r="N131" s="112">
        <f>SUM(CG$6:CG$19)+SUM(CI$6:CI$19)+SUM(CK$6:CK$19)+SUM(CM$6:CM$19)</f>
        <v>47576.950090820654</v>
      </c>
      <c r="O131" s="112">
        <f>SUM(CO$6:CO$19)+SUM(CQ$6:CQ$19)+SUM(CS$6:CS$19)+SUM(CU$6:CU$19)</f>
        <v>41455.068138236646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104928.8269582943</v>
      </c>
      <c r="F132" s="112">
        <f>SUM(U$20:U$36)+SUM(W$20:W$36)+SUM(Y$20:Y$36)+SUM(AA$20:AA$36)</f>
        <v>83779.837991330249</v>
      </c>
      <c r="G132" s="112">
        <f>SUM(AC$20:AC$36)+SUM(AE$20:AE$36)+SUM(AG$20:AG$36)+SUM(AI$20:AI$36)</f>
        <v>173152.7147513174</v>
      </c>
      <c r="H132" s="112">
        <f>SUM(AK$20:AK$36)+SUM(AM$20:AM$36)+SUM(AO$20:AO$36)+SUM(AQ$20:AQ$36)</f>
        <v>171275.93809292285</v>
      </c>
      <c r="I132" s="112">
        <f>SUM(AS$20:AS$36)+SUM(AU$20:AU$36)+SUM(AW$20:AW$36)+SUM(AY$20:AY$36)</f>
        <v>187139.23931673722</v>
      </c>
      <c r="J132" s="112">
        <f>SUM(BA$20:BA$36)+SUM(BC$20:BC$36)+SUM(BE$20:BE$36)+SUM(BG$20:BG$36)</f>
        <v>72231.269790766499</v>
      </c>
      <c r="K132" s="112">
        <f>SUM(BI$20:BI$36)+SUM(BK$20:BK$36)+SUM(BM$20:BM$36)+SUM(BO$20:BO$36)</f>
        <v>116504.27359139475</v>
      </c>
      <c r="L132" s="112">
        <f>SUM(BQ$20:BQ$36)+SUM(BS$20:BS$36)+SUM(BU$20:BU$36)+SUM(BW$20:BW$36)</f>
        <v>190804.79817398469</v>
      </c>
      <c r="M132" s="112">
        <f>SUM(BY$20:BY$36)+SUM(CA$20:CA$36)+SUM(CC$20:CC$36)+SUM(CE$20:CE$36)</f>
        <v>95768.139628510602</v>
      </c>
      <c r="N132" s="112">
        <f>SUM(CG$20:CG$36)+SUM(CI$20:CI$36)+SUM(CK$20:CK$36)+SUM(CM$20:CM$36)</f>
        <v>274071.35012792994</v>
      </c>
      <c r="O132" s="112">
        <f>SUM(CO$20:CO$36)+SUM(CQ$20:CQ$36)+SUM(CS$20:CS$36)+SUM(CU$20:CU$36)</f>
        <v>209045.21252776124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175601.14135083728</v>
      </c>
      <c r="F133" s="112">
        <f>SUM(U$37:U$48)+SUM(W$37:W$48)+SUM(Y$37:Y$48)+SUM(AA$37:AA$48)</f>
        <v>84557.828198316958</v>
      </c>
      <c r="G133" s="112">
        <f>SUM(AC$37:AC$48)+SUM(AE$37:AE$48)+SUM(AG$37:AG$48)+SUM(AI$37:AI$48)</f>
        <v>205203.22927976327</v>
      </c>
      <c r="H133" s="112">
        <f>SUM(AK$37:AK$48)+SUM(AM$37:AM$48)+SUM(AO$37:AO$48)+SUM(AQ$37:AQ$48)</f>
        <v>279120.54879076523</v>
      </c>
      <c r="I133" s="112">
        <f>SUM(AS$37:AS$48)+SUM(AU$37:AU$48)+SUM(AW$37:AW$48)+SUM(AY$37:AY$48)</f>
        <v>140695.10924312193</v>
      </c>
      <c r="J133" s="112">
        <f>SUM(BA$37:BA$48)+SUM(BC$37:BC$48)+SUM(BE$37:BE$48)+SUM(BG$37:BG$48)</f>
        <v>87133.724034247804</v>
      </c>
      <c r="K133" s="112">
        <f>SUM(BI$37:BI$48)+SUM(BK$37:BK$48)+SUM(BM$37:BM$48)+SUM(BO$37:BO$48)</f>
        <v>407980.46804224543</v>
      </c>
      <c r="L133" s="112">
        <f>SUM(BQ$37:BQ$48)+SUM(BS$37:BS$48)+SUM(BU$37:BU$48)+SUM(BW$37:BW$48)</f>
        <v>308736.82287586504</v>
      </c>
      <c r="M133" s="112">
        <f>SUM(BY$37:BY$48)+SUM(CA$37:CA$48)+SUM(CC$37:CC$48)+SUM(CE$37:CE$48)</f>
        <v>41477.443694084584</v>
      </c>
      <c r="N133" s="112">
        <f>SUM(CG$37:CG$48)+SUM(CI$37:CI$48)+SUM(CK$37:CK$48)+SUM(CM$37:CM$48)</f>
        <v>110479.65894870352</v>
      </c>
      <c r="O133" s="112">
        <f>SUM(CO$37:CO$48)+SUM(CQ$37:CQ$48)+SUM(CS$37:CS$48)+SUM(CU$37:CU$48)</f>
        <v>97779.828192182016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390682.56748243404</v>
      </c>
      <c r="F134" s="112">
        <f>SUM(U$49:U$70)+SUM(W$49:W$70)+SUM(Y$49:Y$70)+SUM(AA$49:AA$70)</f>
        <v>247014.42398960816</v>
      </c>
      <c r="G134" s="112">
        <f>SUM(AC$49:AC$70)+SUM(AE$49:AE$70)+SUM(AG$49:AG$70)+SUM(AI$49:AI$70)</f>
        <v>173671.50126274998</v>
      </c>
      <c r="H134" s="112">
        <f>SUM(AK$49:AK$70)+SUM(AM$49:AM$70)+SUM(AO$49:AO$70)+SUM(AQ$49:AQ$70)</f>
        <v>257390.18674090362</v>
      </c>
      <c r="I134" s="112">
        <f>SUM(AS$49:AS$70)+SUM(AU$49:AU$70)+SUM(AW$49:AW$70)+SUM(AY$49:AY$70)</f>
        <v>281511.61482464179</v>
      </c>
      <c r="J134" s="112">
        <f>SUM(BA$49:BA$70)+SUM(BC$49:BC$70)+SUM(BE$49:BE$70)+SUM(BG$49:BG$70)</f>
        <v>749588.3561742499</v>
      </c>
      <c r="K134" s="112">
        <f>SUM(BI$49:BI$70)+SUM(BK$49:BK$70)+SUM(BM$49:BM$70)+SUM(BO$49:BO$70)</f>
        <v>67087.148744868711</v>
      </c>
      <c r="L134" s="112">
        <f>SUM(BQ$49:BQ$70)+SUM(BS$49:BS$70)+SUM(BU$49:BU$70)+SUM(BW$49:BW$70)</f>
        <v>116970.04986126786</v>
      </c>
      <c r="M134" s="112">
        <f>SUM(BY$49:BY$70)+SUM(CA$49:CA$70)+SUM(CC$49:CC$70)+SUM(CE$49:CE$70)</f>
        <v>99039.260150675531</v>
      </c>
      <c r="N134" s="112">
        <f>SUM(CG$49:CG$70)+SUM(CI$49:CI$70)+SUM(CK$49:CK$70)+SUM(CM$49:CM$70)</f>
        <v>98851.622309558559</v>
      </c>
      <c r="O134" s="112">
        <f>SUM(CO$49:CO$70)+SUM(CQ$49:CQ$70)+SUM(CS$49:CS$70)+SUM(CU$49:CU$70)</f>
        <v>264149.1434518281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84298.079691527731</v>
      </c>
      <c r="F135" s="112">
        <f>SUM(U$71:U$86)+SUM(W$71:W$86)+SUM(Y$71:Y$86)+SUM(AA$71:AA$86)</f>
        <v>257441.95045479783</v>
      </c>
      <c r="G135" s="112">
        <f>SUM(AC$71:AC$86)+SUM(AE$71:AE$86)+SUM(AG$71:AG$86)+SUM(AI$71:AI$86)</f>
        <v>247921.52982402424</v>
      </c>
      <c r="H135" s="112">
        <f>SUM(AK$71:AK$86)+SUM(AM$71:AM$86)+SUM(AO$71:AO$86)+SUM(AQ$71:AQ$86)</f>
        <v>271433.60872702149</v>
      </c>
      <c r="I135" s="112">
        <f>SUM(AS$71:AS$86)+SUM(AU$71:AU$86)+SUM(AW$71:AW$86)+SUM(AY$71:AY$86)</f>
        <v>191887.63162880999</v>
      </c>
      <c r="J135" s="112">
        <f>SUM(BA$71:BA$86)+SUM(BC$71:BC$86)+SUM(BE$71:BE$86)+SUM(BG$71:BG$86)</f>
        <v>170559.6825032373</v>
      </c>
      <c r="K135" s="112">
        <f>SUM(BI$71:BI$86)+SUM(BK$71:BK$86)+SUM(BM$71:BM$86)+SUM(BO$71:BO$86)</f>
        <v>179676.09608497474</v>
      </c>
      <c r="L135" s="112">
        <f>SUM(BQ$71:BQ$86)+SUM(BS$71:BS$86)+SUM(BU$71:BU$86)+SUM(BW$71:BW$86)</f>
        <v>93331.273665523418</v>
      </c>
      <c r="M135" s="112">
        <f>SUM(BY$71:BY$86)+SUM(CA$71:CA$86)+SUM(CC$71:CC$86)+SUM(CE$71:CE$86)</f>
        <v>114660.3112218506</v>
      </c>
      <c r="N135" s="112">
        <f>SUM(CG$71:CG$86)+SUM(CI$71:CI$86)+SUM(CK$71:CK$86)+SUM(CM$71:CM$86)</f>
        <v>260936.98434105524</v>
      </c>
      <c r="O135" s="112">
        <f>SUM(CO$71:CO$86)+SUM(CQ$71:CQ$86)+SUM(CS$71:CS$86)+SUM(CU$71:CU$86)</f>
        <v>26638.408154219982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466757.1244608683</v>
      </c>
      <c r="F136" s="112">
        <f>SUM(U$87:U$94)+SUM(W$87:W$94)+SUM(Y$87:Y$94)+SUM(AA$87:AA$94)</f>
        <v>345956.33122735604</v>
      </c>
      <c r="G136" s="112">
        <f>SUM(AC$87:AC$94)+SUM(AE$87:AE$94)+SUM(AG$87:AG$94)+SUM(AI$87:AI$94)</f>
        <v>233967.42772143375</v>
      </c>
      <c r="H136" s="112">
        <f>SUM(AK$87:AK$94)+SUM(AM$87:AM$94)+SUM(AO$87:AO$94)+SUM(AQ$87:AQ$94)</f>
        <v>328022.36701569817</v>
      </c>
      <c r="I136" s="112">
        <f>SUM(AS$87:AS$94)+SUM(AU$87:AU$94)+SUM(AW$87:AW$94)+SUM(AY$87:AY$94)</f>
        <v>121520.77890544731</v>
      </c>
      <c r="J136" s="112">
        <f>SUM(BA$87:BA$94)+SUM(BC$87:BC$94)+SUM(BE$87:BE$94)+SUM(BG$87:BG$94)</f>
        <v>394152.01959616726</v>
      </c>
      <c r="K136" s="112">
        <f>SUM(BI$87:BI$94)+SUM(BK$87:BK$94)+SUM(BM$87:BM$94)+SUM(BO$87:BO$94)</f>
        <v>294015.92677671625</v>
      </c>
      <c r="L136" s="112">
        <f>SUM(BQ$87:BQ$94)+SUM(BS$87:BS$94)+SUM(BU$87:BU$94)+SUM(BW$87:BW$94)</f>
        <v>486947.33429169119</v>
      </c>
      <c r="M136" s="112">
        <f>SUM(BY$87:BY$94)+SUM(CA$87:CA$94)+SUM(CC$87:CC$94)+SUM(CE$87:CE$94)</f>
        <v>940741.29356249119</v>
      </c>
      <c r="N136" s="112">
        <f>SUM(CG$87:CG$94)+SUM(CI$87:CI$94)+SUM(CK$87:CK$94)+SUM(CM$87:CM$94)</f>
        <v>290976.5903051733</v>
      </c>
      <c r="O136" s="112">
        <f>SUM(CO$87:CO$94)+SUM(CQ$87:CQ$94)+SUM(CS$87:CS$94)+SUM(CU$87:CU$94)</f>
        <v>49777.761893033312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446925.49093386077</v>
      </c>
      <c r="F137" s="112">
        <f>SUM(U$95:U$105)+SUM(W$95:W$105)+SUM(Y$95:Y$105)+SUM(AA$95:AA$105)</f>
        <v>295727.50923842046</v>
      </c>
      <c r="G137" s="112">
        <f>SUM(AC$95:AC$105)+SUM(AE$95:AE$105)+SUM(AG$95:AG$105)+SUM(AI$95:AI$105)</f>
        <v>1081270.2500591548</v>
      </c>
      <c r="H137" s="112">
        <f>SUM(AK$95:AK$105)+SUM(AM$95:AM$105)+SUM(AO$95:AO$105)+SUM(AQ$95:AQ$105)</f>
        <v>451393.70153583871</v>
      </c>
      <c r="I137" s="112">
        <f>SUM(AS$95:AS$105)+SUM(AU$95:AU$105)+SUM(AW$95:AW$105)+SUM(AY$95:AY$105)</f>
        <v>733598.70916053851</v>
      </c>
      <c r="J137" s="112">
        <f>SUM(BA$95:BA$105)+SUM(BC$95:BC$105)+SUM(BE$95:BE$105)+SUM(BG$95:BG$105)</f>
        <v>1415896.2708882727</v>
      </c>
      <c r="K137" s="112">
        <f>SUM(BI$95:BI$105)+SUM(BK$95:BK$105)+SUM(BM$95:BM$105)+SUM(BO$95:BO$105)</f>
        <v>618227.2711570675</v>
      </c>
      <c r="L137" s="112">
        <f>SUM(BQ$95:BQ$105)+SUM(BS$95:BS$105)+SUM(BU$95:BU$105)+SUM(BW$95:BW$105)</f>
        <v>574177.89255314856</v>
      </c>
      <c r="M137" s="112">
        <f>SUM(BY$95:BY$105)+SUM(CA$95:CA$105)+SUM(CC$95:CC$105)+SUM(CE$95:CE$105)</f>
        <v>1110023.231917873</v>
      </c>
      <c r="N137" s="112">
        <f>SUM(CG$95:CG$105)+SUM(CI$95:CI$105)+SUM(CK$95:CK$105)+SUM(CM$95:CM$105)</f>
        <v>748232.20093687996</v>
      </c>
      <c r="O137" s="112">
        <f>SUM(CO$95:CO$105)+SUM(CQ$95:CQ$105)+SUM(CS$95:CS$105)+SUM(CU$95:CU$105)</f>
        <v>705469.21866438165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1838235.1901327842</v>
      </c>
      <c r="F138" s="106">
        <f t="shared" si="2"/>
        <v>1367413.4306872261</v>
      </c>
      <c r="G138" s="106">
        <f t="shared" si="2"/>
        <v>2232809.6887698686</v>
      </c>
      <c r="H138" s="106">
        <f t="shared" si="2"/>
        <v>1854710.8811892353</v>
      </c>
      <c r="I138" s="106">
        <f t="shared" si="2"/>
        <v>1775430.342977297</v>
      </c>
      <c r="J138" s="106">
        <f t="shared" si="2"/>
        <v>3099666.4800667027</v>
      </c>
      <c r="K138" s="106">
        <f t="shared" si="2"/>
        <v>1859855.8276484597</v>
      </c>
      <c r="L138" s="106">
        <f t="shared" si="2"/>
        <v>1842724.6987733666</v>
      </c>
      <c r="M138" s="106">
        <f t="shared" si="2"/>
        <v>2652282.8296698928</v>
      </c>
      <c r="N138" s="106">
        <f t="shared" si="2"/>
        <v>1831125.3570601214</v>
      </c>
      <c r="O138" s="106">
        <f t="shared" si="2"/>
        <v>1394314.6410216428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271</v>
      </c>
    </row>
    <row r="3" spans="1:99" x14ac:dyDescent="0.2">
      <c r="B3" s="109" t="s">
        <v>272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2.2652638071589535</v>
      </c>
      <c r="M6" s="106">
        <v>1310.2285860607387</v>
      </c>
      <c r="N6" s="106">
        <v>1.9401267462854437</v>
      </c>
      <c r="O6" s="106">
        <v>1122.1693100515006</v>
      </c>
      <c r="P6" s="106">
        <v>1.3360333454793576</v>
      </c>
      <c r="Q6" s="106">
        <v>772.76168702526036</v>
      </c>
      <c r="R6" s="106">
        <v>1.2389657988638687</v>
      </c>
      <c r="S6" s="106">
        <v>716.6178180628616</v>
      </c>
      <c r="T6" s="106">
        <v>0</v>
      </c>
      <c r="U6" s="106">
        <v>0</v>
      </c>
      <c r="V6" s="106">
        <v>8.0451159664206813</v>
      </c>
      <c r="W6" s="106">
        <v>4653.2950749777219</v>
      </c>
      <c r="X6" s="106">
        <v>0</v>
      </c>
      <c r="Y6" s="106">
        <v>0</v>
      </c>
      <c r="Z6" s="106">
        <v>8.5101679725611081</v>
      </c>
      <c r="AA6" s="106">
        <v>4922.281155329345</v>
      </c>
      <c r="AB6" s="106">
        <v>16.290135004204767</v>
      </c>
      <c r="AC6" s="106">
        <v>9422.2140864320372</v>
      </c>
      <c r="AD6" s="106">
        <v>17.974696974050477</v>
      </c>
      <c r="AE6" s="106">
        <v>10396.564729790796</v>
      </c>
      <c r="AF6" s="106">
        <v>12.596303587137314</v>
      </c>
      <c r="AG6" s="106">
        <v>7285.7019948002217</v>
      </c>
      <c r="AH6" s="106">
        <v>0</v>
      </c>
      <c r="AI6" s="106">
        <v>0</v>
      </c>
      <c r="AJ6" s="106">
        <v>5.1038596380351438</v>
      </c>
      <c r="AK6" s="106">
        <v>2952.0724146395269</v>
      </c>
      <c r="AL6" s="106">
        <v>0</v>
      </c>
      <c r="AM6" s="106">
        <v>0</v>
      </c>
      <c r="AN6" s="106">
        <v>4.5306109497106206</v>
      </c>
      <c r="AO6" s="106">
        <v>2620.5053733126229</v>
      </c>
      <c r="AP6" s="106">
        <v>0</v>
      </c>
      <c r="AQ6" s="106">
        <v>0</v>
      </c>
      <c r="AR6" s="106">
        <v>10.278669340569973</v>
      </c>
      <c r="AS6" s="106">
        <v>5945.1823465856723</v>
      </c>
      <c r="AT6" s="106">
        <v>0</v>
      </c>
      <c r="AU6" s="106">
        <v>0</v>
      </c>
      <c r="AV6" s="106">
        <v>5.0493660937104767</v>
      </c>
      <c r="AW6" s="106">
        <v>2920.5533486021395</v>
      </c>
      <c r="AX6" s="106">
        <v>9.8406172500923539</v>
      </c>
      <c r="AY6" s="106">
        <v>5691.8130174534172</v>
      </c>
      <c r="AZ6" s="106">
        <v>8.1672425476098756</v>
      </c>
      <c r="BA6" s="106">
        <v>4723.9330895375515</v>
      </c>
      <c r="BB6" s="106">
        <v>11.978241919479347</v>
      </c>
      <c r="BC6" s="106">
        <v>6928.2151262268535</v>
      </c>
      <c r="BD6" s="106">
        <v>0</v>
      </c>
      <c r="BE6" s="106">
        <v>0</v>
      </c>
      <c r="BF6" s="106">
        <v>15.589863953570024</v>
      </c>
      <c r="BG6" s="106">
        <v>9017.1773107449008</v>
      </c>
      <c r="BH6" s="106">
        <v>4.4634392554269047</v>
      </c>
      <c r="BI6" s="106">
        <v>2581.6532653389218</v>
      </c>
      <c r="BJ6" s="106">
        <v>3.439446483405276</v>
      </c>
      <c r="BK6" s="106">
        <v>1989.3758460016115</v>
      </c>
      <c r="BL6" s="106">
        <v>3.6296930659035911</v>
      </c>
      <c r="BM6" s="106">
        <v>2099.4144693186372</v>
      </c>
      <c r="BN6" s="106">
        <v>0</v>
      </c>
      <c r="BO6" s="106">
        <v>0</v>
      </c>
      <c r="BP6" s="106">
        <v>20.29900680350271</v>
      </c>
      <c r="BQ6" s="106">
        <v>11740.945535145967</v>
      </c>
      <c r="BR6" s="106">
        <v>34.127703510568665</v>
      </c>
      <c r="BS6" s="106">
        <v>19739.463710512915</v>
      </c>
      <c r="BT6" s="106">
        <v>0</v>
      </c>
      <c r="BU6" s="106">
        <v>0</v>
      </c>
      <c r="BV6" s="106">
        <v>14.6478207914931</v>
      </c>
      <c r="BW6" s="106">
        <v>8472.2995457996094</v>
      </c>
      <c r="BX6" s="106">
        <v>6.4423066882736713</v>
      </c>
      <c r="BY6" s="106">
        <v>3726.2301884974913</v>
      </c>
      <c r="BZ6" s="106">
        <v>2.2163813034355591</v>
      </c>
      <c r="CA6" s="106">
        <v>1281.9549459071272</v>
      </c>
      <c r="CB6" s="106">
        <v>0</v>
      </c>
      <c r="CC6" s="106">
        <v>0</v>
      </c>
      <c r="CD6" s="106">
        <v>2.0022023582718735</v>
      </c>
      <c r="CE6" s="106">
        <v>1158.0738440244515</v>
      </c>
      <c r="CF6" s="106">
        <v>30.933679221357949</v>
      </c>
      <c r="CG6" s="106">
        <v>17892.040061633437</v>
      </c>
      <c r="CH6" s="106">
        <v>9.5996443393691528</v>
      </c>
      <c r="CI6" s="106">
        <v>5552.4342858911177</v>
      </c>
      <c r="CJ6" s="106">
        <v>0</v>
      </c>
      <c r="CK6" s="106">
        <v>0</v>
      </c>
      <c r="CL6" s="106">
        <v>9.8073154730152048</v>
      </c>
      <c r="CM6" s="106">
        <v>5672.5512695919942</v>
      </c>
      <c r="CN6" s="106">
        <v>0</v>
      </c>
      <c r="CO6" s="106">
        <v>0</v>
      </c>
      <c r="CP6" s="106">
        <v>6.5231573965385525</v>
      </c>
      <c r="CQ6" s="106">
        <v>3772.9942381578985</v>
      </c>
      <c r="CR6" s="106">
        <v>9.1171834531519913</v>
      </c>
      <c r="CS6" s="106">
        <v>5273.3789093031119</v>
      </c>
      <c r="CT6" s="106">
        <v>10.060681001745738</v>
      </c>
      <c r="CU6" s="106">
        <v>5819.097891409735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2.0135678285857361</v>
      </c>
      <c r="M7" s="106">
        <v>1587.4968760569943</v>
      </c>
      <c r="N7" s="106">
        <v>1.8592632204602131</v>
      </c>
      <c r="O7" s="106">
        <v>1465.843123010832</v>
      </c>
      <c r="P7" s="106">
        <v>1.223442790028048</v>
      </c>
      <c r="Q7" s="106">
        <v>964.56229565811304</v>
      </c>
      <c r="R7" s="106">
        <v>1.2158582598024803</v>
      </c>
      <c r="S7" s="106">
        <v>958.58265202827545</v>
      </c>
      <c r="T7" s="106">
        <v>0</v>
      </c>
      <c r="U7" s="106">
        <v>0</v>
      </c>
      <c r="V7" s="106">
        <v>7.3455406649927966</v>
      </c>
      <c r="W7" s="106">
        <v>5791.2242602803208</v>
      </c>
      <c r="X7" s="106">
        <v>0</v>
      </c>
      <c r="Y7" s="106">
        <v>0</v>
      </c>
      <c r="Z7" s="106">
        <v>8.5101679725611081</v>
      </c>
      <c r="AA7" s="106">
        <v>6709.4164295671771</v>
      </c>
      <c r="AB7" s="106">
        <v>14.180876496038268</v>
      </c>
      <c r="AC7" s="106">
        <v>11180.20302947657</v>
      </c>
      <c r="AD7" s="106">
        <v>18.335836473011138</v>
      </c>
      <c r="AE7" s="106">
        <v>14455.973475321982</v>
      </c>
      <c r="AF7" s="106">
        <v>10.176805650666411</v>
      </c>
      <c r="AG7" s="106">
        <v>8023.3935749853981</v>
      </c>
      <c r="AH7" s="106">
        <v>0</v>
      </c>
      <c r="AI7" s="106">
        <v>0</v>
      </c>
      <c r="AJ7" s="106">
        <v>5.5678468778565211</v>
      </c>
      <c r="AK7" s="106">
        <v>4389.6904785020815</v>
      </c>
      <c r="AL7" s="106">
        <v>0</v>
      </c>
      <c r="AM7" s="106">
        <v>0</v>
      </c>
      <c r="AN7" s="106">
        <v>4.9424846724115872</v>
      </c>
      <c r="AO7" s="106">
        <v>3896.6549157292952</v>
      </c>
      <c r="AP7" s="106">
        <v>0</v>
      </c>
      <c r="AQ7" s="106">
        <v>0</v>
      </c>
      <c r="AR7" s="106">
        <v>11.327513150832214</v>
      </c>
      <c r="AS7" s="106">
        <v>8930.6113681161169</v>
      </c>
      <c r="AT7" s="106">
        <v>0</v>
      </c>
      <c r="AU7" s="106">
        <v>0</v>
      </c>
      <c r="AV7" s="106">
        <v>5.4565730367516441</v>
      </c>
      <c r="AW7" s="106">
        <v>4301.9621821749961</v>
      </c>
      <c r="AX7" s="106">
        <v>9.5697619850749085</v>
      </c>
      <c r="AY7" s="106">
        <v>7544.8003490330575</v>
      </c>
      <c r="AZ7" s="106">
        <v>7.0317310655231919</v>
      </c>
      <c r="BA7" s="106">
        <v>5543.8167720584843</v>
      </c>
      <c r="BB7" s="106">
        <v>11.216213664752726</v>
      </c>
      <c r="BC7" s="106">
        <v>8842.8628532910479</v>
      </c>
      <c r="BD7" s="106">
        <v>0</v>
      </c>
      <c r="BE7" s="106">
        <v>0</v>
      </c>
      <c r="BF7" s="106">
        <v>15.589863953570024</v>
      </c>
      <c r="BG7" s="106">
        <v>12291.048740994607</v>
      </c>
      <c r="BH7" s="106">
        <v>4.1433029507002681</v>
      </c>
      <c r="BI7" s="106">
        <v>3266.5800463320911</v>
      </c>
      <c r="BJ7" s="106">
        <v>3.3411115366724395</v>
      </c>
      <c r="BK7" s="106">
        <v>2634.1323355125514</v>
      </c>
      <c r="BL7" s="106">
        <v>3.3463691223629963</v>
      </c>
      <c r="BM7" s="106">
        <v>2638.2774160709864</v>
      </c>
      <c r="BN7" s="106">
        <v>0</v>
      </c>
      <c r="BO7" s="106">
        <v>0</v>
      </c>
      <c r="BP7" s="106">
        <v>18.731197334939495</v>
      </c>
      <c r="BQ7" s="106">
        <v>14767.675978866297</v>
      </c>
      <c r="BR7" s="106">
        <v>29.868851620860251</v>
      </c>
      <c r="BS7" s="106">
        <v>23548.602617886223</v>
      </c>
      <c r="BT7" s="106">
        <v>0</v>
      </c>
      <c r="BU7" s="106">
        <v>0</v>
      </c>
      <c r="BV7" s="106">
        <v>13.244436763565616</v>
      </c>
      <c r="BW7" s="106">
        <v>10441.913944395132</v>
      </c>
      <c r="BX7" s="106">
        <v>6.1870480694277674</v>
      </c>
      <c r="BY7" s="106">
        <v>4877.8686979368513</v>
      </c>
      <c r="BZ7" s="106">
        <v>2.1294142105843648</v>
      </c>
      <c r="CA7" s="106">
        <v>1678.8301636247131</v>
      </c>
      <c r="CB7" s="106">
        <v>0</v>
      </c>
      <c r="CC7" s="106">
        <v>0</v>
      </c>
      <c r="CD7" s="106">
        <v>1.7797354295749988</v>
      </c>
      <c r="CE7" s="106">
        <v>1403.1434126769291</v>
      </c>
      <c r="CF7" s="106">
        <v>27.730333880666983</v>
      </c>
      <c r="CG7" s="106">
        <v>21862.595231517847</v>
      </c>
      <c r="CH7" s="106">
        <v>8.6949492518360376</v>
      </c>
      <c r="CI7" s="106">
        <v>6855.0979901475321</v>
      </c>
      <c r="CJ7" s="106">
        <v>0</v>
      </c>
      <c r="CK7" s="106">
        <v>0</v>
      </c>
      <c r="CL7" s="106">
        <v>9.3952433943170863</v>
      </c>
      <c r="CM7" s="106">
        <v>7407.2098920795906</v>
      </c>
      <c r="CN7" s="106">
        <v>0</v>
      </c>
      <c r="CO7" s="106">
        <v>0</v>
      </c>
      <c r="CP7" s="106">
        <v>7.0822851733847143</v>
      </c>
      <c r="CQ7" s="106">
        <v>5583.6736306965086</v>
      </c>
      <c r="CR7" s="106">
        <v>8.847066749466709</v>
      </c>
      <c r="CS7" s="106">
        <v>6975.0274252795534</v>
      </c>
      <c r="CT7" s="106">
        <v>9.7987244280622168</v>
      </c>
      <c r="CU7" s="106">
        <v>7725.3143390842515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2.3911117964455619</v>
      </c>
      <c r="M8" s="106">
        <v>740.28821217954589</v>
      </c>
      <c r="N8" s="106">
        <v>2.1568557184651911</v>
      </c>
      <c r="O8" s="106">
        <v>667.76253043682311</v>
      </c>
      <c r="P8" s="106">
        <v>1.3714480247865481</v>
      </c>
      <c r="Q8" s="106">
        <v>424.60030847391528</v>
      </c>
      <c r="R8" s="106">
        <v>1.3607127640193519</v>
      </c>
      <c r="S8" s="106">
        <v>421.27667174039129</v>
      </c>
      <c r="T8" s="106">
        <v>0</v>
      </c>
      <c r="U8" s="106">
        <v>0</v>
      </c>
      <c r="V8" s="106">
        <v>8.744691267848566</v>
      </c>
      <c r="W8" s="106">
        <v>2707.3564165259158</v>
      </c>
      <c r="X8" s="106">
        <v>0</v>
      </c>
      <c r="Y8" s="106">
        <v>0</v>
      </c>
      <c r="Z8" s="106">
        <v>8.1828538197702958</v>
      </c>
      <c r="AA8" s="106">
        <v>2533.4115426008834</v>
      </c>
      <c r="AB8" s="106">
        <v>20.047281028174883</v>
      </c>
      <c r="AC8" s="106">
        <v>6206.638206322943</v>
      </c>
      <c r="AD8" s="106">
        <v>23.099181999191796</v>
      </c>
      <c r="AE8" s="106">
        <v>7151.506746949779</v>
      </c>
      <c r="AF8" s="106">
        <v>12.753481828912056</v>
      </c>
      <c r="AG8" s="106">
        <v>3948.4779742311721</v>
      </c>
      <c r="AH8" s="106">
        <v>0</v>
      </c>
      <c r="AI8" s="106">
        <v>0</v>
      </c>
      <c r="AJ8" s="106">
        <v>5.1038596380351438</v>
      </c>
      <c r="AK8" s="106">
        <v>1580.1549439356804</v>
      </c>
      <c r="AL8" s="106">
        <v>0</v>
      </c>
      <c r="AM8" s="106">
        <v>0</v>
      </c>
      <c r="AN8" s="106">
        <v>5.1484215337620691</v>
      </c>
      <c r="AO8" s="106">
        <v>1593.9513068527365</v>
      </c>
      <c r="AP8" s="106">
        <v>0</v>
      </c>
      <c r="AQ8" s="106">
        <v>0</v>
      </c>
      <c r="AR8" s="106">
        <v>10.698206864674869</v>
      </c>
      <c r="AS8" s="106">
        <v>3312.164845303339</v>
      </c>
      <c r="AT8" s="106">
        <v>0</v>
      </c>
      <c r="AU8" s="106">
        <v>0</v>
      </c>
      <c r="AV8" s="106">
        <v>5.7823385911845788</v>
      </c>
      <c r="AW8" s="106">
        <v>1790.2120278307455</v>
      </c>
      <c r="AX8" s="106">
        <v>11.675158081837965</v>
      </c>
      <c r="AY8" s="106">
        <v>3614.6289421370338</v>
      </c>
      <c r="AZ8" s="106">
        <v>7.8444761368954943</v>
      </c>
      <c r="BA8" s="106">
        <v>2428.6498119828448</v>
      </c>
      <c r="BB8" s="106">
        <v>13.067668739392474</v>
      </c>
      <c r="BC8" s="106">
        <v>4045.7502417159094</v>
      </c>
      <c r="BD8" s="106">
        <v>0</v>
      </c>
      <c r="BE8" s="106">
        <v>0</v>
      </c>
      <c r="BF8" s="106">
        <v>15.589863953570024</v>
      </c>
      <c r="BG8" s="106">
        <v>4826.6218800252791</v>
      </c>
      <c r="BH8" s="106">
        <v>5.3395707788761353</v>
      </c>
      <c r="BI8" s="106">
        <v>1653.1311131400514</v>
      </c>
      <c r="BJ8" s="106">
        <v>3.1534898760001999</v>
      </c>
      <c r="BK8" s="106">
        <v>976.32046560966182</v>
      </c>
      <c r="BL8" s="106">
        <v>3.410584245502132</v>
      </c>
      <c r="BM8" s="106">
        <v>1055.91688240746</v>
      </c>
      <c r="BN8" s="106">
        <v>0</v>
      </c>
      <c r="BO8" s="106">
        <v>0</v>
      </c>
      <c r="BP8" s="106">
        <v>23.434625740629144</v>
      </c>
      <c r="BQ8" s="106">
        <v>7255.3601292987823</v>
      </c>
      <c r="BR8" s="106">
        <v>34.436801772406035</v>
      </c>
      <c r="BS8" s="106">
        <v>10661.633828736907</v>
      </c>
      <c r="BT8" s="106">
        <v>0</v>
      </c>
      <c r="BU8" s="106">
        <v>0</v>
      </c>
      <c r="BV8" s="106">
        <v>16.84060833512979</v>
      </c>
      <c r="BW8" s="106">
        <v>5213.8523405561828</v>
      </c>
      <c r="BX8" s="106">
        <v>7.803201201364816</v>
      </c>
      <c r="BY8" s="106">
        <v>2415.8710919425466</v>
      </c>
      <c r="BZ8" s="106">
        <v>2.333139442514307</v>
      </c>
      <c r="CA8" s="106">
        <v>722.33997140242934</v>
      </c>
      <c r="CB8" s="106">
        <v>0</v>
      </c>
      <c r="CC8" s="106">
        <v>0</v>
      </c>
      <c r="CD8" s="106">
        <v>2.0763580011708318</v>
      </c>
      <c r="CE8" s="106">
        <v>642.84043716248948</v>
      </c>
      <c r="CF8" s="106">
        <v>33.048705280516344</v>
      </c>
      <c r="CG8" s="106">
        <v>10231.879154847858</v>
      </c>
      <c r="CH8" s="106">
        <v>9.6387853155385788</v>
      </c>
      <c r="CI8" s="106">
        <v>2984.1679336907437</v>
      </c>
      <c r="CJ8" s="106">
        <v>0</v>
      </c>
      <c r="CK8" s="106">
        <v>0</v>
      </c>
      <c r="CL8" s="106">
        <v>11.455603787807677</v>
      </c>
      <c r="CM8" s="106">
        <v>3546.6549327052562</v>
      </c>
      <c r="CN8" s="106">
        <v>0</v>
      </c>
      <c r="CO8" s="106">
        <v>0</v>
      </c>
      <c r="CP8" s="106">
        <v>7.0822851733847143</v>
      </c>
      <c r="CQ8" s="106">
        <v>2192.6754896799075</v>
      </c>
      <c r="CR8" s="106">
        <v>10.513463135647765</v>
      </c>
      <c r="CS8" s="106">
        <v>3254.9681867965478</v>
      </c>
      <c r="CT8" s="106">
        <v>9.8348208633011556</v>
      </c>
      <c r="CU8" s="106">
        <v>3044.8605392780373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2.139415817872345</v>
      </c>
      <c r="M9" s="106">
        <v>1501.8699041463863</v>
      </c>
      <c r="N9" s="106">
        <v>1.9009992337893642</v>
      </c>
      <c r="O9" s="106">
        <v>1334.5014621201337</v>
      </c>
      <c r="P9" s="106">
        <v>1.2885917375805005</v>
      </c>
      <c r="Q9" s="106">
        <v>904.59139978151131</v>
      </c>
      <c r="R9" s="106">
        <v>1.275081203875837</v>
      </c>
      <c r="S9" s="106">
        <v>895.10700512083758</v>
      </c>
      <c r="T9" s="106">
        <v>0</v>
      </c>
      <c r="U9" s="106">
        <v>0</v>
      </c>
      <c r="V9" s="106">
        <v>8.0451159664206813</v>
      </c>
      <c r="W9" s="106">
        <v>5647.6714084273181</v>
      </c>
      <c r="X9" s="106">
        <v>0</v>
      </c>
      <c r="Y9" s="106">
        <v>0</v>
      </c>
      <c r="Z9" s="106">
        <v>8.5101679725611081</v>
      </c>
      <c r="AA9" s="106">
        <v>5974.1379167378982</v>
      </c>
      <c r="AB9" s="106">
        <v>17.356164550232592</v>
      </c>
      <c r="AC9" s="106">
        <v>12184.02751426328</v>
      </c>
      <c r="AD9" s="106">
        <v>16.861090173817736</v>
      </c>
      <c r="AE9" s="106">
        <v>11836.48530202005</v>
      </c>
      <c r="AF9" s="106">
        <v>12.500472040614429</v>
      </c>
      <c r="AG9" s="106">
        <v>8775.3313725113294</v>
      </c>
      <c r="AH9" s="106">
        <v>0</v>
      </c>
      <c r="AI9" s="106">
        <v>0</v>
      </c>
      <c r="AJ9" s="106">
        <v>5.1038596380351438</v>
      </c>
      <c r="AK9" s="106">
        <v>3582.909465900671</v>
      </c>
      <c r="AL9" s="106">
        <v>0</v>
      </c>
      <c r="AM9" s="106">
        <v>0</v>
      </c>
      <c r="AN9" s="106">
        <v>5.1484215337620691</v>
      </c>
      <c r="AO9" s="106">
        <v>3614.1919167009723</v>
      </c>
      <c r="AP9" s="106">
        <v>0</v>
      </c>
      <c r="AQ9" s="106">
        <v>0</v>
      </c>
      <c r="AR9" s="106">
        <v>10.068900578517525</v>
      </c>
      <c r="AS9" s="106">
        <v>7068.3682061193022</v>
      </c>
      <c r="AT9" s="106">
        <v>0</v>
      </c>
      <c r="AU9" s="106">
        <v>0</v>
      </c>
      <c r="AV9" s="106">
        <v>5.619455813968111</v>
      </c>
      <c r="AW9" s="106">
        <v>3944.8579814056138</v>
      </c>
      <c r="AX9" s="106">
        <v>9.531616098955519</v>
      </c>
      <c r="AY9" s="106">
        <v>6691.1945014667745</v>
      </c>
      <c r="AZ9" s="106">
        <v>7.0896122289651844</v>
      </c>
      <c r="BA9" s="106">
        <v>4976.9077847335593</v>
      </c>
      <c r="BB9" s="106">
        <v>12.674740042656543</v>
      </c>
      <c r="BC9" s="106">
        <v>8897.667509944893</v>
      </c>
      <c r="BD9" s="106">
        <v>0</v>
      </c>
      <c r="BE9" s="106">
        <v>0</v>
      </c>
      <c r="BF9" s="106">
        <v>14.912043781675676</v>
      </c>
      <c r="BG9" s="106">
        <v>10468.254734736325</v>
      </c>
      <c r="BH9" s="106">
        <v>4.9027399395545581</v>
      </c>
      <c r="BI9" s="106">
        <v>3441.7234375672997</v>
      </c>
      <c r="BJ9" s="106">
        <v>2.934955600729972</v>
      </c>
      <c r="BK9" s="106">
        <v>2060.3388317124404</v>
      </c>
      <c r="BL9" s="106">
        <v>3.1826943334211051</v>
      </c>
      <c r="BM9" s="106">
        <v>2234.2514220616158</v>
      </c>
      <c r="BN9" s="106">
        <v>0</v>
      </c>
      <c r="BO9" s="106">
        <v>0</v>
      </c>
      <c r="BP9" s="106">
        <v>17.988550744567441</v>
      </c>
      <c r="BQ9" s="106">
        <v>12627.962622686344</v>
      </c>
      <c r="BR9" s="106">
        <v>35.121844352401318</v>
      </c>
      <c r="BS9" s="106">
        <v>24655.534735385725</v>
      </c>
      <c r="BT9" s="106">
        <v>0</v>
      </c>
      <c r="BU9" s="106">
        <v>0</v>
      </c>
      <c r="BV9" s="106">
        <v>14.560109289747631</v>
      </c>
      <c r="BW9" s="106">
        <v>10221.196721402837</v>
      </c>
      <c r="BX9" s="106">
        <v>7.148958336922469</v>
      </c>
      <c r="BY9" s="106">
        <v>5018.5687525195735</v>
      </c>
      <c r="BZ9" s="106">
        <v>1.992718832666418</v>
      </c>
      <c r="CA9" s="106">
        <v>1398.8886205318254</v>
      </c>
      <c r="CB9" s="106">
        <v>0</v>
      </c>
      <c r="CC9" s="106">
        <v>0</v>
      </c>
      <c r="CD9" s="106">
        <v>1.9280467153729153</v>
      </c>
      <c r="CE9" s="106">
        <v>1353.4887941917866</v>
      </c>
      <c r="CF9" s="106">
        <v>28.969254956229456</v>
      </c>
      <c r="CG9" s="106">
        <v>20336.416979273079</v>
      </c>
      <c r="CH9" s="106">
        <v>8.6181027012168681</v>
      </c>
      <c r="CI9" s="106">
        <v>6049.9080962542412</v>
      </c>
      <c r="CJ9" s="106">
        <v>0</v>
      </c>
      <c r="CK9" s="106">
        <v>0</v>
      </c>
      <c r="CL9" s="106">
        <v>9.6424866415359585</v>
      </c>
      <c r="CM9" s="106">
        <v>6769.0256223582428</v>
      </c>
      <c r="CN9" s="106">
        <v>0</v>
      </c>
      <c r="CO9" s="106">
        <v>0</v>
      </c>
      <c r="CP9" s="106">
        <v>7.2686610990001013</v>
      </c>
      <c r="CQ9" s="106">
        <v>5102.6000914980714</v>
      </c>
      <c r="CR9" s="106">
        <v>9.5310875013203074</v>
      </c>
      <c r="CS9" s="106">
        <v>6690.8234259268556</v>
      </c>
      <c r="CT9" s="106">
        <v>8.5412957405820045</v>
      </c>
      <c r="CU9" s="106">
        <v>5995.9896098885674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2.0135678285857361</v>
      </c>
      <c r="M10" s="106">
        <v>1096.991753013509</v>
      </c>
      <c r="N10" s="106">
        <v>1.962410704883943</v>
      </c>
      <c r="O10" s="106">
        <v>1069.1213520207721</v>
      </c>
      <c r="P10" s="106">
        <v>1.2544306344218399</v>
      </c>
      <c r="Q10" s="106">
        <v>683.41380963301833</v>
      </c>
      <c r="R10" s="106">
        <v>1.3497091739901192</v>
      </c>
      <c r="S10" s="106">
        <v>735.32155798981694</v>
      </c>
      <c r="T10" s="106">
        <v>0</v>
      </c>
      <c r="U10" s="106">
        <v>0</v>
      </c>
      <c r="V10" s="106">
        <v>8.744691267848566</v>
      </c>
      <c r="W10" s="106">
        <v>4764.1078027238982</v>
      </c>
      <c r="X10" s="106">
        <v>0</v>
      </c>
      <c r="Y10" s="106">
        <v>0</v>
      </c>
      <c r="Z10" s="106">
        <v>8.1828538197702958</v>
      </c>
      <c r="AA10" s="106">
        <v>4458.0187610108569</v>
      </c>
      <c r="AB10" s="106">
        <v>17.622864846500381</v>
      </c>
      <c r="AC10" s="106">
        <v>9600.9367683734072</v>
      </c>
      <c r="AD10" s="106">
        <v>17.598022352316129</v>
      </c>
      <c r="AE10" s="106">
        <v>9587.4025775418268</v>
      </c>
      <c r="AF10" s="106">
        <v>11.478545846478189</v>
      </c>
      <c r="AG10" s="106">
        <v>6253.5117771613168</v>
      </c>
      <c r="AH10" s="106">
        <v>0</v>
      </c>
      <c r="AI10" s="106">
        <v>0</v>
      </c>
      <c r="AJ10" s="106">
        <v>5.1038596380351438</v>
      </c>
      <c r="AK10" s="106">
        <v>2780.5827308015459</v>
      </c>
      <c r="AL10" s="106">
        <v>0</v>
      </c>
      <c r="AM10" s="106">
        <v>0</v>
      </c>
      <c r="AN10" s="106">
        <v>4.7365478110611043</v>
      </c>
      <c r="AO10" s="106">
        <v>2580.4712474660896</v>
      </c>
      <c r="AP10" s="106">
        <v>0</v>
      </c>
      <c r="AQ10" s="106">
        <v>0</v>
      </c>
      <c r="AR10" s="106">
        <v>11.327513150832214</v>
      </c>
      <c r="AS10" s="106">
        <v>6171.2291645733894</v>
      </c>
      <c r="AT10" s="106">
        <v>0</v>
      </c>
      <c r="AU10" s="106">
        <v>0</v>
      </c>
      <c r="AV10" s="106">
        <v>5.9452213684010449</v>
      </c>
      <c r="AW10" s="106">
        <v>3238.956601504889</v>
      </c>
      <c r="AX10" s="106">
        <v>10.809400617192708</v>
      </c>
      <c r="AY10" s="106">
        <v>5888.9614562465867</v>
      </c>
      <c r="AZ10" s="106">
        <v>7.7930262138359438</v>
      </c>
      <c r="BA10" s="106">
        <v>4245.6406812978221</v>
      </c>
      <c r="BB10" s="106">
        <v>12.347341477470033</v>
      </c>
      <c r="BC10" s="106">
        <v>6726.8316369256736</v>
      </c>
      <c r="BD10" s="106">
        <v>0</v>
      </c>
      <c r="BE10" s="106">
        <v>0</v>
      </c>
      <c r="BF10" s="106">
        <v>16.267684125464374</v>
      </c>
      <c r="BG10" s="106">
        <v>8862.6343115529908</v>
      </c>
      <c r="BH10" s="106">
        <v>4.7205586602317942</v>
      </c>
      <c r="BI10" s="106">
        <v>2571.7603580942814</v>
      </c>
      <c r="BJ10" s="106">
        <v>3.3227635542100944</v>
      </c>
      <c r="BK10" s="106">
        <v>1810.2415843336594</v>
      </c>
      <c r="BL10" s="106">
        <v>3.1046516156576467</v>
      </c>
      <c r="BM10" s="106">
        <v>1691.4142002102858</v>
      </c>
      <c r="BN10" s="106">
        <v>0</v>
      </c>
      <c r="BO10" s="106">
        <v>0</v>
      </c>
      <c r="BP10" s="106">
        <v>19.55636021313066</v>
      </c>
      <c r="BQ10" s="106">
        <v>10654.305044113582</v>
      </c>
      <c r="BR10" s="106">
        <v>37.380231408012122</v>
      </c>
      <c r="BS10" s="106">
        <v>20364.750071085004</v>
      </c>
      <c r="BT10" s="106">
        <v>0</v>
      </c>
      <c r="BU10" s="106">
        <v>0</v>
      </c>
      <c r="BV10" s="106">
        <v>16.314339324656984</v>
      </c>
      <c r="BW10" s="106">
        <v>8888.0520640731247</v>
      </c>
      <c r="BX10" s="106">
        <v>7.35101948443066</v>
      </c>
      <c r="BY10" s="106">
        <v>4004.8354151178232</v>
      </c>
      <c r="BZ10" s="106">
        <v>2.2263116521780768</v>
      </c>
      <c r="CA10" s="106">
        <v>1212.8945881066161</v>
      </c>
      <c r="CB10" s="106">
        <v>0</v>
      </c>
      <c r="CC10" s="106">
        <v>0</v>
      </c>
      <c r="CD10" s="106">
        <v>1.9280467153729153</v>
      </c>
      <c r="CE10" s="106">
        <v>1050.3998505351642</v>
      </c>
      <c r="CF10" s="106">
        <v>31.348270900305256</v>
      </c>
      <c r="CG10" s="106">
        <v>17078.537986486303</v>
      </c>
      <c r="CH10" s="106">
        <v>10.053020446904048</v>
      </c>
      <c r="CI10" s="106">
        <v>5476.8855394733246</v>
      </c>
      <c r="CJ10" s="106">
        <v>0</v>
      </c>
      <c r="CK10" s="106">
        <v>0</v>
      </c>
      <c r="CL10" s="106">
        <v>9.23041456283784</v>
      </c>
      <c r="CM10" s="106">
        <v>5028.7298538340547</v>
      </c>
      <c r="CN10" s="106">
        <v>0</v>
      </c>
      <c r="CO10" s="106">
        <v>0</v>
      </c>
      <c r="CP10" s="106">
        <v>7.2686610990001013</v>
      </c>
      <c r="CQ10" s="106">
        <v>3959.9665667352547</v>
      </c>
      <c r="CR10" s="106">
        <v>8.8419085885420561</v>
      </c>
      <c r="CS10" s="106">
        <v>4817.0717990377116</v>
      </c>
      <c r="CT10" s="106">
        <v>8.5710537748927376</v>
      </c>
      <c r="CU10" s="106">
        <v>4669.5100965615629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2.0135678285857361</v>
      </c>
      <c r="M11" s="106">
        <v>1072.8289390704801</v>
      </c>
      <c r="N11" s="106">
        <v>1.8500217660270732</v>
      </c>
      <c r="O11" s="106">
        <v>985.6915969392245</v>
      </c>
      <c r="P11" s="106">
        <v>1.2985521161356477</v>
      </c>
      <c r="Q11" s="106">
        <v>691.86856747707304</v>
      </c>
      <c r="R11" s="106">
        <v>1.2127536248782096</v>
      </c>
      <c r="S11" s="106">
        <v>646.15513133511001</v>
      </c>
      <c r="T11" s="106">
        <v>0</v>
      </c>
      <c r="U11" s="106">
        <v>0</v>
      </c>
      <c r="V11" s="106">
        <v>8.744691267848566</v>
      </c>
      <c r="W11" s="106">
        <v>4659.1715075097154</v>
      </c>
      <c r="X11" s="106">
        <v>0</v>
      </c>
      <c r="Y11" s="106">
        <v>0</v>
      </c>
      <c r="Z11" s="106">
        <v>8.8374821253519187</v>
      </c>
      <c r="AA11" s="106">
        <v>4708.6104763875019</v>
      </c>
      <c r="AB11" s="106">
        <v>17.024681395652447</v>
      </c>
      <c r="AC11" s="106">
        <v>9070.7502476036225</v>
      </c>
      <c r="AD11" s="106">
        <v>18.846260300305048</v>
      </c>
      <c r="AE11" s="106">
        <v>10041.287488002528</v>
      </c>
      <c r="AF11" s="106">
        <v>11.035310952057644</v>
      </c>
      <c r="AG11" s="106">
        <v>5879.6136752563125</v>
      </c>
      <c r="AH11" s="106">
        <v>0</v>
      </c>
      <c r="AI11" s="106">
        <v>0</v>
      </c>
      <c r="AJ11" s="106">
        <v>5.5678468778565211</v>
      </c>
      <c r="AK11" s="106">
        <v>2966.548816521954</v>
      </c>
      <c r="AL11" s="106">
        <v>0</v>
      </c>
      <c r="AM11" s="106">
        <v>0</v>
      </c>
      <c r="AN11" s="106">
        <v>5.1484215337620691</v>
      </c>
      <c r="AO11" s="106">
        <v>2743.0789931884301</v>
      </c>
      <c r="AP11" s="106">
        <v>0</v>
      </c>
      <c r="AQ11" s="106">
        <v>0</v>
      </c>
      <c r="AR11" s="106">
        <v>10.278669340569973</v>
      </c>
      <c r="AS11" s="106">
        <v>5476.4750246556814</v>
      </c>
      <c r="AT11" s="106">
        <v>0</v>
      </c>
      <c r="AU11" s="106">
        <v>0</v>
      </c>
      <c r="AV11" s="106">
        <v>5.1308074823187102</v>
      </c>
      <c r="AW11" s="106">
        <v>2733.6942265794087</v>
      </c>
      <c r="AX11" s="106">
        <v>9.641410479496642</v>
      </c>
      <c r="AY11" s="106">
        <v>5136.9435034758108</v>
      </c>
      <c r="AZ11" s="106">
        <v>8.5350276410013652</v>
      </c>
      <c r="BA11" s="106">
        <v>4547.4627271255267</v>
      </c>
      <c r="BB11" s="106">
        <v>13.460597436128408</v>
      </c>
      <c r="BC11" s="106">
        <v>7171.8063139692149</v>
      </c>
      <c r="BD11" s="106">
        <v>0</v>
      </c>
      <c r="BE11" s="106">
        <v>0</v>
      </c>
      <c r="BF11" s="106">
        <v>14.234223609781326</v>
      </c>
      <c r="BG11" s="106">
        <v>7583.9943392914902</v>
      </c>
      <c r="BH11" s="106">
        <v>4.5116359678177815</v>
      </c>
      <c r="BI11" s="106">
        <v>2403.799643653314</v>
      </c>
      <c r="BJ11" s="106">
        <v>3.4200123875669317</v>
      </c>
      <c r="BK11" s="106">
        <v>1822.182600095661</v>
      </c>
      <c r="BL11" s="106">
        <v>3.4106432971508607</v>
      </c>
      <c r="BM11" s="106">
        <v>1817.1907487219785</v>
      </c>
      <c r="BN11" s="106">
        <v>0</v>
      </c>
      <c r="BO11" s="106">
        <v>0</v>
      </c>
      <c r="BP11" s="106">
        <v>20.05145794004536</v>
      </c>
      <c r="BQ11" s="106">
        <v>10683.416790456167</v>
      </c>
      <c r="BR11" s="106">
        <v>34.714382753777237</v>
      </c>
      <c r="BS11" s="106">
        <v>18495.82313121251</v>
      </c>
      <c r="BT11" s="106">
        <v>0</v>
      </c>
      <c r="BU11" s="106">
        <v>0</v>
      </c>
      <c r="BV11" s="106">
        <v>16.489762328147922</v>
      </c>
      <c r="BW11" s="106">
        <v>8785.7453684372122</v>
      </c>
      <c r="BX11" s="106">
        <v>7.4132251617254115</v>
      </c>
      <c r="BY11" s="106">
        <v>3949.7663661672991</v>
      </c>
      <c r="BZ11" s="106">
        <v>2.3853503147666886</v>
      </c>
      <c r="CA11" s="106">
        <v>1270.9146477076915</v>
      </c>
      <c r="CB11" s="106">
        <v>0</v>
      </c>
      <c r="CC11" s="106">
        <v>0</v>
      </c>
      <c r="CD11" s="106">
        <v>2.1505136440697905</v>
      </c>
      <c r="CE11" s="106">
        <v>1145.7936695603844</v>
      </c>
      <c r="CF11" s="106">
        <v>28.002413701050127</v>
      </c>
      <c r="CG11" s="106">
        <v>14919.686019919507</v>
      </c>
      <c r="CH11" s="106">
        <v>9.1220376286150167</v>
      </c>
      <c r="CI11" s="106">
        <v>4860.2216485260806</v>
      </c>
      <c r="CJ11" s="106">
        <v>0</v>
      </c>
      <c r="CK11" s="106">
        <v>0</v>
      </c>
      <c r="CL11" s="106">
        <v>9.23041456283784</v>
      </c>
      <c r="CM11" s="106">
        <v>4917.9648790800011</v>
      </c>
      <c r="CN11" s="106">
        <v>0</v>
      </c>
      <c r="CO11" s="106">
        <v>0</v>
      </c>
      <c r="CP11" s="106">
        <v>7.0822851733847143</v>
      </c>
      <c r="CQ11" s="106">
        <v>3773.4415403793755</v>
      </c>
      <c r="CR11" s="106">
        <v>9.948100091156217</v>
      </c>
      <c r="CS11" s="106">
        <v>5300.3477285680319</v>
      </c>
      <c r="CT11" s="106">
        <v>9.8360145112485018</v>
      </c>
      <c r="CU11" s="106">
        <v>5240.6285315932009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2.0135678285857361</v>
      </c>
      <c r="M12" s="106">
        <v>1133.2359739280521</v>
      </c>
      <c r="N12" s="106">
        <v>1.8827397279578608</v>
      </c>
      <c r="O12" s="106">
        <v>1059.605918894684</v>
      </c>
      <c r="P12" s="106">
        <v>1.1671475123023936</v>
      </c>
      <c r="Q12" s="106">
        <v>656.87061992378699</v>
      </c>
      <c r="R12" s="106">
        <v>1.2970883839343024</v>
      </c>
      <c r="S12" s="106">
        <v>730.0013424782253</v>
      </c>
      <c r="T12" s="106">
        <v>0</v>
      </c>
      <c r="U12" s="106">
        <v>0</v>
      </c>
      <c r="V12" s="106">
        <v>8.744691267848566</v>
      </c>
      <c r="W12" s="106">
        <v>4921.5122455451728</v>
      </c>
      <c r="X12" s="106">
        <v>0</v>
      </c>
      <c r="Y12" s="106">
        <v>0</v>
      </c>
      <c r="Z12" s="106">
        <v>8.5101679725611081</v>
      </c>
      <c r="AA12" s="106">
        <v>4789.5225349573911</v>
      </c>
      <c r="AB12" s="106">
        <v>18.385787364966621</v>
      </c>
      <c r="AC12" s="106">
        <v>10347.521129003213</v>
      </c>
      <c r="AD12" s="106">
        <v>17.405166353855364</v>
      </c>
      <c r="AE12" s="106">
        <v>9795.6276239497984</v>
      </c>
      <c r="AF12" s="106">
        <v>11.658396973008349</v>
      </c>
      <c r="AG12" s="106">
        <v>6561.345816409098</v>
      </c>
      <c r="AH12" s="106">
        <v>0</v>
      </c>
      <c r="AI12" s="106">
        <v>0</v>
      </c>
      <c r="AJ12" s="106">
        <v>4.8718660181244555</v>
      </c>
      <c r="AK12" s="106">
        <v>2741.8861950004434</v>
      </c>
      <c r="AL12" s="106">
        <v>0</v>
      </c>
      <c r="AM12" s="106">
        <v>0</v>
      </c>
      <c r="AN12" s="106">
        <v>4.9424846724115872</v>
      </c>
      <c r="AO12" s="106">
        <v>2781.6303736332411</v>
      </c>
      <c r="AP12" s="106">
        <v>0</v>
      </c>
      <c r="AQ12" s="106">
        <v>0</v>
      </c>
      <c r="AR12" s="106">
        <v>10.278669340569973</v>
      </c>
      <c r="AS12" s="106">
        <v>5784.83510487278</v>
      </c>
      <c r="AT12" s="106">
        <v>0</v>
      </c>
      <c r="AU12" s="106">
        <v>0</v>
      </c>
      <c r="AV12" s="106">
        <v>5.4565730367516441</v>
      </c>
      <c r="AW12" s="106">
        <v>3070.9593050838253</v>
      </c>
      <c r="AX12" s="106">
        <v>11.09589457757402</v>
      </c>
      <c r="AY12" s="106">
        <v>6244.769468258658</v>
      </c>
      <c r="AZ12" s="106">
        <v>8.5478901217662528</v>
      </c>
      <c r="BA12" s="106">
        <v>4810.752560530047</v>
      </c>
      <c r="BB12" s="106">
        <v>12.32351233872479</v>
      </c>
      <c r="BC12" s="106">
        <v>6935.6727442343108</v>
      </c>
      <c r="BD12" s="106">
        <v>0</v>
      </c>
      <c r="BE12" s="106">
        <v>0</v>
      </c>
      <c r="BF12" s="106">
        <v>15.589863953570024</v>
      </c>
      <c r="BG12" s="106">
        <v>8773.9754330692085</v>
      </c>
      <c r="BH12" s="106">
        <v>4.7355431648408173</v>
      </c>
      <c r="BI12" s="106">
        <v>2665.163693172412</v>
      </c>
      <c r="BJ12" s="106">
        <v>3.1512947789984627</v>
      </c>
      <c r="BK12" s="106">
        <v>1773.5487016203347</v>
      </c>
      <c r="BL12" s="106">
        <v>3.472150874874588</v>
      </c>
      <c r="BM12" s="106">
        <v>1954.126512379418</v>
      </c>
      <c r="BN12" s="106">
        <v>0</v>
      </c>
      <c r="BO12" s="106">
        <v>0</v>
      </c>
      <c r="BP12" s="106">
        <v>17.988550744567441</v>
      </c>
      <c r="BQ12" s="106">
        <v>10123.956359042555</v>
      </c>
      <c r="BR12" s="106">
        <v>36.007572460467735</v>
      </c>
      <c r="BS12" s="106">
        <v>20265.061780751239</v>
      </c>
      <c r="BT12" s="106">
        <v>0</v>
      </c>
      <c r="BU12" s="106">
        <v>0</v>
      </c>
      <c r="BV12" s="106">
        <v>14.99866679847497</v>
      </c>
      <c r="BW12" s="106">
        <v>8441.2496741817122</v>
      </c>
      <c r="BX12" s="106">
        <v>7.2666542678295087</v>
      </c>
      <c r="BY12" s="106">
        <v>4089.6730219344472</v>
      </c>
      <c r="BZ12" s="106">
        <v>2.236242000920595</v>
      </c>
      <c r="CA12" s="106">
        <v>1258.5569981181109</v>
      </c>
      <c r="CB12" s="106">
        <v>0</v>
      </c>
      <c r="CC12" s="106">
        <v>0</v>
      </c>
      <c r="CD12" s="106">
        <v>1.9280467153729153</v>
      </c>
      <c r="CE12" s="106">
        <v>1085.1046914118767</v>
      </c>
      <c r="CF12" s="106">
        <v>31.341798951932656</v>
      </c>
      <c r="CG12" s="106">
        <v>17639.164450147699</v>
      </c>
      <c r="CH12" s="106">
        <v>8.6115307685278886</v>
      </c>
      <c r="CI12" s="106">
        <v>4846.5695165274956</v>
      </c>
      <c r="CJ12" s="106">
        <v>0</v>
      </c>
      <c r="CK12" s="106">
        <v>0</v>
      </c>
      <c r="CL12" s="106">
        <v>9.148000147098216</v>
      </c>
      <c r="CM12" s="106">
        <v>5148.4944827868758</v>
      </c>
      <c r="CN12" s="106">
        <v>0</v>
      </c>
      <c r="CO12" s="106">
        <v>0</v>
      </c>
      <c r="CP12" s="106">
        <v>7.6414129502308761</v>
      </c>
      <c r="CQ12" s="106">
        <v>4300.5872083899367</v>
      </c>
      <c r="CR12" s="106">
        <v>9.2694358504779526</v>
      </c>
      <c r="CS12" s="106">
        <v>5216.8384966489912</v>
      </c>
      <c r="CT12" s="106">
        <v>8.5681890198191066</v>
      </c>
      <c r="CU12" s="106">
        <v>4822.1767803541925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2.0135678285857361</v>
      </c>
      <c r="M13" s="106">
        <v>171.55597899550472</v>
      </c>
      <c r="N13" s="106">
        <v>2.1125112043029683</v>
      </c>
      <c r="O13" s="106">
        <v>179.98595460661292</v>
      </c>
      <c r="P13" s="106">
        <v>1.434383554882301</v>
      </c>
      <c r="Q13" s="106">
        <v>122.20947887597204</v>
      </c>
      <c r="R13" s="106">
        <v>1.341102744051232</v>
      </c>
      <c r="S13" s="106">
        <v>114.26195379316496</v>
      </c>
      <c r="T13" s="106">
        <v>0</v>
      </c>
      <c r="U13" s="106">
        <v>0</v>
      </c>
      <c r="V13" s="106">
        <v>9.7940542199903948</v>
      </c>
      <c r="W13" s="106">
        <v>834.45341954318167</v>
      </c>
      <c r="X13" s="106">
        <v>0</v>
      </c>
      <c r="Y13" s="106">
        <v>0</v>
      </c>
      <c r="Z13" s="106">
        <v>9.4921104309335433</v>
      </c>
      <c r="AA13" s="106">
        <v>808.72780871553789</v>
      </c>
      <c r="AB13" s="106">
        <v>21.054610625541418</v>
      </c>
      <c r="AC13" s="106">
        <v>1793.8528252961289</v>
      </c>
      <c r="AD13" s="106">
        <v>22.881732262972331</v>
      </c>
      <c r="AE13" s="106">
        <v>1949.5235888052428</v>
      </c>
      <c r="AF13" s="106">
        <v>14.059863121011629</v>
      </c>
      <c r="AG13" s="106">
        <v>1197.900337910191</v>
      </c>
      <c r="AH13" s="106">
        <v>0</v>
      </c>
      <c r="AI13" s="106">
        <v>0</v>
      </c>
      <c r="AJ13" s="106">
        <v>6.0318341176778967</v>
      </c>
      <c r="AK13" s="106">
        <v>513.91226682615684</v>
      </c>
      <c r="AL13" s="106">
        <v>0</v>
      </c>
      <c r="AM13" s="106">
        <v>0</v>
      </c>
      <c r="AN13" s="106">
        <v>5.354358395112552</v>
      </c>
      <c r="AO13" s="106">
        <v>456.19133526358945</v>
      </c>
      <c r="AP13" s="106">
        <v>0</v>
      </c>
      <c r="AQ13" s="106">
        <v>0</v>
      </c>
      <c r="AR13" s="106">
        <v>11.747050674937112</v>
      </c>
      <c r="AS13" s="106">
        <v>1000.848717504642</v>
      </c>
      <c r="AT13" s="106">
        <v>0</v>
      </c>
      <c r="AU13" s="106">
        <v>0</v>
      </c>
      <c r="AV13" s="106">
        <v>6.0266627570092792</v>
      </c>
      <c r="AW13" s="106">
        <v>513.47166689719063</v>
      </c>
      <c r="AX13" s="106">
        <v>11.160451590388922</v>
      </c>
      <c r="AY13" s="106">
        <v>950.87047550113618</v>
      </c>
      <c r="AZ13" s="106">
        <v>8.5607526025311405</v>
      </c>
      <c r="BA13" s="106">
        <v>729.37612173565321</v>
      </c>
      <c r="BB13" s="106">
        <v>14.579810679473095</v>
      </c>
      <c r="BC13" s="106">
        <v>1242.1998698911077</v>
      </c>
      <c r="BD13" s="106">
        <v>0</v>
      </c>
      <c r="BE13" s="106">
        <v>0</v>
      </c>
      <c r="BF13" s="106">
        <v>15.589863953570024</v>
      </c>
      <c r="BG13" s="106">
        <v>1328.2564088441661</v>
      </c>
      <c r="BH13" s="106">
        <v>5.4142855645233734</v>
      </c>
      <c r="BI13" s="106">
        <v>461.2971300973914</v>
      </c>
      <c r="BJ13" s="106">
        <v>3.516931349883178</v>
      </c>
      <c r="BK13" s="106">
        <v>299.64255101004676</v>
      </c>
      <c r="BL13" s="106">
        <v>3.5892540003390208</v>
      </c>
      <c r="BM13" s="106">
        <v>305.80444082888459</v>
      </c>
      <c r="BN13" s="106">
        <v>0</v>
      </c>
      <c r="BO13" s="106">
        <v>0</v>
      </c>
      <c r="BP13" s="106">
        <v>24.342304906639427</v>
      </c>
      <c r="BQ13" s="106">
        <v>2073.964378045679</v>
      </c>
      <c r="BR13" s="106">
        <v>40.258448927921627</v>
      </c>
      <c r="BS13" s="106">
        <v>3430.0198486589229</v>
      </c>
      <c r="BT13" s="106">
        <v>0</v>
      </c>
      <c r="BU13" s="106">
        <v>0</v>
      </c>
      <c r="BV13" s="106">
        <v>18.419415366548208</v>
      </c>
      <c r="BW13" s="106">
        <v>1569.3341892299075</v>
      </c>
      <c r="BX13" s="106">
        <v>8.0016683057361533</v>
      </c>
      <c r="BY13" s="106">
        <v>681.74213964872024</v>
      </c>
      <c r="BZ13" s="106">
        <v>2.5816277851397422</v>
      </c>
      <c r="CA13" s="106">
        <v>219.95468729390603</v>
      </c>
      <c r="CB13" s="106">
        <v>0</v>
      </c>
      <c r="CC13" s="106">
        <v>0</v>
      </c>
      <c r="CD13" s="106">
        <v>2.1505136440697905</v>
      </c>
      <c r="CE13" s="106">
        <v>183.22376247474617</v>
      </c>
      <c r="CF13" s="106">
        <v>37.764669504246072</v>
      </c>
      <c r="CG13" s="106">
        <v>3217.5498417617655</v>
      </c>
      <c r="CH13" s="106">
        <v>10.669377112873839</v>
      </c>
      <c r="CI13" s="106">
        <v>909.03093001685113</v>
      </c>
      <c r="CJ13" s="106">
        <v>0</v>
      </c>
      <c r="CK13" s="106">
        <v>0</v>
      </c>
      <c r="CL13" s="106">
        <v>11.373189372068053</v>
      </c>
      <c r="CM13" s="106">
        <v>968.99573450019818</v>
      </c>
      <c r="CN13" s="106">
        <v>0</v>
      </c>
      <c r="CO13" s="106">
        <v>0</v>
      </c>
      <c r="CP13" s="106">
        <v>7.6414129502308761</v>
      </c>
      <c r="CQ13" s="106">
        <v>651.04838335967065</v>
      </c>
      <c r="CR13" s="106">
        <v>10.504270798552332</v>
      </c>
      <c r="CS13" s="106">
        <v>894.9638720366587</v>
      </c>
      <c r="CT13" s="106">
        <v>10.84917674828046</v>
      </c>
      <c r="CU13" s="106">
        <v>924.34985895349519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2.2652638071589535</v>
      </c>
      <c r="M14" s="106">
        <v>1106.3548434164329</v>
      </c>
      <c r="N14" s="106">
        <v>2.0759921926399612</v>
      </c>
      <c r="O14" s="106">
        <v>1013.9145868853569</v>
      </c>
      <c r="P14" s="106">
        <v>1.1959219392394858</v>
      </c>
      <c r="Q14" s="106">
        <v>584.0882751245648</v>
      </c>
      <c r="R14" s="106">
        <v>1.2992891019401487</v>
      </c>
      <c r="S14" s="106">
        <v>634.57279738756858</v>
      </c>
      <c r="T14" s="106">
        <v>0</v>
      </c>
      <c r="U14" s="106">
        <v>0</v>
      </c>
      <c r="V14" s="106">
        <v>8.0451159664206813</v>
      </c>
      <c r="W14" s="106">
        <v>3929.2346379998608</v>
      </c>
      <c r="X14" s="106">
        <v>0</v>
      </c>
      <c r="Y14" s="106">
        <v>0</v>
      </c>
      <c r="Z14" s="106">
        <v>8.5101679725611081</v>
      </c>
      <c r="AA14" s="106">
        <v>4156.3660377988454</v>
      </c>
      <c r="AB14" s="106">
        <v>17.568093688980674</v>
      </c>
      <c r="AC14" s="106">
        <v>8580.2569576981605</v>
      </c>
      <c r="AD14" s="106">
        <v>18.303475173865586</v>
      </c>
      <c r="AE14" s="106">
        <v>8939.4172749159516</v>
      </c>
      <c r="AF14" s="106">
        <v>12.950204469837887</v>
      </c>
      <c r="AG14" s="106">
        <v>6324.8798630688234</v>
      </c>
      <c r="AH14" s="106">
        <v>0</v>
      </c>
      <c r="AI14" s="106">
        <v>0</v>
      </c>
      <c r="AJ14" s="106">
        <v>5.5678468778565211</v>
      </c>
      <c r="AK14" s="106">
        <v>2719.3364151451246</v>
      </c>
      <c r="AL14" s="106">
        <v>0</v>
      </c>
      <c r="AM14" s="106">
        <v>0</v>
      </c>
      <c r="AN14" s="106">
        <v>4.9424846724115872</v>
      </c>
      <c r="AO14" s="106">
        <v>2413.9095140058189</v>
      </c>
      <c r="AP14" s="106">
        <v>0</v>
      </c>
      <c r="AQ14" s="106">
        <v>0</v>
      </c>
      <c r="AR14" s="106">
        <v>10.068900578517525</v>
      </c>
      <c r="AS14" s="106">
        <v>4917.6510425479592</v>
      </c>
      <c r="AT14" s="106">
        <v>0</v>
      </c>
      <c r="AU14" s="106">
        <v>0</v>
      </c>
      <c r="AV14" s="106">
        <v>5.619455813968111</v>
      </c>
      <c r="AW14" s="106">
        <v>2744.5422195420251</v>
      </c>
      <c r="AX14" s="106">
        <v>11.153929559595245</v>
      </c>
      <c r="AY14" s="106">
        <v>5447.5791969063175</v>
      </c>
      <c r="AZ14" s="106">
        <v>7.8509073772779372</v>
      </c>
      <c r="BA14" s="106">
        <v>3834.3831630625446</v>
      </c>
      <c r="BB14" s="106">
        <v>12.32351233872479</v>
      </c>
      <c r="BC14" s="106">
        <v>6018.8034262331867</v>
      </c>
      <c r="BD14" s="106">
        <v>0</v>
      </c>
      <c r="BE14" s="106">
        <v>0</v>
      </c>
      <c r="BF14" s="106">
        <v>15.589863953570024</v>
      </c>
      <c r="BG14" s="106">
        <v>7614.0895549235993</v>
      </c>
      <c r="BH14" s="106">
        <v>4.593401162314402</v>
      </c>
      <c r="BI14" s="106">
        <v>2243.4171276743537</v>
      </c>
      <c r="BJ14" s="106">
        <v>3.640718889589158</v>
      </c>
      <c r="BK14" s="106">
        <v>1778.1271056753446</v>
      </c>
      <c r="BL14" s="106">
        <v>3.3645344411788733</v>
      </c>
      <c r="BM14" s="106">
        <v>1643.2386210717616</v>
      </c>
      <c r="BN14" s="106">
        <v>0</v>
      </c>
      <c r="BO14" s="106">
        <v>0</v>
      </c>
      <c r="BP14" s="106">
        <v>18.731197334939495</v>
      </c>
      <c r="BQ14" s="106">
        <v>9148.3167783844492</v>
      </c>
      <c r="BR14" s="106">
        <v>38.3979738867842</v>
      </c>
      <c r="BS14" s="106">
        <v>18753.570446305403</v>
      </c>
      <c r="BT14" s="106">
        <v>0</v>
      </c>
      <c r="BU14" s="106">
        <v>0</v>
      </c>
      <c r="BV14" s="106">
        <v>16.226627822911517</v>
      </c>
      <c r="BW14" s="106">
        <v>7925.0850287099847</v>
      </c>
      <c r="BX14" s="106">
        <v>6.4983460261414319</v>
      </c>
      <c r="BY14" s="106">
        <v>3173.7921991674752</v>
      </c>
      <c r="BZ14" s="106">
        <v>2.2983832219154943</v>
      </c>
      <c r="CA14" s="106">
        <v>1122.5303655835273</v>
      </c>
      <c r="CB14" s="106">
        <v>0</v>
      </c>
      <c r="CC14" s="106">
        <v>0</v>
      </c>
      <c r="CD14" s="106">
        <v>2.0763580011708318</v>
      </c>
      <c r="CE14" s="106">
        <v>1014.0932477718342</v>
      </c>
      <c r="CF14" s="106">
        <v>32.328056052229776</v>
      </c>
      <c r="CG14" s="106">
        <v>15789.022575909023</v>
      </c>
      <c r="CH14" s="106">
        <v>9.7046516497974356</v>
      </c>
      <c r="CI14" s="106">
        <v>4739.7518657610672</v>
      </c>
      <c r="CJ14" s="106">
        <v>0</v>
      </c>
      <c r="CK14" s="106">
        <v>0</v>
      </c>
      <c r="CL14" s="106">
        <v>10.961117293369936</v>
      </c>
      <c r="CM14" s="106">
        <v>5353.4096860818763</v>
      </c>
      <c r="CN14" s="106">
        <v>0</v>
      </c>
      <c r="CO14" s="106">
        <v>0</v>
      </c>
      <c r="CP14" s="106">
        <v>7.6414129502308761</v>
      </c>
      <c r="CQ14" s="106">
        <v>3732.0660848927596</v>
      </c>
      <c r="CR14" s="106">
        <v>8.9934337016155173</v>
      </c>
      <c r="CS14" s="106">
        <v>4392.3930198690186</v>
      </c>
      <c r="CT14" s="106">
        <v>10.324786141734483</v>
      </c>
      <c r="CU14" s="106">
        <v>5042.6255516231213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2.0135678285857361</v>
      </c>
      <c r="M15" s="106">
        <v>1536.7549667766336</v>
      </c>
      <c r="N15" s="106">
        <v>1.8500217660270732</v>
      </c>
      <c r="O15" s="106">
        <v>1411.9366118318621</v>
      </c>
      <c r="P15" s="106">
        <v>1.1815347257709397</v>
      </c>
      <c r="Q15" s="106">
        <v>901.74730270838108</v>
      </c>
      <c r="R15" s="106">
        <v>1.3113930509723044</v>
      </c>
      <c r="S15" s="106">
        <v>1000.8551765020626</v>
      </c>
      <c r="T15" s="106">
        <v>0</v>
      </c>
      <c r="U15" s="106">
        <v>0</v>
      </c>
      <c r="V15" s="106">
        <v>8.0451159664206813</v>
      </c>
      <c r="W15" s="106">
        <v>6140.0325055722633</v>
      </c>
      <c r="X15" s="106">
        <v>0</v>
      </c>
      <c r="Y15" s="106">
        <v>0</v>
      </c>
      <c r="Z15" s="106">
        <v>7.8555396669794844</v>
      </c>
      <c r="AA15" s="106">
        <v>5995.3478738387421</v>
      </c>
      <c r="AB15" s="106">
        <v>15.741687936162037</v>
      </c>
      <c r="AC15" s="106">
        <v>12014.056232878866</v>
      </c>
      <c r="AD15" s="106">
        <v>19.432617096872022</v>
      </c>
      <c r="AE15" s="106">
        <v>14830.973368332727</v>
      </c>
      <c r="AF15" s="106">
        <v>11.63665230751049</v>
      </c>
      <c r="AG15" s="106">
        <v>8881.0930410920046</v>
      </c>
      <c r="AH15" s="106">
        <v>0</v>
      </c>
      <c r="AI15" s="106">
        <v>0</v>
      </c>
      <c r="AJ15" s="106">
        <v>4.8718660181244555</v>
      </c>
      <c r="AK15" s="106">
        <v>3718.2081450325841</v>
      </c>
      <c r="AL15" s="106">
        <v>0</v>
      </c>
      <c r="AM15" s="106">
        <v>0</v>
      </c>
      <c r="AN15" s="106">
        <v>4.7365478110611043</v>
      </c>
      <c r="AO15" s="106">
        <v>3614.9332894018344</v>
      </c>
      <c r="AP15" s="106">
        <v>0</v>
      </c>
      <c r="AQ15" s="106">
        <v>0</v>
      </c>
      <c r="AR15" s="106">
        <v>11.327513150832214</v>
      </c>
      <c r="AS15" s="106">
        <v>8645.1580367151455</v>
      </c>
      <c r="AT15" s="106">
        <v>0</v>
      </c>
      <c r="AU15" s="106">
        <v>0</v>
      </c>
      <c r="AV15" s="106">
        <v>5.7008972025763445</v>
      </c>
      <c r="AW15" s="106">
        <v>4350.9247450062658</v>
      </c>
      <c r="AX15" s="106">
        <v>10.41691619490463</v>
      </c>
      <c r="AY15" s="106">
        <v>7950.1904399512132</v>
      </c>
      <c r="AZ15" s="106">
        <v>7.0767497482002977</v>
      </c>
      <c r="BA15" s="106">
        <v>5400.9754078264668</v>
      </c>
      <c r="BB15" s="106">
        <v>12.674740042656543</v>
      </c>
      <c r="BC15" s="106">
        <v>9673.3616005554723</v>
      </c>
      <c r="BD15" s="106">
        <v>0</v>
      </c>
      <c r="BE15" s="106">
        <v>0</v>
      </c>
      <c r="BF15" s="106">
        <v>15.589863953570024</v>
      </c>
      <c r="BG15" s="106">
        <v>11898.184169364642</v>
      </c>
      <c r="BH15" s="106">
        <v>4.2299163605714138</v>
      </c>
      <c r="BI15" s="106">
        <v>3228.272166388103</v>
      </c>
      <c r="BJ15" s="106">
        <v>3.2627594600283825</v>
      </c>
      <c r="BK15" s="106">
        <v>2490.1380198936613</v>
      </c>
      <c r="BL15" s="106">
        <v>3.4316890316481254</v>
      </c>
      <c r="BM15" s="106">
        <v>2619.0650689538493</v>
      </c>
      <c r="BN15" s="106">
        <v>0</v>
      </c>
      <c r="BO15" s="106">
        <v>0</v>
      </c>
      <c r="BP15" s="106">
        <v>20.29900680350271</v>
      </c>
      <c r="BQ15" s="106">
        <v>15492.201992433267</v>
      </c>
      <c r="BR15" s="106">
        <v>32.717375928614182</v>
      </c>
      <c r="BS15" s="106">
        <v>24969.901308718341</v>
      </c>
      <c r="BT15" s="106">
        <v>0</v>
      </c>
      <c r="BU15" s="106">
        <v>0</v>
      </c>
      <c r="BV15" s="106">
        <v>13.244436763565616</v>
      </c>
      <c r="BW15" s="106">
        <v>10108.154137953277</v>
      </c>
      <c r="BX15" s="106">
        <v>6.9835823439812277</v>
      </c>
      <c r="BY15" s="106">
        <v>5329.8700449264725</v>
      </c>
      <c r="BZ15" s="106">
        <v>2.1443097336981412</v>
      </c>
      <c r="CA15" s="106">
        <v>1636.5371887584213</v>
      </c>
      <c r="CB15" s="106">
        <v>0</v>
      </c>
      <c r="CC15" s="106">
        <v>0</v>
      </c>
      <c r="CD15" s="106">
        <v>1.9280467153729153</v>
      </c>
      <c r="CE15" s="106">
        <v>1471.4852531726087</v>
      </c>
      <c r="CF15" s="106">
        <v>27.448546137724954</v>
      </c>
      <c r="CG15" s="106">
        <v>20948.730412311681</v>
      </c>
      <c r="CH15" s="106">
        <v>9.2451359347662994</v>
      </c>
      <c r="CI15" s="106">
        <v>7055.8877454136391</v>
      </c>
      <c r="CJ15" s="106">
        <v>0</v>
      </c>
      <c r="CK15" s="106">
        <v>0</v>
      </c>
      <c r="CL15" s="106">
        <v>10.136973135973699</v>
      </c>
      <c r="CM15" s="106">
        <v>7736.5378973751267</v>
      </c>
      <c r="CN15" s="106">
        <v>0</v>
      </c>
      <c r="CO15" s="106">
        <v>0</v>
      </c>
      <c r="CP15" s="106">
        <v>6.3367814709231656</v>
      </c>
      <c r="CQ15" s="106">
        <v>4836.23161860856</v>
      </c>
      <c r="CR15" s="106">
        <v>8.0019979636930785</v>
      </c>
      <c r="CS15" s="106">
        <v>6107.1248458905566</v>
      </c>
      <c r="CT15" s="106">
        <v>9.2450532463844457</v>
      </c>
      <c r="CU15" s="106">
        <v>7055.8246376406087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2.0135678285857361</v>
      </c>
      <c r="M16" s="106">
        <v>686.22391598201887</v>
      </c>
      <c r="N16" s="106">
        <v>1.9009992337893642</v>
      </c>
      <c r="O16" s="106">
        <v>647.86053887541539</v>
      </c>
      <c r="P16" s="106">
        <v>1.2963386986789482</v>
      </c>
      <c r="Q16" s="106">
        <v>441.79222850978556</v>
      </c>
      <c r="R16" s="106">
        <v>1.3499056160746179</v>
      </c>
      <c r="S16" s="106">
        <v>460.04783395822977</v>
      </c>
      <c r="T16" s="106">
        <v>0</v>
      </c>
      <c r="U16" s="106">
        <v>0</v>
      </c>
      <c r="V16" s="106">
        <v>9.0944789185625101</v>
      </c>
      <c r="W16" s="106">
        <v>3099.3984154461036</v>
      </c>
      <c r="X16" s="106">
        <v>0</v>
      </c>
      <c r="Y16" s="106">
        <v>0</v>
      </c>
      <c r="Z16" s="106">
        <v>9.164796278142731</v>
      </c>
      <c r="AA16" s="106">
        <v>3123.362571591043</v>
      </c>
      <c r="AB16" s="106">
        <v>18.321281002547501</v>
      </c>
      <c r="AC16" s="106">
        <v>6243.8925656681886</v>
      </c>
      <c r="AD16" s="106">
        <v>20.346870151057487</v>
      </c>
      <c r="AE16" s="106">
        <v>6934.2133474803923</v>
      </c>
      <c r="AF16" s="106">
        <v>12.58265801112484</v>
      </c>
      <c r="AG16" s="106">
        <v>4288.1698501913461</v>
      </c>
      <c r="AH16" s="106">
        <v>0</v>
      </c>
      <c r="AI16" s="106">
        <v>0</v>
      </c>
      <c r="AJ16" s="106">
        <v>5.7998404977672093</v>
      </c>
      <c r="AK16" s="106">
        <v>1976.585641639065</v>
      </c>
      <c r="AL16" s="106">
        <v>0</v>
      </c>
      <c r="AM16" s="106">
        <v>0</v>
      </c>
      <c r="AN16" s="106">
        <v>5.1484215337620691</v>
      </c>
      <c r="AO16" s="106">
        <v>1754.5820587061132</v>
      </c>
      <c r="AP16" s="106">
        <v>0</v>
      </c>
      <c r="AQ16" s="106">
        <v>0</v>
      </c>
      <c r="AR16" s="106">
        <v>11.327513150832214</v>
      </c>
      <c r="AS16" s="106">
        <v>3860.4164818036188</v>
      </c>
      <c r="AT16" s="106">
        <v>0</v>
      </c>
      <c r="AU16" s="106">
        <v>0</v>
      </c>
      <c r="AV16" s="106">
        <v>5.2122488709269428</v>
      </c>
      <c r="AW16" s="106">
        <v>1776.3344152119021</v>
      </c>
      <c r="AX16" s="106">
        <v>11.026617730713623</v>
      </c>
      <c r="AY16" s="106">
        <v>3757.871322627203</v>
      </c>
      <c r="AZ16" s="106">
        <v>8.5800463236784701</v>
      </c>
      <c r="BA16" s="106">
        <v>2924.0797871096229</v>
      </c>
      <c r="BB16" s="106">
        <v>14.204753836796096</v>
      </c>
      <c r="BC16" s="106">
        <v>4840.9801075801097</v>
      </c>
      <c r="BD16" s="106">
        <v>0</v>
      </c>
      <c r="BE16" s="106">
        <v>0</v>
      </c>
      <c r="BF16" s="106">
        <v>16.267684125464374</v>
      </c>
      <c r="BG16" s="106">
        <v>5544.0267499582587</v>
      </c>
      <c r="BH16" s="106">
        <v>5.0568031676413536</v>
      </c>
      <c r="BI16" s="106">
        <v>1723.3585195321734</v>
      </c>
      <c r="BJ16" s="106">
        <v>3.366351853087227</v>
      </c>
      <c r="BK16" s="106">
        <v>1147.252711532127</v>
      </c>
      <c r="BL16" s="106">
        <v>3.7571640488400568</v>
      </c>
      <c r="BM16" s="106">
        <v>1280.4415078446914</v>
      </c>
      <c r="BN16" s="106">
        <v>0</v>
      </c>
      <c r="BO16" s="106">
        <v>0</v>
      </c>
      <c r="BP16" s="106">
        <v>19.80390907658801</v>
      </c>
      <c r="BQ16" s="106">
        <v>6749.1722133011936</v>
      </c>
      <c r="BR16" s="106">
        <v>34.596155584763956</v>
      </c>
      <c r="BS16" s="106">
        <v>11790.369823287556</v>
      </c>
      <c r="BT16" s="106">
        <v>0</v>
      </c>
      <c r="BU16" s="106">
        <v>0</v>
      </c>
      <c r="BV16" s="106">
        <v>15.612647310693243</v>
      </c>
      <c r="BW16" s="106">
        <v>5320.7902034842573</v>
      </c>
      <c r="BX16" s="106">
        <v>7.0755181492846759</v>
      </c>
      <c r="BY16" s="106">
        <v>2411.3365852762176</v>
      </c>
      <c r="BZ16" s="106">
        <v>2.4623870588753647</v>
      </c>
      <c r="CA16" s="106">
        <v>839.18150966472433</v>
      </c>
      <c r="CB16" s="106">
        <v>0</v>
      </c>
      <c r="CC16" s="106">
        <v>0</v>
      </c>
      <c r="CD16" s="106">
        <v>1.8538910724739572</v>
      </c>
      <c r="CE16" s="106">
        <v>631.80607749912463</v>
      </c>
      <c r="CF16" s="106">
        <v>33.727286844381048</v>
      </c>
      <c r="CG16" s="106">
        <v>11494.259356565062</v>
      </c>
      <c r="CH16" s="106">
        <v>10.101557313738045</v>
      </c>
      <c r="CI16" s="106">
        <v>3442.6107325219259</v>
      </c>
      <c r="CJ16" s="106">
        <v>0</v>
      </c>
      <c r="CK16" s="106">
        <v>0</v>
      </c>
      <c r="CL16" s="106">
        <v>10.961117293369936</v>
      </c>
      <c r="CM16" s="106">
        <v>3735.5487735804745</v>
      </c>
      <c r="CN16" s="106">
        <v>0</v>
      </c>
      <c r="CO16" s="106">
        <v>0</v>
      </c>
      <c r="CP16" s="106">
        <v>6.5231573965385525</v>
      </c>
      <c r="CQ16" s="106">
        <v>2223.0920407403387</v>
      </c>
      <c r="CR16" s="106">
        <v>10.356647628149199</v>
      </c>
      <c r="CS16" s="106">
        <v>3529.5455116732473</v>
      </c>
      <c r="CT16" s="106">
        <v>9.8079275840640552</v>
      </c>
      <c r="CU16" s="106">
        <v>3342.5417206490301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2.3911117964455619</v>
      </c>
      <c r="M17" s="106">
        <v>1010.0056228186053</v>
      </c>
      <c r="N17" s="106">
        <v>1.8448047643609293</v>
      </c>
      <c r="O17" s="106">
        <v>779.24553246605649</v>
      </c>
      <c r="P17" s="106">
        <v>1.2632843042486375</v>
      </c>
      <c r="Q17" s="106">
        <v>533.61129011462447</v>
      </c>
      <c r="R17" s="106">
        <v>1.2160547018869792</v>
      </c>
      <c r="S17" s="106">
        <v>513.66150607705993</v>
      </c>
      <c r="T17" s="106">
        <v>0</v>
      </c>
      <c r="U17" s="106">
        <v>0</v>
      </c>
      <c r="V17" s="106">
        <v>9.0944789185625101</v>
      </c>
      <c r="W17" s="106">
        <v>3841.5078952008039</v>
      </c>
      <c r="X17" s="106">
        <v>0</v>
      </c>
      <c r="Y17" s="106">
        <v>0</v>
      </c>
      <c r="Z17" s="106">
        <v>7.8555396669794844</v>
      </c>
      <c r="AA17" s="106">
        <v>3318.1799553321339</v>
      </c>
      <c r="AB17" s="106">
        <v>19.025734442980884</v>
      </c>
      <c r="AC17" s="106">
        <v>8036.4702287151249</v>
      </c>
      <c r="AD17" s="106">
        <v>21.99981926813458</v>
      </c>
      <c r="AE17" s="106">
        <v>9292.7236588600463</v>
      </c>
      <c r="AF17" s="106">
        <v>11.744737101159517</v>
      </c>
      <c r="AG17" s="106">
        <v>4960.9769515297794</v>
      </c>
      <c r="AH17" s="106">
        <v>0</v>
      </c>
      <c r="AI17" s="106">
        <v>0</v>
      </c>
      <c r="AJ17" s="106">
        <v>5.1038596380351438</v>
      </c>
      <c r="AK17" s="106">
        <v>2155.8703111060445</v>
      </c>
      <c r="AL17" s="106">
        <v>0</v>
      </c>
      <c r="AM17" s="106">
        <v>0</v>
      </c>
      <c r="AN17" s="106">
        <v>4.9424846724115872</v>
      </c>
      <c r="AO17" s="106">
        <v>2087.7055256266544</v>
      </c>
      <c r="AP17" s="106">
        <v>0</v>
      </c>
      <c r="AQ17" s="106">
        <v>0</v>
      </c>
      <c r="AR17" s="106">
        <v>10.907975626727318</v>
      </c>
      <c r="AS17" s="106">
        <v>4607.5289047296183</v>
      </c>
      <c r="AT17" s="106">
        <v>0</v>
      </c>
      <c r="AU17" s="106">
        <v>0</v>
      </c>
      <c r="AV17" s="106">
        <v>5.1308074823187102</v>
      </c>
      <c r="AW17" s="106">
        <v>2167.2530805314232</v>
      </c>
      <c r="AX17" s="106">
        <v>11.125493249936378</v>
      </c>
      <c r="AY17" s="106">
        <v>4699.4083487731259</v>
      </c>
      <c r="AZ17" s="106">
        <v>7.8444761368954943</v>
      </c>
      <c r="BA17" s="106">
        <v>3313.5067202246564</v>
      </c>
      <c r="BB17" s="106">
        <v>13.079583308765098</v>
      </c>
      <c r="BC17" s="106">
        <v>5524.8159896223769</v>
      </c>
      <c r="BD17" s="106">
        <v>0</v>
      </c>
      <c r="BE17" s="106">
        <v>0</v>
      </c>
      <c r="BF17" s="106">
        <v>16.267684125464374</v>
      </c>
      <c r="BG17" s="106">
        <v>6871.4697745961512</v>
      </c>
      <c r="BH17" s="106">
        <v>4.8019892905643875</v>
      </c>
      <c r="BI17" s="106">
        <v>2028.3602763343972</v>
      </c>
      <c r="BJ17" s="106">
        <v>3.6626110344295872</v>
      </c>
      <c r="BK17" s="106">
        <v>1547.0869009430576</v>
      </c>
      <c r="BL17" s="106">
        <v>3.1065142693565782</v>
      </c>
      <c r="BM17" s="106">
        <v>1312.1916273762185</v>
      </c>
      <c r="BN17" s="106">
        <v>0</v>
      </c>
      <c r="BO17" s="106">
        <v>0</v>
      </c>
      <c r="BP17" s="106">
        <v>18.813713622758609</v>
      </c>
      <c r="BQ17" s="106">
        <v>7946.9126342532363</v>
      </c>
      <c r="BR17" s="106">
        <v>35.160822297611233</v>
      </c>
      <c r="BS17" s="106">
        <v>14851.931338510984</v>
      </c>
      <c r="BT17" s="106">
        <v>0</v>
      </c>
      <c r="BU17" s="106">
        <v>0</v>
      </c>
      <c r="BV17" s="106">
        <v>15.700358812438711</v>
      </c>
      <c r="BW17" s="106">
        <v>6631.8315623741109</v>
      </c>
      <c r="BX17" s="106">
        <v>7.4628585572903905</v>
      </c>
      <c r="BY17" s="106">
        <v>3152.3114545994608</v>
      </c>
      <c r="BZ17" s="106">
        <v>2.141827146512512</v>
      </c>
      <c r="CA17" s="106">
        <v>904.70778668688502</v>
      </c>
      <c r="CB17" s="106">
        <v>0</v>
      </c>
      <c r="CC17" s="106">
        <v>0</v>
      </c>
      <c r="CD17" s="106">
        <v>2.0022023582718735</v>
      </c>
      <c r="CE17" s="106">
        <v>845.73027613403929</v>
      </c>
      <c r="CF17" s="106">
        <v>33.732140805660499</v>
      </c>
      <c r="CG17" s="106">
        <v>14248.456276310993</v>
      </c>
      <c r="CH17" s="106">
        <v>9.1242620110847561</v>
      </c>
      <c r="CI17" s="106">
        <v>3854.0882734822007</v>
      </c>
      <c r="CJ17" s="106">
        <v>0</v>
      </c>
      <c r="CK17" s="106">
        <v>0</v>
      </c>
      <c r="CL17" s="106">
        <v>11.290774956328431</v>
      </c>
      <c r="CM17" s="106">
        <v>4769.2233415531291</v>
      </c>
      <c r="CN17" s="106">
        <v>0</v>
      </c>
      <c r="CO17" s="106">
        <v>0</v>
      </c>
      <c r="CP17" s="106">
        <v>6.7095333221539404</v>
      </c>
      <c r="CQ17" s="106">
        <v>2834.1068752778242</v>
      </c>
      <c r="CR17" s="106">
        <v>8.842768106295015</v>
      </c>
      <c r="CS17" s="106">
        <v>3735.1852480990142</v>
      </c>
      <c r="CT17" s="106">
        <v>10.088529199340716</v>
      </c>
      <c r="CU17" s="106">
        <v>4261.3947338015178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2.139415817872345</v>
      </c>
      <c r="M18" s="106">
        <v>1396.6106459070668</v>
      </c>
      <c r="N18" s="106">
        <v>1.9963212157138788</v>
      </c>
      <c r="O18" s="106">
        <v>1303.1984896180199</v>
      </c>
      <c r="P18" s="106">
        <v>1.1937085217827863</v>
      </c>
      <c r="Q18" s="106">
        <v>779.25292301980289</v>
      </c>
      <c r="R18" s="106">
        <v>1.1863450088080516</v>
      </c>
      <c r="S18" s="106">
        <v>774.44602174989609</v>
      </c>
      <c r="T18" s="106">
        <v>0</v>
      </c>
      <c r="U18" s="106">
        <v>0</v>
      </c>
      <c r="V18" s="106">
        <v>7.6953283157067389</v>
      </c>
      <c r="W18" s="106">
        <v>5023.5103244933589</v>
      </c>
      <c r="X18" s="106">
        <v>0</v>
      </c>
      <c r="Y18" s="106">
        <v>0</v>
      </c>
      <c r="Z18" s="106">
        <v>8.1828538197702958</v>
      </c>
      <c r="AA18" s="106">
        <v>5341.7669735460486</v>
      </c>
      <c r="AB18" s="106">
        <v>15.452970918419984</v>
      </c>
      <c r="AC18" s="106">
        <v>10087.699415544565</v>
      </c>
      <c r="AD18" s="106">
        <v>18.718536011536941</v>
      </c>
      <c r="AE18" s="106">
        <v>12219.460308331314</v>
      </c>
      <c r="AF18" s="106">
        <v>11.72136805196093</v>
      </c>
      <c r="AG18" s="106">
        <v>7651.7090643200945</v>
      </c>
      <c r="AH18" s="106">
        <v>0</v>
      </c>
      <c r="AI18" s="106">
        <v>0</v>
      </c>
      <c r="AJ18" s="106">
        <v>5.335853257945832</v>
      </c>
      <c r="AK18" s="106">
        <v>3483.2450067870391</v>
      </c>
      <c r="AL18" s="106">
        <v>0</v>
      </c>
      <c r="AM18" s="106">
        <v>0</v>
      </c>
      <c r="AN18" s="106">
        <v>5.1484215337620691</v>
      </c>
      <c r="AO18" s="106">
        <v>3360.8895772398787</v>
      </c>
      <c r="AP18" s="106">
        <v>0</v>
      </c>
      <c r="AQ18" s="106">
        <v>0</v>
      </c>
      <c r="AR18" s="106">
        <v>10.907975626727318</v>
      </c>
      <c r="AS18" s="106">
        <v>7120.7264891275927</v>
      </c>
      <c r="AT18" s="106">
        <v>0</v>
      </c>
      <c r="AU18" s="106">
        <v>0</v>
      </c>
      <c r="AV18" s="106">
        <v>5.8637799797928114</v>
      </c>
      <c r="AW18" s="106">
        <v>3827.8755708087469</v>
      </c>
      <c r="AX18" s="106">
        <v>10.4263793240728</v>
      </c>
      <c r="AY18" s="106">
        <v>6806.3404227547235</v>
      </c>
      <c r="AZ18" s="106">
        <v>8.1608113072274318</v>
      </c>
      <c r="BA18" s="106">
        <v>5327.3776213580668</v>
      </c>
      <c r="BB18" s="106">
        <v>13.109369732196656</v>
      </c>
      <c r="BC18" s="106">
        <v>8557.7965611779764</v>
      </c>
      <c r="BD18" s="106">
        <v>0</v>
      </c>
      <c r="BE18" s="106">
        <v>0</v>
      </c>
      <c r="BF18" s="106">
        <v>14.912043781675676</v>
      </c>
      <c r="BG18" s="106">
        <v>9734.5821806778804</v>
      </c>
      <c r="BH18" s="106">
        <v>4.9810620881655634</v>
      </c>
      <c r="BI18" s="106">
        <v>3251.6373311544794</v>
      </c>
      <c r="BJ18" s="106">
        <v>3.2553183518255056</v>
      </c>
      <c r="BK18" s="106">
        <v>2125.0718200716897</v>
      </c>
      <c r="BL18" s="106">
        <v>3.1210827017329437</v>
      </c>
      <c r="BM18" s="106">
        <v>2037.4427876912655</v>
      </c>
      <c r="BN18" s="106">
        <v>0</v>
      </c>
      <c r="BO18" s="106">
        <v>0</v>
      </c>
      <c r="BP18" s="106">
        <v>18.896229910577727</v>
      </c>
      <c r="BQ18" s="106">
        <v>12335.458885625139</v>
      </c>
      <c r="BR18" s="106">
        <v>35.579952289156836</v>
      </c>
      <c r="BS18" s="106">
        <v>23226.592854361581</v>
      </c>
      <c r="BT18" s="106">
        <v>0</v>
      </c>
      <c r="BU18" s="106">
        <v>0</v>
      </c>
      <c r="BV18" s="106">
        <v>15.963493317675113</v>
      </c>
      <c r="BW18" s="106">
        <v>10420.968437778312</v>
      </c>
      <c r="BX18" s="106">
        <v>7.0473953629026198</v>
      </c>
      <c r="BY18" s="106">
        <v>4600.5396929028302</v>
      </c>
      <c r="BZ18" s="106">
        <v>2.1467923208837711</v>
      </c>
      <c r="CA18" s="106">
        <v>1401.4260270729258</v>
      </c>
      <c r="CB18" s="106">
        <v>0</v>
      </c>
      <c r="CC18" s="106">
        <v>0</v>
      </c>
      <c r="CD18" s="106">
        <v>1.8538910724739572</v>
      </c>
      <c r="CE18" s="106">
        <v>1210.2200921109993</v>
      </c>
      <c r="CF18" s="106">
        <v>31.770952514718303</v>
      </c>
      <c r="CG18" s="106">
        <v>20740.077801608106</v>
      </c>
      <c r="CH18" s="106">
        <v>8.7870176817137935</v>
      </c>
      <c r="CI18" s="106">
        <v>5736.1651426227636</v>
      </c>
      <c r="CJ18" s="106">
        <v>0</v>
      </c>
      <c r="CK18" s="106">
        <v>0</v>
      </c>
      <c r="CL18" s="106">
        <v>8.8183424841397215</v>
      </c>
      <c r="CM18" s="106">
        <v>5756.6139736464102</v>
      </c>
      <c r="CN18" s="106">
        <v>0</v>
      </c>
      <c r="CO18" s="106">
        <v>0</v>
      </c>
      <c r="CP18" s="106">
        <v>6.3367814709231656</v>
      </c>
      <c r="CQ18" s="106">
        <v>4136.6509442186425</v>
      </c>
      <c r="CR18" s="106">
        <v>9.2417927224414242</v>
      </c>
      <c r="CS18" s="106">
        <v>6033.0422892097613</v>
      </c>
      <c r="CT18" s="106">
        <v>9.0397479862487593</v>
      </c>
      <c r="CU18" s="106">
        <v>5901.1474854231892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2.139415817872345</v>
      </c>
      <c r="M19" s="106">
        <v>706.00721989787382</v>
      </c>
      <c r="N19" s="106">
        <v>2.0420816818100254</v>
      </c>
      <c r="O19" s="106">
        <v>673.88695499730841</v>
      </c>
      <c r="P19" s="106">
        <v>1.2577507606068887</v>
      </c>
      <c r="Q19" s="106">
        <v>415.0577510002733</v>
      </c>
      <c r="R19" s="106">
        <v>1.4058274831392048</v>
      </c>
      <c r="S19" s="106">
        <v>463.92306943593758</v>
      </c>
      <c r="T19" s="106">
        <v>0</v>
      </c>
      <c r="U19" s="106">
        <v>0</v>
      </c>
      <c r="V19" s="106">
        <v>8.0451159664206813</v>
      </c>
      <c r="W19" s="106">
        <v>2654.8882689188249</v>
      </c>
      <c r="X19" s="106">
        <v>0</v>
      </c>
      <c r="Y19" s="106">
        <v>0</v>
      </c>
      <c r="Z19" s="106">
        <v>8.1828538197702958</v>
      </c>
      <c r="AA19" s="106">
        <v>2700.3417605241975</v>
      </c>
      <c r="AB19" s="106">
        <v>17.199605186055475</v>
      </c>
      <c r="AC19" s="106">
        <v>5675.8697113983071</v>
      </c>
      <c r="AD19" s="106">
        <v>19.835155270165405</v>
      </c>
      <c r="AE19" s="106">
        <v>6545.6012391545837</v>
      </c>
      <c r="AF19" s="106">
        <v>13.686979401567616</v>
      </c>
      <c r="AG19" s="106">
        <v>4516.703202517313</v>
      </c>
      <c r="AH19" s="106">
        <v>0</v>
      </c>
      <c r="AI19" s="106">
        <v>0</v>
      </c>
      <c r="AJ19" s="106">
        <v>5.7998404977672093</v>
      </c>
      <c r="AK19" s="106">
        <v>1913.947364263179</v>
      </c>
      <c r="AL19" s="106">
        <v>0</v>
      </c>
      <c r="AM19" s="106">
        <v>0</v>
      </c>
      <c r="AN19" s="106">
        <v>5.1484215337620691</v>
      </c>
      <c r="AO19" s="106">
        <v>1698.9791061414828</v>
      </c>
      <c r="AP19" s="106">
        <v>0</v>
      </c>
      <c r="AQ19" s="106">
        <v>0</v>
      </c>
      <c r="AR19" s="106">
        <v>12.166588199042009</v>
      </c>
      <c r="AS19" s="106">
        <v>4014.9741056838629</v>
      </c>
      <c r="AT19" s="106">
        <v>0</v>
      </c>
      <c r="AU19" s="106">
        <v>0</v>
      </c>
      <c r="AV19" s="106">
        <v>5.2122488709269428</v>
      </c>
      <c r="AW19" s="106">
        <v>1720.0421274058911</v>
      </c>
      <c r="AX19" s="106">
        <v>11.466488182074086</v>
      </c>
      <c r="AY19" s="106">
        <v>3783.9411000844484</v>
      </c>
      <c r="AZ19" s="106">
        <v>8.6057712852082453</v>
      </c>
      <c r="BA19" s="106">
        <v>2839.9045241187209</v>
      </c>
      <c r="BB19" s="106">
        <v>12.704526466088099</v>
      </c>
      <c r="BC19" s="106">
        <v>4192.4937338090731</v>
      </c>
      <c r="BD19" s="106">
        <v>0</v>
      </c>
      <c r="BE19" s="106">
        <v>0</v>
      </c>
      <c r="BF19" s="106">
        <v>17.62332446925307</v>
      </c>
      <c r="BG19" s="106">
        <v>5815.6970748535132</v>
      </c>
      <c r="BH19" s="106">
        <v>4.8264556673402552</v>
      </c>
      <c r="BI19" s="106">
        <v>1592.7303702222841</v>
      </c>
      <c r="BJ19" s="106">
        <v>3.3984175422578349</v>
      </c>
      <c r="BK19" s="106">
        <v>1121.4777889450854</v>
      </c>
      <c r="BL19" s="106">
        <v>3.3325312100777786</v>
      </c>
      <c r="BM19" s="106">
        <v>1099.735299325667</v>
      </c>
      <c r="BN19" s="106">
        <v>0</v>
      </c>
      <c r="BO19" s="106">
        <v>0</v>
      </c>
      <c r="BP19" s="106">
        <v>19.886425364407128</v>
      </c>
      <c r="BQ19" s="106">
        <v>6562.5203702543522</v>
      </c>
      <c r="BR19" s="106">
        <v>34.00467913245712</v>
      </c>
      <c r="BS19" s="106">
        <v>11221.54411371085</v>
      </c>
      <c r="BT19" s="106">
        <v>0</v>
      </c>
      <c r="BU19" s="106">
        <v>0</v>
      </c>
      <c r="BV19" s="106">
        <v>17.805434854329935</v>
      </c>
      <c r="BW19" s="106">
        <v>5875.7935019288789</v>
      </c>
      <c r="BX19" s="106">
        <v>7.8379695329254444</v>
      </c>
      <c r="BY19" s="106">
        <v>2586.5299458653967</v>
      </c>
      <c r="BZ19" s="106">
        <v>2.3107961578436416</v>
      </c>
      <c r="CA19" s="106">
        <v>762.56273208840173</v>
      </c>
      <c r="CB19" s="106">
        <v>0</v>
      </c>
      <c r="CC19" s="106">
        <v>0</v>
      </c>
      <c r="CD19" s="106">
        <v>1.8538910724739572</v>
      </c>
      <c r="CE19" s="106">
        <v>611.78405391640592</v>
      </c>
      <c r="CF19" s="106">
        <v>30.381429645125923</v>
      </c>
      <c r="CG19" s="106">
        <v>10025.871782891554</v>
      </c>
      <c r="CH19" s="106">
        <v>9.2129014986261861</v>
      </c>
      <c r="CI19" s="106">
        <v>3040.2574945466413</v>
      </c>
      <c r="CJ19" s="106">
        <v>0</v>
      </c>
      <c r="CK19" s="106">
        <v>0</v>
      </c>
      <c r="CL19" s="106">
        <v>11.290774956328431</v>
      </c>
      <c r="CM19" s="106">
        <v>3725.9557355883821</v>
      </c>
      <c r="CN19" s="106">
        <v>0</v>
      </c>
      <c r="CO19" s="106">
        <v>0</v>
      </c>
      <c r="CP19" s="106">
        <v>7.0822851733847143</v>
      </c>
      <c r="CQ19" s="106">
        <v>2337.1541072169557</v>
      </c>
      <c r="CR19" s="106">
        <v>10.361739672323623</v>
      </c>
      <c r="CS19" s="106">
        <v>3419.3740918667954</v>
      </c>
      <c r="CT19" s="106">
        <v>9.5917480608002474</v>
      </c>
      <c r="CU19" s="106">
        <v>3165.2768600640816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11.200471046508158</v>
      </c>
      <c r="M20" s="106">
        <v>3212.2950961385395</v>
      </c>
      <c r="N20" s="106">
        <v>6.246094367080862</v>
      </c>
      <c r="O20" s="106">
        <v>1791.3798644787912</v>
      </c>
      <c r="P20" s="106">
        <v>5.7542002874277181</v>
      </c>
      <c r="Q20" s="106">
        <v>1650.3046424342697</v>
      </c>
      <c r="R20" s="106">
        <v>7.1058383781062595</v>
      </c>
      <c r="S20" s="106">
        <v>2037.9544468408753</v>
      </c>
      <c r="T20" s="106">
        <v>0</v>
      </c>
      <c r="U20" s="106">
        <v>0</v>
      </c>
      <c r="V20" s="106">
        <v>9.0944789185625101</v>
      </c>
      <c r="W20" s="106">
        <v>2608.2965538437279</v>
      </c>
      <c r="X20" s="106">
        <v>0</v>
      </c>
      <c r="Y20" s="106">
        <v>0</v>
      </c>
      <c r="Z20" s="106">
        <v>7.528225514188672</v>
      </c>
      <c r="AA20" s="106">
        <v>2159.095077469311</v>
      </c>
      <c r="AB20" s="106">
        <v>2.3814525761012355</v>
      </c>
      <c r="AC20" s="106">
        <v>683.00059882583435</v>
      </c>
      <c r="AD20" s="106">
        <v>4.9345555319179999</v>
      </c>
      <c r="AE20" s="106">
        <v>1415.2305265540824</v>
      </c>
      <c r="AF20" s="106">
        <v>1.503025005807026</v>
      </c>
      <c r="AG20" s="106">
        <v>431.06757166545509</v>
      </c>
      <c r="AH20" s="106">
        <v>0</v>
      </c>
      <c r="AI20" s="106">
        <v>0</v>
      </c>
      <c r="AJ20" s="106">
        <v>18.791483212765758</v>
      </c>
      <c r="AK20" s="106">
        <v>5389.39738542122</v>
      </c>
      <c r="AL20" s="106">
        <v>0</v>
      </c>
      <c r="AM20" s="106">
        <v>0</v>
      </c>
      <c r="AN20" s="106">
        <v>16.680885769389104</v>
      </c>
      <c r="AO20" s="106">
        <v>4784.0780386607948</v>
      </c>
      <c r="AP20" s="106">
        <v>0</v>
      </c>
      <c r="AQ20" s="106">
        <v>0</v>
      </c>
      <c r="AR20" s="106">
        <v>32.723926880181949</v>
      </c>
      <c r="AS20" s="106">
        <v>9385.2222292361839</v>
      </c>
      <c r="AT20" s="106">
        <v>0</v>
      </c>
      <c r="AU20" s="106">
        <v>0</v>
      </c>
      <c r="AV20" s="106">
        <v>17.998546882419603</v>
      </c>
      <c r="AW20" s="106">
        <v>5161.9832458779429</v>
      </c>
      <c r="AX20" s="106">
        <v>39.462880943074708</v>
      </c>
      <c r="AY20" s="106">
        <v>11317.954254473827</v>
      </c>
      <c r="AZ20" s="106">
        <v>10.232499382254478</v>
      </c>
      <c r="BA20" s="106">
        <v>2934.6808228305845</v>
      </c>
      <c r="BB20" s="106">
        <v>6.4268992645153302</v>
      </c>
      <c r="BC20" s="106">
        <v>1843.2347090629967</v>
      </c>
      <c r="BD20" s="106">
        <v>0</v>
      </c>
      <c r="BE20" s="106">
        <v>0</v>
      </c>
      <c r="BF20" s="106">
        <v>11.522942922203933</v>
      </c>
      <c r="BG20" s="106">
        <v>3304.7800300880881</v>
      </c>
      <c r="BH20" s="106">
        <v>9.0337892383138971</v>
      </c>
      <c r="BI20" s="106">
        <v>2590.8907535484259</v>
      </c>
      <c r="BJ20" s="106">
        <v>8.7555879188560599</v>
      </c>
      <c r="BK20" s="106">
        <v>2511.1026151279179</v>
      </c>
      <c r="BL20" s="106">
        <v>6.685023096008643</v>
      </c>
      <c r="BM20" s="106">
        <v>1917.2646239352789</v>
      </c>
      <c r="BN20" s="106">
        <v>0</v>
      </c>
      <c r="BO20" s="106">
        <v>0</v>
      </c>
      <c r="BP20" s="106">
        <v>1.8978746198396843</v>
      </c>
      <c r="BQ20" s="106">
        <v>544.31044097002143</v>
      </c>
      <c r="BR20" s="106">
        <v>3.6429242124396906</v>
      </c>
      <c r="BS20" s="106">
        <v>1044.7906641277034</v>
      </c>
      <c r="BT20" s="106">
        <v>0</v>
      </c>
      <c r="BU20" s="106">
        <v>0</v>
      </c>
      <c r="BV20" s="106">
        <v>1.2279610244365471</v>
      </c>
      <c r="BW20" s="106">
        <v>352.17922180840173</v>
      </c>
      <c r="BX20" s="106">
        <v>20.42952146010111</v>
      </c>
      <c r="BY20" s="106">
        <v>5859.1867547569991</v>
      </c>
      <c r="BZ20" s="106">
        <v>7.6127708777893712</v>
      </c>
      <c r="CA20" s="106">
        <v>2183.3426877499919</v>
      </c>
      <c r="CB20" s="106">
        <v>0</v>
      </c>
      <c r="CC20" s="106">
        <v>0</v>
      </c>
      <c r="CD20" s="106">
        <v>6.1549183606135376</v>
      </c>
      <c r="CE20" s="106">
        <v>1765.2305858239627</v>
      </c>
      <c r="CF20" s="106">
        <v>20.180528434380452</v>
      </c>
      <c r="CG20" s="106">
        <v>5787.7755549803142</v>
      </c>
      <c r="CH20" s="106">
        <v>14.742183019765747</v>
      </c>
      <c r="CI20" s="106">
        <v>4228.0580900688165</v>
      </c>
      <c r="CJ20" s="106">
        <v>0</v>
      </c>
      <c r="CK20" s="106">
        <v>0</v>
      </c>
      <c r="CL20" s="106">
        <v>17.059784058102078</v>
      </c>
      <c r="CM20" s="106">
        <v>4892.7460678636762</v>
      </c>
      <c r="CN20" s="106">
        <v>0</v>
      </c>
      <c r="CO20" s="106">
        <v>0</v>
      </c>
      <c r="CP20" s="106">
        <v>16.773833305384851</v>
      </c>
      <c r="CQ20" s="106">
        <v>4810.7353919843754</v>
      </c>
      <c r="CR20" s="106">
        <v>15.895613274936061</v>
      </c>
      <c r="CS20" s="106">
        <v>4558.8618872516627</v>
      </c>
      <c r="CT20" s="106">
        <v>39.328004131741167</v>
      </c>
      <c r="CU20" s="106">
        <v>11279.271584983368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13.339886864380503</v>
      </c>
      <c r="M21" s="106">
        <v>832.40894033734332</v>
      </c>
      <c r="N21" s="106">
        <v>6.3447012013314801</v>
      </c>
      <c r="O21" s="106">
        <v>395.90935496308435</v>
      </c>
      <c r="P21" s="106">
        <v>5.7599166156710098</v>
      </c>
      <c r="Q21" s="106">
        <v>359.418796817871</v>
      </c>
      <c r="R21" s="106">
        <v>8.6926823340653687</v>
      </c>
      <c r="S21" s="106">
        <v>542.42337764567901</v>
      </c>
      <c r="T21" s="106">
        <v>0</v>
      </c>
      <c r="U21" s="106">
        <v>0</v>
      </c>
      <c r="V21" s="106">
        <v>8.3949036171346236</v>
      </c>
      <c r="W21" s="106">
        <v>523.84198570920046</v>
      </c>
      <c r="X21" s="106">
        <v>0</v>
      </c>
      <c r="Y21" s="106">
        <v>0</v>
      </c>
      <c r="Z21" s="106">
        <v>8.8374821253519187</v>
      </c>
      <c r="AA21" s="106">
        <v>551.45888462195967</v>
      </c>
      <c r="AB21" s="106">
        <v>2.4907640205122199</v>
      </c>
      <c r="AC21" s="106">
        <v>155.4236748799625</v>
      </c>
      <c r="AD21" s="106">
        <v>4.8068312431498894</v>
      </c>
      <c r="AE21" s="106">
        <v>299.94626957255309</v>
      </c>
      <c r="AF21" s="106">
        <v>1.7198679285299883</v>
      </c>
      <c r="AG21" s="106">
        <v>107.31975874027127</v>
      </c>
      <c r="AH21" s="106">
        <v>0</v>
      </c>
      <c r="AI21" s="106">
        <v>0</v>
      </c>
      <c r="AJ21" s="106">
        <v>18.32749597294438</v>
      </c>
      <c r="AK21" s="106">
        <v>1143.6357487117293</v>
      </c>
      <c r="AL21" s="106">
        <v>0</v>
      </c>
      <c r="AM21" s="106">
        <v>0</v>
      </c>
      <c r="AN21" s="106">
        <v>17.298696353440555</v>
      </c>
      <c r="AO21" s="106">
        <v>1079.4386524546906</v>
      </c>
      <c r="AP21" s="106">
        <v>0</v>
      </c>
      <c r="AQ21" s="106">
        <v>0</v>
      </c>
      <c r="AR21" s="106">
        <v>34.611845738653983</v>
      </c>
      <c r="AS21" s="106">
        <v>2159.7791740920084</v>
      </c>
      <c r="AT21" s="106">
        <v>0</v>
      </c>
      <c r="AU21" s="106">
        <v>0</v>
      </c>
      <c r="AV21" s="106">
        <v>19.138726322934872</v>
      </c>
      <c r="AW21" s="106">
        <v>1194.256522551136</v>
      </c>
      <c r="AX21" s="106">
        <v>39.466438414416714</v>
      </c>
      <c r="AY21" s="106">
        <v>2462.705757059603</v>
      </c>
      <c r="AZ21" s="106">
        <v>10.096049216345413</v>
      </c>
      <c r="BA21" s="106">
        <v>629.99347109995381</v>
      </c>
      <c r="BB21" s="106">
        <v>7.2295322380220686</v>
      </c>
      <c r="BC21" s="106">
        <v>451.12281165257707</v>
      </c>
      <c r="BD21" s="106">
        <v>0</v>
      </c>
      <c r="BE21" s="106">
        <v>0</v>
      </c>
      <c r="BF21" s="106">
        <v>10.845122750309583</v>
      </c>
      <c r="BG21" s="106">
        <v>676.73565961931797</v>
      </c>
      <c r="BH21" s="106">
        <v>9.5913234521910127</v>
      </c>
      <c r="BI21" s="106">
        <v>598.49858341671916</v>
      </c>
      <c r="BJ21" s="106">
        <v>9.1355235843651066</v>
      </c>
      <c r="BK21" s="106">
        <v>570.05667166438263</v>
      </c>
      <c r="BL21" s="106">
        <v>7.7433299913630096</v>
      </c>
      <c r="BM21" s="106">
        <v>483.18379146105178</v>
      </c>
      <c r="BN21" s="106">
        <v>0</v>
      </c>
      <c r="BO21" s="106">
        <v>0</v>
      </c>
      <c r="BP21" s="106">
        <v>1.8978746198396843</v>
      </c>
      <c r="BQ21" s="106">
        <v>118.4273762779963</v>
      </c>
      <c r="BR21" s="106">
        <v>3.7672429566691235</v>
      </c>
      <c r="BS21" s="106">
        <v>235.0759604961533</v>
      </c>
      <c r="BT21" s="106">
        <v>0</v>
      </c>
      <c r="BU21" s="106">
        <v>0</v>
      </c>
      <c r="BV21" s="106">
        <v>1.2279610244365471</v>
      </c>
      <c r="BW21" s="106">
        <v>76.62476792484054</v>
      </c>
      <c r="BX21" s="106">
        <v>23.137267477389749</v>
      </c>
      <c r="BY21" s="106">
        <v>1443.7654905891202</v>
      </c>
      <c r="BZ21" s="106">
        <v>7.7815760319172664</v>
      </c>
      <c r="CA21" s="106">
        <v>485.57034439163743</v>
      </c>
      <c r="CB21" s="106">
        <v>0</v>
      </c>
      <c r="CC21" s="106">
        <v>0</v>
      </c>
      <c r="CD21" s="106">
        <v>7.6380312185927037</v>
      </c>
      <c r="CE21" s="106">
        <v>476.61314804018468</v>
      </c>
      <c r="CF21" s="106">
        <v>24.934348432195407</v>
      </c>
      <c r="CG21" s="106">
        <v>1555.9033421689933</v>
      </c>
      <c r="CH21" s="106">
        <v>15.837755209252149</v>
      </c>
      <c r="CI21" s="106">
        <v>988.27592505733412</v>
      </c>
      <c r="CJ21" s="106">
        <v>0</v>
      </c>
      <c r="CK21" s="106">
        <v>0</v>
      </c>
      <c r="CL21" s="106">
        <v>18.04875704697756</v>
      </c>
      <c r="CM21" s="106">
        <v>1126.2424397313996</v>
      </c>
      <c r="CN21" s="106">
        <v>0</v>
      </c>
      <c r="CO21" s="106">
        <v>0</v>
      </c>
      <c r="CP21" s="106">
        <v>20.12859996646182</v>
      </c>
      <c r="CQ21" s="106">
        <v>1256.0246379072175</v>
      </c>
      <c r="CR21" s="106">
        <v>16.786072919157462</v>
      </c>
      <c r="CS21" s="106">
        <v>1047.4509501554255</v>
      </c>
      <c r="CT21" s="106">
        <v>38.595920969164808</v>
      </c>
      <c r="CU21" s="106">
        <v>2408.385468475884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12.836494907234069</v>
      </c>
      <c r="M22" s="106">
        <v>2402.9918466342178</v>
      </c>
      <c r="N22" s="106">
        <v>6.5830992671160615</v>
      </c>
      <c r="O22" s="106">
        <v>1232.3561828041265</v>
      </c>
      <c r="P22" s="106">
        <v>5.5370011463969604</v>
      </c>
      <c r="Q22" s="106">
        <v>1036.526614605511</v>
      </c>
      <c r="R22" s="106">
        <v>7.7596107892346415</v>
      </c>
      <c r="S22" s="106">
        <v>1452.5991397447249</v>
      </c>
      <c r="T22" s="106">
        <v>0</v>
      </c>
      <c r="U22" s="106">
        <v>0</v>
      </c>
      <c r="V22" s="106">
        <v>9.4442665692764507</v>
      </c>
      <c r="W22" s="106">
        <v>1767.9667017685515</v>
      </c>
      <c r="X22" s="106">
        <v>0</v>
      </c>
      <c r="Y22" s="106">
        <v>0</v>
      </c>
      <c r="Z22" s="106">
        <v>8.1828538197702958</v>
      </c>
      <c r="AA22" s="106">
        <v>1531.8302350609993</v>
      </c>
      <c r="AB22" s="106">
        <v>2.4254281704134057</v>
      </c>
      <c r="AC22" s="106">
        <v>454.04015350138951</v>
      </c>
      <c r="AD22" s="106">
        <v>4.7749002952037269</v>
      </c>
      <c r="AE22" s="106">
        <v>893.86133526213757</v>
      </c>
      <c r="AF22" s="106">
        <v>1.5826583733591504</v>
      </c>
      <c r="AG22" s="106">
        <v>296.27364749283294</v>
      </c>
      <c r="AH22" s="106">
        <v>0</v>
      </c>
      <c r="AI22" s="106">
        <v>0</v>
      </c>
      <c r="AJ22" s="106">
        <v>20.647432172051268</v>
      </c>
      <c r="AK22" s="106">
        <v>3865.1993026079972</v>
      </c>
      <c r="AL22" s="106">
        <v>0</v>
      </c>
      <c r="AM22" s="106">
        <v>0</v>
      </c>
      <c r="AN22" s="106">
        <v>16.886822630739587</v>
      </c>
      <c r="AO22" s="106">
        <v>3161.2131964744503</v>
      </c>
      <c r="AP22" s="106">
        <v>0</v>
      </c>
      <c r="AQ22" s="106">
        <v>0</v>
      </c>
      <c r="AR22" s="106">
        <v>32.723926880181949</v>
      </c>
      <c r="AS22" s="106">
        <v>6125.9191119700608</v>
      </c>
      <c r="AT22" s="106">
        <v>0</v>
      </c>
      <c r="AU22" s="106">
        <v>0</v>
      </c>
      <c r="AV22" s="106">
        <v>18.487195214069004</v>
      </c>
      <c r="AW22" s="106">
        <v>3460.8029440737173</v>
      </c>
      <c r="AX22" s="106">
        <v>38.301166388879963</v>
      </c>
      <c r="AY22" s="106">
        <v>7169.9783479983289</v>
      </c>
      <c r="AZ22" s="106">
        <v>10.214714554320873</v>
      </c>
      <c r="BA22" s="106">
        <v>1912.1945645688672</v>
      </c>
      <c r="BB22" s="106">
        <v>7.2820789821768184</v>
      </c>
      <c r="BC22" s="106">
        <v>1363.2051854635004</v>
      </c>
      <c r="BD22" s="106">
        <v>0</v>
      </c>
      <c r="BE22" s="106">
        <v>0</v>
      </c>
      <c r="BF22" s="106">
        <v>12.878583265992628</v>
      </c>
      <c r="BG22" s="106">
        <v>2410.8707873938197</v>
      </c>
      <c r="BH22" s="106">
        <v>9.441506223983497</v>
      </c>
      <c r="BI22" s="106">
        <v>1767.4499651297106</v>
      </c>
      <c r="BJ22" s="106">
        <v>9.6864184489960987</v>
      </c>
      <c r="BK22" s="106">
        <v>1813.2975336520697</v>
      </c>
      <c r="BL22" s="106">
        <v>7.8744097677319065</v>
      </c>
      <c r="BM22" s="106">
        <v>1474.0895085194129</v>
      </c>
      <c r="BN22" s="106">
        <v>0</v>
      </c>
      <c r="BO22" s="106">
        <v>0</v>
      </c>
      <c r="BP22" s="106">
        <v>1.8153583320205675</v>
      </c>
      <c r="BQ22" s="106">
        <v>339.83507975425022</v>
      </c>
      <c r="BR22" s="106">
        <v>3.7142887148145509</v>
      </c>
      <c r="BS22" s="106">
        <v>695.31484741328393</v>
      </c>
      <c r="BT22" s="106">
        <v>0</v>
      </c>
      <c r="BU22" s="106">
        <v>0</v>
      </c>
      <c r="BV22" s="106">
        <v>1.3156725261820148</v>
      </c>
      <c r="BW22" s="106">
        <v>246.29389690127314</v>
      </c>
      <c r="BX22" s="106">
        <v>23.628157560925519</v>
      </c>
      <c r="BY22" s="106">
        <v>4423.1910954052573</v>
      </c>
      <c r="BZ22" s="106">
        <v>7.6282048903232882</v>
      </c>
      <c r="CA22" s="106">
        <v>1427.9999554685194</v>
      </c>
      <c r="CB22" s="106">
        <v>0</v>
      </c>
      <c r="CC22" s="106">
        <v>0</v>
      </c>
      <c r="CD22" s="106">
        <v>6.9706304325020785</v>
      </c>
      <c r="CE22" s="106">
        <v>1304.9020169643891</v>
      </c>
      <c r="CF22" s="106">
        <v>22.531288565955428</v>
      </c>
      <c r="CG22" s="106">
        <v>4217.857219546856</v>
      </c>
      <c r="CH22" s="106">
        <v>15.900703594182897</v>
      </c>
      <c r="CI22" s="106">
        <v>2976.6117128310379</v>
      </c>
      <c r="CJ22" s="106">
        <v>0</v>
      </c>
      <c r="CK22" s="106">
        <v>0</v>
      </c>
      <c r="CL22" s="106">
        <v>18.625657957154928</v>
      </c>
      <c r="CM22" s="106">
        <v>3486.7231695794021</v>
      </c>
      <c r="CN22" s="106">
        <v>0</v>
      </c>
      <c r="CO22" s="106">
        <v>0</v>
      </c>
      <c r="CP22" s="106">
        <v>19.196720338384882</v>
      </c>
      <c r="CQ22" s="106">
        <v>3593.6260473456496</v>
      </c>
      <c r="CR22" s="106">
        <v>16.608533373080512</v>
      </c>
      <c r="CS22" s="106">
        <v>3109.1174474406716</v>
      </c>
      <c r="CT22" s="106">
        <v>38.393451537124406</v>
      </c>
      <c r="CU22" s="106">
        <v>7187.2541277496885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11.829710992941202</v>
      </c>
      <c r="M23" s="106">
        <v>3477.9350319247133</v>
      </c>
      <c r="N23" s="106">
        <v>6.2642923864129987</v>
      </c>
      <c r="O23" s="106">
        <v>1841.7019616054215</v>
      </c>
      <c r="P23" s="106">
        <v>5.4131607190606106</v>
      </c>
      <c r="Q23" s="106">
        <v>1591.4692514038195</v>
      </c>
      <c r="R23" s="106">
        <v>7.7559279256159144</v>
      </c>
      <c r="S23" s="106">
        <v>2280.2428101310788</v>
      </c>
      <c r="T23" s="106">
        <v>0</v>
      </c>
      <c r="U23" s="106">
        <v>0</v>
      </c>
      <c r="V23" s="106">
        <v>9.0944789185625101</v>
      </c>
      <c r="W23" s="106">
        <v>2673.7768020573781</v>
      </c>
      <c r="X23" s="106">
        <v>0</v>
      </c>
      <c r="Y23" s="106">
        <v>0</v>
      </c>
      <c r="Z23" s="106">
        <v>8.5101679725611081</v>
      </c>
      <c r="AA23" s="106">
        <v>2501.9893839329657</v>
      </c>
      <c r="AB23" s="106">
        <v>2.231586961998004</v>
      </c>
      <c r="AC23" s="106">
        <v>656.08656682741321</v>
      </c>
      <c r="AD23" s="106">
        <v>5.1338880381674405</v>
      </c>
      <c r="AE23" s="106">
        <v>1509.3630832212275</v>
      </c>
      <c r="AF23" s="106">
        <v>1.564082015641586</v>
      </c>
      <c r="AG23" s="106">
        <v>459.84011259862626</v>
      </c>
      <c r="AH23" s="106">
        <v>0</v>
      </c>
      <c r="AI23" s="106">
        <v>0</v>
      </c>
      <c r="AJ23" s="106">
        <v>18.32749597294438</v>
      </c>
      <c r="AK23" s="106">
        <v>5388.2838160456477</v>
      </c>
      <c r="AL23" s="106">
        <v>0</v>
      </c>
      <c r="AM23" s="106">
        <v>0</v>
      </c>
      <c r="AN23" s="106">
        <v>15.445264601286208</v>
      </c>
      <c r="AO23" s="106">
        <v>4540.9077927781454</v>
      </c>
      <c r="AP23" s="106">
        <v>0</v>
      </c>
      <c r="AQ23" s="106">
        <v>0</v>
      </c>
      <c r="AR23" s="106">
        <v>32.933695642234397</v>
      </c>
      <c r="AS23" s="106">
        <v>9682.5065188169137</v>
      </c>
      <c r="AT23" s="106">
        <v>0</v>
      </c>
      <c r="AU23" s="106">
        <v>0</v>
      </c>
      <c r="AV23" s="106">
        <v>16.288277721646701</v>
      </c>
      <c r="AW23" s="106">
        <v>4788.7536501641298</v>
      </c>
      <c r="AX23" s="106">
        <v>37.217868807192993</v>
      </c>
      <c r="AY23" s="106">
        <v>10942.053429314739</v>
      </c>
      <c r="AZ23" s="106">
        <v>10.415792636657249</v>
      </c>
      <c r="BA23" s="106">
        <v>3062.2430351772314</v>
      </c>
      <c r="BB23" s="106">
        <v>6.8369689659608222</v>
      </c>
      <c r="BC23" s="106">
        <v>2010.0688759924817</v>
      </c>
      <c r="BD23" s="106">
        <v>0</v>
      </c>
      <c r="BE23" s="106">
        <v>0</v>
      </c>
      <c r="BF23" s="106">
        <v>12.200763094098281</v>
      </c>
      <c r="BG23" s="106">
        <v>3587.0243496648945</v>
      </c>
      <c r="BH23" s="106">
        <v>9.1437315068032206</v>
      </c>
      <c r="BI23" s="106">
        <v>2688.2570630001469</v>
      </c>
      <c r="BJ23" s="106">
        <v>9.2135228775624576</v>
      </c>
      <c r="BK23" s="106">
        <v>2708.7757260033627</v>
      </c>
      <c r="BL23" s="106">
        <v>7.1372282583849973</v>
      </c>
      <c r="BM23" s="106">
        <v>2098.3451079651891</v>
      </c>
      <c r="BN23" s="106">
        <v>0</v>
      </c>
      <c r="BO23" s="106">
        <v>0</v>
      </c>
      <c r="BP23" s="106">
        <v>1.8153583320205675</v>
      </c>
      <c r="BQ23" s="106">
        <v>533.71534961404689</v>
      </c>
      <c r="BR23" s="106">
        <v>3.3327366568530183</v>
      </c>
      <c r="BS23" s="106">
        <v>979.82457711478742</v>
      </c>
      <c r="BT23" s="106">
        <v>0</v>
      </c>
      <c r="BU23" s="106">
        <v>0</v>
      </c>
      <c r="BV23" s="106">
        <v>1.2279610244365471</v>
      </c>
      <c r="BW23" s="106">
        <v>361.02054118434484</v>
      </c>
      <c r="BX23" s="106">
        <v>23.61740225633406</v>
      </c>
      <c r="BY23" s="106">
        <v>6943.516263362214</v>
      </c>
      <c r="BZ23" s="106">
        <v>7.4532257086089828</v>
      </c>
      <c r="CA23" s="106">
        <v>2191.2483583310409</v>
      </c>
      <c r="CB23" s="106">
        <v>0</v>
      </c>
      <c r="CC23" s="106">
        <v>0</v>
      </c>
      <c r="CD23" s="106">
        <v>6.5998522180072872</v>
      </c>
      <c r="CE23" s="106">
        <v>1940.3565520941424</v>
      </c>
      <c r="CF23" s="106">
        <v>22.076424648979469</v>
      </c>
      <c r="CG23" s="106">
        <v>6490.468846799964</v>
      </c>
      <c r="CH23" s="106">
        <v>13.399105076791196</v>
      </c>
      <c r="CI23" s="106">
        <v>3939.3368925766117</v>
      </c>
      <c r="CJ23" s="106">
        <v>0</v>
      </c>
      <c r="CK23" s="106">
        <v>0</v>
      </c>
      <c r="CL23" s="106">
        <v>16.070811069226597</v>
      </c>
      <c r="CM23" s="106">
        <v>4724.8184543526195</v>
      </c>
      <c r="CN23" s="106">
        <v>0</v>
      </c>
      <c r="CO23" s="106">
        <v>0</v>
      </c>
      <c r="CP23" s="106">
        <v>18.264840710307947</v>
      </c>
      <c r="CQ23" s="106">
        <v>5369.8631688305368</v>
      </c>
      <c r="CR23" s="106">
        <v>15.655470628419637</v>
      </c>
      <c r="CS23" s="106">
        <v>4602.7083647553736</v>
      </c>
      <c r="CT23" s="106">
        <v>40.644919960864499</v>
      </c>
      <c r="CU23" s="106">
        <v>11949.606468494163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11.200471046508158</v>
      </c>
      <c r="M24" s="106">
        <v>4112.8129682777953</v>
      </c>
      <c r="N24" s="106">
        <v>5.7958994412485323</v>
      </c>
      <c r="O24" s="106">
        <v>2128.2542748264609</v>
      </c>
      <c r="P24" s="106">
        <v>5.2465666395981501</v>
      </c>
      <c r="Q24" s="106">
        <v>1926.5392700604407</v>
      </c>
      <c r="R24" s="106">
        <v>8.0455120769545267</v>
      </c>
      <c r="S24" s="106">
        <v>2954.312034657702</v>
      </c>
      <c r="T24" s="106">
        <v>0</v>
      </c>
      <c r="U24" s="106">
        <v>0</v>
      </c>
      <c r="V24" s="106">
        <v>8.0451159664206813</v>
      </c>
      <c r="W24" s="106">
        <v>2954.1665828696741</v>
      </c>
      <c r="X24" s="106">
        <v>0</v>
      </c>
      <c r="Y24" s="106">
        <v>0</v>
      </c>
      <c r="Z24" s="106">
        <v>8.8374821253519187</v>
      </c>
      <c r="AA24" s="106">
        <v>3245.1234364292245</v>
      </c>
      <c r="AB24" s="106">
        <v>2.1525871158581937</v>
      </c>
      <c r="AC24" s="106">
        <v>790.42998894312871</v>
      </c>
      <c r="AD24" s="106">
        <v>5.150714214539299</v>
      </c>
      <c r="AE24" s="106">
        <v>1891.3422595788306</v>
      </c>
      <c r="AF24" s="106">
        <v>1.5958398397428473</v>
      </c>
      <c r="AG24" s="106">
        <v>585.99238915357353</v>
      </c>
      <c r="AH24" s="106">
        <v>0</v>
      </c>
      <c r="AI24" s="106">
        <v>0</v>
      </c>
      <c r="AJ24" s="106">
        <v>16.703540633569563</v>
      </c>
      <c r="AK24" s="106">
        <v>6133.5401206467432</v>
      </c>
      <c r="AL24" s="106">
        <v>0</v>
      </c>
      <c r="AM24" s="106">
        <v>0</v>
      </c>
      <c r="AN24" s="106">
        <v>16.474948908038623</v>
      </c>
      <c r="AO24" s="106">
        <v>6049.6012390317819</v>
      </c>
      <c r="AP24" s="106">
        <v>0</v>
      </c>
      <c r="AQ24" s="106">
        <v>0</v>
      </c>
      <c r="AR24" s="106">
        <v>28.948089163237881</v>
      </c>
      <c r="AS24" s="106">
        <v>10629.738340740949</v>
      </c>
      <c r="AT24" s="106">
        <v>0</v>
      </c>
      <c r="AU24" s="106">
        <v>0</v>
      </c>
      <c r="AV24" s="106">
        <v>16.043953555821997</v>
      </c>
      <c r="AW24" s="106">
        <v>5891.3397456978373</v>
      </c>
      <c r="AX24" s="106">
        <v>35.971485158066336</v>
      </c>
      <c r="AY24" s="106">
        <v>13208.729350041958</v>
      </c>
      <c r="AZ24" s="106">
        <v>10.959512524002951</v>
      </c>
      <c r="BA24" s="106">
        <v>4024.3329988138835</v>
      </c>
      <c r="BB24" s="106">
        <v>7.1478355675622502</v>
      </c>
      <c r="BC24" s="106">
        <v>2624.6852204088582</v>
      </c>
      <c r="BD24" s="106">
        <v>0</v>
      </c>
      <c r="BE24" s="106">
        <v>0</v>
      </c>
      <c r="BF24" s="106">
        <v>11.522942922203933</v>
      </c>
      <c r="BG24" s="106">
        <v>4231.2246410332846</v>
      </c>
      <c r="BH24" s="106">
        <v>8.6564210286993148</v>
      </c>
      <c r="BI24" s="106">
        <v>3178.6378017383881</v>
      </c>
      <c r="BJ24" s="106">
        <v>8.4388477264601001</v>
      </c>
      <c r="BK24" s="106">
        <v>3098.7448851561485</v>
      </c>
      <c r="BL24" s="106">
        <v>7.0251684572012687</v>
      </c>
      <c r="BM24" s="106">
        <v>2579.641857484306</v>
      </c>
      <c r="BN24" s="106">
        <v>0</v>
      </c>
      <c r="BO24" s="106">
        <v>0</v>
      </c>
      <c r="BP24" s="106">
        <v>1.6503257563823341</v>
      </c>
      <c r="BQ24" s="106">
        <v>605.99961774359303</v>
      </c>
      <c r="BR24" s="106">
        <v>3.4575851032751599</v>
      </c>
      <c r="BS24" s="106">
        <v>1269.6252499226387</v>
      </c>
      <c r="BT24" s="106">
        <v>0</v>
      </c>
      <c r="BU24" s="106">
        <v>0</v>
      </c>
      <c r="BV24" s="106">
        <v>1.1402495226910794</v>
      </c>
      <c r="BW24" s="106">
        <v>418.69962473216435</v>
      </c>
      <c r="BX24" s="106">
        <v>21.97942903383441</v>
      </c>
      <c r="BY24" s="106">
        <v>8070.8463412239953</v>
      </c>
      <c r="BZ24" s="106">
        <v>7.2160002289727236</v>
      </c>
      <c r="CA24" s="106">
        <v>2649.715284078784</v>
      </c>
      <c r="CB24" s="106">
        <v>0</v>
      </c>
      <c r="CC24" s="106">
        <v>0</v>
      </c>
      <c r="CD24" s="106">
        <v>6.1549183606135376</v>
      </c>
      <c r="CE24" s="106">
        <v>2260.0860220172908</v>
      </c>
      <c r="CF24" s="106">
        <v>22.158944152406331</v>
      </c>
      <c r="CG24" s="106">
        <v>8136.7642927636043</v>
      </c>
      <c r="CH24" s="106">
        <v>14.677207370425055</v>
      </c>
      <c r="CI24" s="106">
        <v>5389.4705464200797</v>
      </c>
      <c r="CJ24" s="106">
        <v>0</v>
      </c>
      <c r="CK24" s="106">
        <v>0</v>
      </c>
      <c r="CL24" s="106">
        <v>14.752180417392617</v>
      </c>
      <c r="CM24" s="106">
        <v>5417.0006492665689</v>
      </c>
      <c r="CN24" s="106">
        <v>0</v>
      </c>
      <c r="CO24" s="106">
        <v>0</v>
      </c>
      <c r="CP24" s="106">
        <v>17.892088859077173</v>
      </c>
      <c r="CQ24" s="106">
        <v>6569.9750290531374</v>
      </c>
      <c r="CR24" s="106">
        <v>14.19848311633214</v>
      </c>
      <c r="CS24" s="106">
        <v>5213.6830003171617</v>
      </c>
      <c r="CT24" s="106">
        <v>34.585785228213233</v>
      </c>
      <c r="CU24" s="106">
        <v>12699.900335799899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10.822927078648332</v>
      </c>
      <c r="M25" s="106">
        <v>5740.4805225150749</v>
      </c>
      <c r="N25" s="106">
        <v>5.506525670150153</v>
      </c>
      <c r="O25" s="106">
        <v>2920.6612154476411</v>
      </c>
      <c r="P25" s="106">
        <v>5.4218838284577346</v>
      </c>
      <c r="Q25" s="106">
        <v>2875.7671826139822</v>
      </c>
      <c r="R25" s="106">
        <v>7.6384630881565139</v>
      </c>
      <c r="S25" s="106">
        <v>4051.4408219582147</v>
      </c>
      <c r="T25" s="106">
        <v>0</v>
      </c>
      <c r="U25" s="106">
        <v>0</v>
      </c>
      <c r="V25" s="106">
        <v>9.4442665692764507</v>
      </c>
      <c r="W25" s="106">
        <v>5009.2389883442293</v>
      </c>
      <c r="X25" s="106">
        <v>0</v>
      </c>
      <c r="Y25" s="106">
        <v>0</v>
      </c>
      <c r="Z25" s="106">
        <v>7.528225514188672</v>
      </c>
      <c r="AA25" s="106">
        <v>3992.9708127256713</v>
      </c>
      <c r="AB25" s="106">
        <v>2.2824293283761299</v>
      </c>
      <c r="AC25" s="106">
        <v>1210.6005157706993</v>
      </c>
      <c r="AD25" s="106">
        <v>4.3917704054785371</v>
      </c>
      <c r="AE25" s="106">
        <v>2329.3950230658161</v>
      </c>
      <c r="AF25" s="106">
        <v>1.564082015641586</v>
      </c>
      <c r="AG25" s="106">
        <v>829.58910109629721</v>
      </c>
      <c r="AH25" s="106">
        <v>0</v>
      </c>
      <c r="AI25" s="106">
        <v>0</v>
      </c>
      <c r="AJ25" s="106">
        <v>17.167527873390938</v>
      </c>
      <c r="AK25" s="106">
        <v>9105.6567840465523</v>
      </c>
      <c r="AL25" s="106">
        <v>0</v>
      </c>
      <c r="AM25" s="106">
        <v>0</v>
      </c>
      <c r="AN25" s="106">
        <v>15.033390878585243</v>
      </c>
      <c r="AO25" s="106">
        <v>7973.7105220016119</v>
      </c>
      <c r="AP25" s="106">
        <v>0</v>
      </c>
      <c r="AQ25" s="106">
        <v>0</v>
      </c>
      <c r="AR25" s="106">
        <v>25.591788970398706</v>
      </c>
      <c r="AS25" s="106">
        <v>13573.884869899473</v>
      </c>
      <c r="AT25" s="106">
        <v>0</v>
      </c>
      <c r="AU25" s="106">
        <v>0</v>
      </c>
      <c r="AV25" s="106">
        <v>17.672781327986669</v>
      </c>
      <c r="AW25" s="106">
        <v>9373.6432163641293</v>
      </c>
      <c r="AX25" s="106">
        <v>32.70321214440505</v>
      </c>
      <c r="AY25" s="106">
        <v>17345.783721392439</v>
      </c>
      <c r="AZ25" s="106">
        <v>9.951232315342688</v>
      </c>
      <c r="BA25" s="106">
        <v>5278.1336200577616</v>
      </c>
      <c r="BB25" s="106">
        <v>6.796120630730913</v>
      </c>
      <c r="BC25" s="106">
        <v>3604.6623825396759</v>
      </c>
      <c r="BD25" s="106">
        <v>0</v>
      </c>
      <c r="BE25" s="106">
        <v>0</v>
      </c>
      <c r="BF25" s="106">
        <v>11.522942922203933</v>
      </c>
      <c r="BG25" s="106">
        <v>6111.7689259369663</v>
      </c>
      <c r="BH25" s="106">
        <v>8.5039637085998478</v>
      </c>
      <c r="BI25" s="106">
        <v>4510.5023510413594</v>
      </c>
      <c r="BJ25" s="106">
        <v>8.3697284382883339</v>
      </c>
      <c r="BK25" s="106">
        <v>4439.3039636681324</v>
      </c>
      <c r="BL25" s="106">
        <v>6.4130728649296165</v>
      </c>
      <c r="BM25" s="106">
        <v>3401.4938475586682</v>
      </c>
      <c r="BN25" s="106">
        <v>0</v>
      </c>
      <c r="BO25" s="106">
        <v>0</v>
      </c>
      <c r="BP25" s="106">
        <v>1.4852931807441008</v>
      </c>
      <c r="BQ25" s="106">
        <v>787.79950306667104</v>
      </c>
      <c r="BR25" s="106">
        <v>3.2454511993330115</v>
      </c>
      <c r="BS25" s="106">
        <v>1721.3873161262293</v>
      </c>
      <c r="BT25" s="106">
        <v>0</v>
      </c>
      <c r="BU25" s="106">
        <v>0</v>
      </c>
      <c r="BV25" s="106">
        <v>1.0525380209456119</v>
      </c>
      <c r="BW25" s="106">
        <v>558.26616630955255</v>
      </c>
      <c r="BX25" s="106">
        <v>20.929453117573356</v>
      </c>
      <c r="BY25" s="106">
        <v>11100.981933560908</v>
      </c>
      <c r="BZ25" s="106">
        <v>7.3461186133813765</v>
      </c>
      <c r="CA25" s="106">
        <v>3896.3813125374818</v>
      </c>
      <c r="CB25" s="106">
        <v>0</v>
      </c>
      <c r="CC25" s="106">
        <v>0</v>
      </c>
      <c r="CD25" s="106">
        <v>5.7099845032197871</v>
      </c>
      <c r="CE25" s="106">
        <v>3028.5757805077751</v>
      </c>
      <c r="CF25" s="106">
        <v>17.962240185671359</v>
      </c>
      <c r="CG25" s="106">
        <v>9527.1721944800884</v>
      </c>
      <c r="CH25" s="106">
        <v>14.285666285898266</v>
      </c>
      <c r="CI25" s="106">
        <v>7577.1173980404401</v>
      </c>
      <c r="CJ25" s="106">
        <v>0</v>
      </c>
      <c r="CK25" s="106">
        <v>0</v>
      </c>
      <c r="CL25" s="106">
        <v>13.928036259996382</v>
      </c>
      <c r="CM25" s="106">
        <v>7387.4304323020806</v>
      </c>
      <c r="CN25" s="106">
        <v>0</v>
      </c>
      <c r="CO25" s="106">
        <v>0</v>
      </c>
      <c r="CP25" s="106">
        <v>17.705712933461786</v>
      </c>
      <c r="CQ25" s="106">
        <v>9391.1101399081308</v>
      </c>
      <c r="CR25" s="106">
        <v>12.810013645618405</v>
      </c>
      <c r="CS25" s="106">
        <v>6794.4312376360012</v>
      </c>
      <c r="CT25" s="106">
        <v>34.447737888185692</v>
      </c>
      <c r="CU25" s="106">
        <v>18271.08017589369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10.697079089361724</v>
      </c>
      <c r="M26" s="106">
        <v>5198.7804374297975</v>
      </c>
      <c r="N26" s="106">
        <v>5.9433074103724293</v>
      </c>
      <c r="O26" s="106">
        <v>2888.4474014410007</v>
      </c>
      <c r="P26" s="106">
        <v>6.0390490264129113</v>
      </c>
      <c r="Q26" s="106">
        <v>2934.9778268366749</v>
      </c>
      <c r="R26" s="106">
        <v>7.1188040695101158</v>
      </c>
      <c r="S26" s="106">
        <v>3459.7387777819163</v>
      </c>
      <c r="T26" s="106">
        <v>0</v>
      </c>
      <c r="U26" s="106">
        <v>0</v>
      </c>
      <c r="V26" s="106">
        <v>8.3949036171346236</v>
      </c>
      <c r="W26" s="106">
        <v>4079.9231579274269</v>
      </c>
      <c r="X26" s="106">
        <v>0</v>
      </c>
      <c r="Y26" s="106">
        <v>0</v>
      </c>
      <c r="Z26" s="106">
        <v>7.8555396669794844</v>
      </c>
      <c r="AA26" s="106">
        <v>3817.7922781520292</v>
      </c>
      <c r="AB26" s="106">
        <v>2.2791113776573653</v>
      </c>
      <c r="AC26" s="106">
        <v>1107.6481295414794</v>
      </c>
      <c r="AD26" s="106">
        <v>4.968638235861107</v>
      </c>
      <c r="AE26" s="106">
        <v>2414.7581826284982</v>
      </c>
      <c r="AF26" s="106">
        <v>1.5617614674976887</v>
      </c>
      <c r="AG26" s="106">
        <v>759.01607320387677</v>
      </c>
      <c r="AH26" s="106">
        <v>0</v>
      </c>
      <c r="AI26" s="106">
        <v>0</v>
      </c>
      <c r="AJ26" s="106">
        <v>16.239553393748185</v>
      </c>
      <c r="AK26" s="106">
        <v>7892.4229493616176</v>
      </c>
      <c r="AL26" s="106">
        <v>0</v>
      </c>
      <c r="AM26" s="106">
        <v>0</v>
      </c>
      <c r="AN26" s="106">
        <v>16.26901204668814</v>
      </c>
      <c r="AO26" s="106">
        <v>7906.739854690436</v>
      </c>
      <c r="AP26" s="106">
        <v>0</v>
      </c>
      <c r="AQ26" s="106">
        <v>0</v>
      </c>
      <c r="AR26" s="106">
        <v>30.416470497605019</v>
      </c>
      <c r="AS26" s="106">
        <v>14782.404661836039</v>
      </c>
      <c r="AT26" s="106">
        <v>0</v>
      </c>
      <c r="AU26" s="106">
        <v>0</v>
      </c>
      <c r="AV26" s="106">
        <v>16.125394944430234</v>
      </c>
      <c r="AW26" s="106">
        <v>7836.9419429930931</v>
      </c>
      <c r="AX26" s="106">
        <v>32.698468849282371</v>
      </c>
      <c r="AY26" s="106">
        <v>15891.455860751232</v>
      </c>
      <c r="AZ26" s="106">
        <v>10.01491536944657</v>
      </c>
      <c r="BA26" s="106">
        <v>4867.2488695510328</v>
      </c>
      <c r="BB26" s="106">
        <v>7.1908392804953172</v>
      </c>
      <c r="BC26" s="106">
        <v>3494.7478903207243</v>
      </c>
      <c r="BD26" s="106">
        <v>0</v>
      </c>
      <c r="BE26" s="106">
        <v>0</v>
      </c>
      <c r="BF26" s="106">
        <v>11.522942922203933</v>
      </c>
      <c r="BG26" s="106">
        <v>5600.1502601911116</v>
      </c>
      <c r="BH26" s="106">
        <v>8.5524280723219466</v>
      </c>
      <c r="BI26" s="106">
        <v>4156.4800431484664</v>
      </c>
      <c r="BJ26" s="106">
        <v>8.9189100189714008</v>
      </c>
      <c r="BK26" s="106">
        <v>4334.5902692201007</v>
      </c>
      <c r="BL26" s="106">
        <v>6.4290633681532556</v>
      </c>
      <c r="BM26" s="106">
        <v>3124.5247969224824</v>
      </c>
      <c r="BN26" s="106">
        <v>0</v>
      </c>
      <c r="BO26" s="106">
        <v>0</v>
      </c>
      <c r="BP26" s="106">
        <v>1.5678094685632176</v>
      </c>
      <c r="BQ26" s="106">
        <v>761.95540172172377</v>
      </c>
      <c r="BR26" s="106">
        <v>3.8086344511101151</v>
      </c>
      <c r="BS26" s="106">
        <v>1850.9963432395159</v>
      </c>
      <c r="BT26" s="106">
        <v>0</v>
      </c>
      <c r="BU26" s="106">
        <v>0</v>
      </c>
      <c r="BV26" s="106">
        <v>1.1402495226910794</v>
      </c>
      <c r="BW26" s="106">
        <v>554.16126802786459</v>
      </c>
      <c r="BX26" s="106">
        <v>22.157547032877325</v>
      </c>
      <c r="BY26" s="106">
        <v>10768.56785797838</v>
      </c>
      <c r="BZ26" s="106">
        <v>6.6487775960989621</v>
      </c>
      <c r="CA26" s="106">
        <v>3231.3059117040957</v>
      </c>
      <c r="CB26" s="106">
        <v>0</v>
      </c>
      <c r="CC26" s="106">
        <v>0</v>
      </c>
      <c r="CD26" s="106">
        <v>6.0807627177145802</v>
      </c>
      <c r="CE26" s="106">
        <v>2955.2506808092858</v>
      </c>
      <c r="CF26" s="106">
        <v>19.735777925172776</v>
      </c>
      <c r="CG26" s="106">
        <v>9591.5880716339689</v>
      </c>
      <c r="CH26" s="106">
        <v>12.581662670377137</v>
      </c>
      <c r="CI26" s="106">
        <v>6114.6880578032888</v>
      </c>
      <c r="CJ26" s="106">
        <v>0</v>
      </c>
      <c r="CK26" s="106">
        <v>0</v>
      </c>
      <c r="CL26" s="106">
        <v>14.010450675736006</v>
      </c>
      <c r="CM26" s="106">
        <v>6809.0790284076993</v>
      </c>
      <c r="CN26" s="106">
        <v>0</v>
      </c>
      <c r="CO26" s="106">
        <v>0</v>
      </c>
      <c r="CP26" s="106">
        <v>16.401081454154074</v>
      </c>
      <c r="CQ26" s="106">
        <v>7970.9255867188804</v>
      </c>
      <c r="CR26" s="106">
        <v>14.964110917290775</v>
      </c>
      <c r="CS26" s="106">
        <v>7272.5579058033163</v>
      </c>
      <c r="CT26" s="106">
        <v>38.881506978841983</v>
      </c>
      <c r="CU26" s="106">
        <v>18896.412391717204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12.081406971514419</v>
      </c>
      <c r="M27" s="106">
        <v>5161.1770582309591</v>
      </c>
      <c r="N27" s="106">
        <v>6.0406845146357169</v>
      </c>
      <c r="O27" s="106">
        <v>2580.580424652378</v>
      </c>
      <c r="P27" s="106">
        <v>5.3689609010889985</v>
      </c>
      <c r="Q27" s="106">
        <v>2293.6200969452202</v>
      </c>
      <c r="R27" s="106">
        <v>7.6945042635367127</v>
      </c>
      <c r="S27" s="106">
        <v>3287.0922213828835</v>
      </c>
      <c r="T27" s="106">
        <v>0</v>
      </c>
      <c r="U27" s="106">
        <v>0</v>
      </c>
      <c r="V27" s="106">
        <v>9.0944789185625101</v>
      </c>
      <c r="W27" s="106">
        <v>3885.1613940099041</v>
      </c>
      <c r="X27" s="106">
        <v>0</v>
      </c>
      <c r="Y27" s="106">
        <v>0</v>
      </c>
      <c r="Z27" s="106">
        <v>7.8555396669794844</v>
      </c>
      <c r="AA27" s="106">
        <v>3355.8865457336356</v>
      </c>
      <c r="AB27" s="106">
        <v>2.3806230884215447</v>
      </c>
      <c r="AC27" s="106">
        <v>1017.0021833736838</v>
      </c>
      <c r="AD27" s="106">
        <v>4.229102710368541</v>
      </c>
      <c r="AE27" s="106">
        <v>1806.6726778694406</v>
      </c>
      <c r="AF27" s="106">
        <v>1.5828904281735401</v>
      </c>
      <c r="AG27" s="106">
        <v>676.21079091573631</v>
      </c>
      <c r="AH27" s="106">
        <v>0</v>
      </c>
      <c r="AI27" s="106">
        <v>0</v>
      </c>
      <c r="AJ27" s="106">
        <v>18.559489592855069</v>
      </c>
      <c r="AK27" s="106">
        <v>7928.613954067685</v>
      </c>
      <c r="AL27" s="106">
        <v>0</v>
      </c>
      <c r="AM27" s="106">
        <v>0</v>
      </c>
      <c r="AN27" s="106">
        <v>17.092759492090071</v>
      </c>
      <c r="AO27" s="106">
        <v>7302.0268550208784</v>
      </c>
      <c r="AP27" s="106">
        <v>0</v>
      </c>
      <c r="AQ27" s="106">
        <v>0</v>
      </c>
      <c r="AR27" s="106">
        <v>29.15785792529033</v>
      </c>
      <c r="AS27" s="106">
        <v>12456.236905684029</v>
      </c>
      <c r="AT27" s="106">
        <v>0</v>
      </c>
      <c r="AU27" s="106">
        <v>0</v>
      </c>
      <c r="AV27" s="106">
        <v>17.021250219120802</v>
      </c>
      <c r="AW27" s="106">
        <v>7271.4780936084062</v>
      </c>
      <c r="AX27" s="106">
        <v>38.8377871591942</v>
      </c>
      <c r="AY27" s="106">
        <v>16591.502674407762</v>
      </c>
      <c r="AZ27" s="106">
        <v>9.6552413630017728</v>
      </c>
      <c r="BA27" s="106">
        <v>4124.7191102743573</v>
      </c>
      <c r="BB27" s="106">
        <v>7.1595065204850803</v>
      </c>
      <c r="BC27" s="106">
        <v>3058.5411855512261</v>
      </c>
      <c r="BD27" s="106">
        <v>0</v>
      </c>
      <c r="BE27" s="106">
        <v>0</v>
      </c>
      <c r="BF27" s="106">
        <v>12.200763094098281</v>
      </c>
      <c r="BG27" s="106">
        <v>5212.1659937987861</v>
      </c>
      <c r="BH27" s="106">
        <v>8.050110488272546</v>
      </c>
      <c r="BI27" s="106">
        <v>3439.0072005900315</v>
      </c>
      <c r="BJ27" s="106">
        <v>8.6629415982174311</v>
      </c>
      <c r="BK27" s="106">
        <v>3700.8086507584867</v>
      </c>
      <c r="BL27" s="106">
        <v>6.9348155412963299</v>
      </c>
      <c r="BM27" s="106">
        <v>2962.5531992417918</v>
      </c>
      <c r="BN27" s="106">
        <v>0</v>
      </c>
      <c r="BO27" s="106">
        <v>0</v>
      </c>
      <c r="BP27" s="106">
        <v>1.5678094685632176</v>
      </c>
      <c r="BQ27" s="106">
        <v>669.76820497020651</v>
      </c>
      <c r="BR27" s="106">
        <v>3.5036382719425769</v>
      </c>
      <c r="BS27" s="106">
        <v>1496.7542697738688</v>
      </c>
      <c r="BT27" s="106">
        <v>0</v>
      </c>
      <c r="BU27" s="106">
        <v>0</v>
      </c>
      <c r="BV27" s="106">
        <v>1.0525380209456119</v>
      </c>
      <c r="BW27" s="106">
        <v>449.6442425479654</v>
      </c>
      <c r="BX27" s="106">
        <v>21.933186589054948</v>
      </c>
      <c r="BY27" s="106">
        <v>9369.8573108442743</v>
      </c>
      <c r="BZ27" s="106">
        <v>7.8584339838406372</v>
      </c>
      <c r="CA27" s="106">
        <v>3357.1229978967203</v>
      </c>
      <c r="CB27" s="106">
        <v>0</v>
      </c>
      <c r="CC27" s="106">
        <v>0</v>
      </c>
      <c r="CD27" s="106">
        <v>6.1549183606135376</v>
      </c>
      <c r="CE27" s="106">
        <v>2629.3811236541032</v>
      </c>
      <c r="CF27" s="106">
        <v>20.347707044727162</v>
      </c>
      <c r="CG27" s="106">
        <v>8692.5404495074436</v>
      </c>
      <c r="CH27" s="106">
        <v>14.438916383743097</v>
      </c>
      <c r="CI27" s="106">
        <v>6168.3050791350506</v>
      </c>
      <c r="CJ27" s="106">
        <v>0</v>
      </c>
      <c r="CK27" s="106">
        <v>0</v>
      </c>
      <c r="CL27" s="106">
        <v>14.504937170173749</v>
      </c>
      <c r="CM27" s="106">
        <v>6196.5091590982256</v>
      </c>
      <c r="CN27" s="106">
        <v>0</v>
      </c>
      <c r="CO27" s="106">
        <v>0</v>
      </c>
      <c r="CP27" s="106">
        <v>17.332961082231012</v>
      </c>
      <c r="CQ27" s="106">
        <v>7404.6409743290878</v>
      </c>
      <c r="CR27" s="106">
        <v>15.201895475707856</v>
      </c>
      <c r="CS27" s="106">
        <v>6494.2497472223959</v>
      </c>
      <c r="CT27" s="106">
        <v>33.46242384874872</v>
      </c>
      <c r="CU27" s="106">
        <v>14295.147468185452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10.319535121501898</v>
      </c>
      <c r="M28" s="106">
        <v>7615.8169196684012</v>
      </c>
      <c r="N28" s="106">
        <v>5.3256375956918873</v>
      </c>
      <c r="O28" s="106">
        <v>3930.3205456206128</v>
      </c>
      <c r="P28" s="106">
        <v>4.9714954945665619</v>
      </c>
      <c r="Q28" s="106">
        <v>3668.9636749901229</v>
      </c>
      <c r="R28" s="106">
        <v>6.9211856052586942</v>
      </c>
      <c r="S28" s="106">
        <v>5107.834976680916</v>
      </c>
      <c r="T28" s="106">
        <v>0</v>
      </c>
      <c r="U28" s="106">
        <v>0</v>
      </c>
      <c r="V28" s="106">
        <v>8.744691267848566</v>
      </c>
      <c r="W28" s="106">
        <v>6453.5821556722422</v>
      </c>
      <c r="X28" s="106">
        <v>0</v>
      </c>
      <c r="Y28" s="106">
        <v>0</v>
      </c>
      <c r="Z28" s="106">
        <v>7.528225514188672</v>
      </c>
      <c r="AA28" s="106">
        <v>5555.8304294712398</v>
      </c>
      <c r="AB28" s="106">
        <v>1.933687731142995</v>
      </c>
      <c r="AC28" s="106">
        <v>1427.0615455835302</v>
      </c>
      <c r="AD28" s="106">
        <v>4.7904354179774185</v>
      </c>
      <c r="AE28" s="106">
        <v>3535.3413384673349</v>
      </c>
      <c r="AF28" s="106">
        <v>1.6796273649357276</v>
      </c>
      <c r="AG28" s="106">
        <v>1239.564995322567</v>
      </c>
      <c r="AH28" s="106">
        <v>0</v>
      </c>
      <c r="AI28" s="106">
        <v>0</v>
      </c>
      <c r="AJ28" s="106">
        <v>17.631515113212316</v>
      </c>
      <c r="AK28" s="106">
        <v>13012.05815355069</v>
      </c>
      <c r="AL28" s="106">
        <v>0</v>
      </c>
      <c r="AM28" s="106">
        <v>0</v>
      </c>
      <c r="AN28" s="106">
        <v>15.445264601286208</v>
      </c>
      <c r="AO28" s="106">
        <v>11398.605275749222</v>
      </c>
      <c r="AP28" s="106">
        <v>0</v>
      </c>
      <c r="AQ28" s="106">
        <v>0</v>
      </c>
      <c r="AR28" s="106">
        <v>24.962482684241362</v>
      </c>
      <c r="AS28" s="106">
        <v>18422.312220970125</v>
      </c>
      <c r="AT28" s="106">
        <v>0</v>
      </c>
      <c r="AU28" s="106">
        <v>0</v>
      </c>
      <c r="AV28" s="106">
        <v>15.799629389997298</v>
      </c>
      <c r="AW28" s="106">
        <v>11660.126489818005</v>
      </c>
      <c r="AX28" s="106">
        <v>34.305959512663748</v>
      </c>
      <c r="AY28" s="106">
        <v>25317.798120345844</v>
      </c>
      <c r="AZ28" s="106">
        <v>10.305968100294445</v>
      </c>
      <c r="BA28" s="106">
        <v>7605.8044580173</v>
      </c>
      <c r="BB28" s="106">
        <v>7.1873210257590667</v>
      </c>
      <c r="BC28" s="106">
        <v>5304.2429170101914</v>
      </c>
      <c r="BD28" s="106">
        <v>0</v>
      </c>
      <c r="BE28" s="106">
        <v>0</v>
      </c>
      <c r="BF28" s="106">
        <v>10.167302578415235</v>
      </c>
      <c r="BG28" s="106">
        <v>7503.4693028704432</v>
      </c>
      <c r="BH28" s="106">
        <v>8.3078764200690163</v>
      </c>
      <c r="BI28" s="106">
        <v>6131.2127980109344</v>
      </c>
      <c r="BJ28" s="106">
        <v>7.2892591672102354</v>
      </c>
      <c r="BK28" s="106">
        <v>5379.4732654011541</v>
      </c>
      <c r="BL28" s="106">
        <v>5.9020795772378616</v>
      </c>
      <c r="BM28" s="106">
        <v>4355.734728001542</v>
      </c>
      <c r="BN28" s="106">
        <v>0</v>
      </c>
      <c r="BO28" s="106">
        <v>0</v>
      </c>
      <c r="BP28" s="106">
        <v>1.7328420442014509</v>
      </c>
      <c r="BQ28" s="106">
        <v>1278.8374286206708</v>
      </c>
      <c r="BR28" s="106">
        <v>3.4140748000633341</v>
      </c>
      <c r="BS28" s="106">
        <v>2519.5872024467408</v>
      </c>
      <c r="BT28" s="106">
        <v>0</v>
      </c>
      <c r="BU28" s="106">
        <v>0</v>
      </c>
      <c r="BV28" s="106">
        <v>1.0525380209456119</v>
      </c>
      <c r="BW28" s="106">
        <v>776.77305945786156</v>
      </c>
      <c r="BX28" s="106">
        <v>18.07537580926461</v>
      </c>
      <c r="BY28" s="106">
        <v>13339.627347237283</v>
      </c>
      <c r="BZ28" s="106">
        <v>5.9590138554636782</v>
      </c>
      <c r="CA28" s="106">
        <v>4397.7522253321949</v>
      </c>
      <c r="CB28" s="106">
        <v>0</v>
      </c>
      <c r="CC28" s="106">
        <v>0</v>
      </c>
      <c r="CD28" s="106">
        <v>5.1908950029270802</v>
      </c>
      <c r="CE28" s="106">
        <v>3830.8805121601854</v>
      </c>
      <c r="CF28" s="106">
        <v>17.650204892818927</v>
      </c>
      <c r="CG28" s="106">
        <v>13025.851210900368</v>
      </c>
      <c r="CH28" s="106">
        <v>11.963555491036535</v>
      </c>
      <c r="CI28" s="106">
        <v>8829.1039523849631</v>
      </c>
      <c r="CJ28" s="106">
        <v>0</v>
      </c>
      <c r="CK28" s="106">
        <v>0</v>
      </c>
      <c r="CL28" s="106">
        <v>12.774234439641653</v>
      </c>
      <c r="CM28" s="106">
        <v>9427.3850164555406</v>
      </c>
      <c r="CN28" s="106">
        <v>0</v>
      </c>
      <c r="CO28" s="106">
        <v>0</v>
      </c>
      <c r="CP28" s="106">
        <v>17.146585156615625</v>
      </c>
      <c r="CQ28" s="106">
        <v>12654.179845582332</v>
      </c>
      <c r="CR28" s="106">
        <v>13.319422940093229</v>
      </c>
      <c r="CS28" s="106">
        <v>9829.7341297888033</v>
      </c>
      <c r="CT28" s="106">
        <v>36.625581063911092</v>
      </c>
      <c r="CU28" s="106">
        <v>27029.678825166386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11.829710992941202</v>
      </c>
      <c r="M29" s="106">
        <v>4003.1742000113022</v>
      </c>
      <c r="N29" s="106">
        <v>5.8597349536780845</v>
      </c>
      <c r="O29" s="106">
        <v>1982.9343083246636</v>
      </c>
      <c r="P29" s="106">
        <v>5.6496700381060734</v>
      </c>
      <c r="Q29" s="106">
        <v>1911.8483408950951</v>
      </c>
      <c r="R29" s="106">
        <v>7.6509488237986263</v>
      </c>
      <c r="S29" s="106">
        <v>2589.0810819734552</v>
      </c>
      <c r="T29" s="106">
        <v>0</v>
      </c>
      <c r="U29" s="106">
        <v>0</v>
      </c>
      <c r="V29" s="106">
        <v>9.0944789185625101</v>
      </c>
      <c r="W29" s="106">
        <v>3077.5716660415533</v>
      </c>
      <c r="X29" s="106">
        <v>0</v>
      </c>
      <c r="Y29" s="106">
        <v>0</v>
      </c>
      <c r="Z29" s="106">
        <v>8.5101679725611081</v>
      </c>
      <c r="AA29" s="106">
        <v>2879.840841914679</v>
      </c>
      <c r="AB29" s="106">
        <v>2.2056992980185166</v>
      </c>
      <c r="AC29" s="106">
        <v>746.40864244946602</v>
      </c>
      <c r="AD29" s="106">
        <v>5.1765990058961737</v>
      </c>
      <c r="AE29" s="106">
        <v>1751.761103595265</v>
      </c>
      <c r="AF29" s="106">
        <v>1.5893651339581936</v>
      </c>
      <c r="AG29" s="106">
        <v>537.84116133145267</v>
      </c>
      <c r="AH29" s="106">
        <v>0</v>
      </c>
      <c r="AI29" s="106">
        <v>0</v>
      </c>
      <c r="AJ29" s="106">
        <v>19.487464072497822</v>
      </c>
      <c r="AK29" s="106">
        <v>6594.557842133263</v>
      </c>
      <c r="AL29" s="106">
        <v>0</v>
      </c>
      <c r="AM29" s="106">
        <v>0</v>
      </c>
      <c r="AN29" s="106">
        <v>15.239327739935726</v>
      </c>
      <c r="AO29" s="106">
        <v>5156.988507194249</v>
      </c>
      <c r="AP29" s="106">
        <v>0</v>
      </c>
      <c r="AQ29" s="106">
        <v>0</v>
      </c>
      <c r="AR29" s="106">
        <v>29.367626687342778</v>
      </c>
      <c r="AS29" s="106">
        <v>9938.0048709967959</v>
      </c>
      <c r="AT29" s="106">
        <v>0</v>
      </c>
      <c r="AU29" s="106">
        <v>0</v>
      </c>
      <c r="AV29" s="106">
        <v>18.242871048244304</v>
      </c>
      <c r="AW29" s="106">
        <v>6173.3875627258722</v>
      </c>
      <c r="AX29" s="106">
        <v>36.110285299079486</v>
      </c>
      <c r="AY29" s="106">
        <v>12219.720545208496</v>
      </c>
      <c r="AZ29" s="106">
        <v>10.936154021226338</v>
      </c>
      <c r="BA29" s="106">
        <v>3700.7945207829925</v>
      </c>
      <c r="BB29" s="106">
        <v>6.8484819971476485</v>
      </c>
      <c r="BC29" s="106">
        <v>2317.5263078347639</v>
      </c>
      <c r="BD29" s="106">
        <v>0</v>
      </c>
      <c r="BE29" s="106">
        <v>0</v>
      </c>
      <c r="BF29" s="106">
        <v>12.200763094098281</v>
      </c>
      <c r="BG29" s="106">
        <v>4128.7382310428584</v>
      </c>
      <c r="BH29" s="106">
        <v>8.7546654114631455</v>
      </c>
      <c r="BI29" s="106">
        <v>2962.5787752391284</v>
      </c>
      <c r="BJ29" s="106">
        <v>9.0281518399637068</v>
      </c>
      <c r="BK29" s="106">
        <v>3055.1265826437184</v>
      </c>
      <c r="BL29" s="106">
        <v>6.512589993049076</v>
      </c>
      <c r="BM29" s="106">
        <v>2203.8604536478074</v>
      </c>
      <c r="BN29" s="106">
        <v>0</v>
      </c>
      <c r="BO29" s="106">
        <v>0</v>
      </c>
      <c r="BP29" s="106">
        <v>1.6503257563823341</v>
      </c>
      <c r="BQ29" s="106">
        <v>558.4702359597818</v>
      </c>
      <c r="BR29" s="106">
        <v>3.6357582881561807</v>
      </c>
      <c r="BS29" s="106">
        <v>1230.3406047120516</v>
      </c>
      <c r="BT29" s="106">
        <v>0</v>
      </c>
      <c r="BU29" s="106">
        <v>0</v>
      </c>
      <c r="BV29" s="106">
        <v>1.2279610244365471</v>
      </c>
      <c r="BW29" s="106">
        <v>415.54201066932751</v>
      </c>
      <c r="BX29" s="106">
        <v>21.715401811907256</v>
      </c>
      <c r="BY29" s="106">
        <v>7348.4919731494147</v>
      </c>
      <c r="BZ29" s="106">
        <v>8.0316978057480135</v>
      </c>
      <c r="CA29" s="106">
        <v>2717.9265374651277</v>
      </c>
      <c r="CB29" s="106">
        <v>0</v>
      </c>
      <c r="CC29" s="106">
        <v>0</v>
      </c>
      <c r="CD29" s="106">
        <v>6.7481635038052037</v>
      </c>
      <c r="CE29" s="106">
        <v>2283.5785296876807</v>
      </c>
      <c r="CF29" s="106">
        <v>22.762179378592929</v>
      </c>
      <c r="CG29" s="106">
        <v>7702.7215017158469</v>
      </c>
      <c r="CH29" s="106">
        <v>15.475344149033829</v>
      </c>
      <c r="CI29" s="106">
        <v>5236.8564600330474</v>
      </c>
      <c r="CJ29" s="106">
        <v>0</v>
      </c>
      <c r="CK29" s="106">
        <v>0</v>
      </c>
      <c r="CL29" s="106">
        <v>15.493910159049232</v>
      </c>
      <c r="CM29" s="106">
        <v>5243.13919782226</v>
      </c>
      <c r="CN29" s="106">
        <v>0</v>
      </c>
      <c r="CO29" s="106">
        <v>0</v>
      </c>
      <c r="CP29" s="106">
        <v>17.332961082231012</v>
      </c>
      <c r="CQ29" s="106">
        <v>5865.4740302269738</v>
      </c>
      <c r="CR29" s="106">
        <v>13.959447611695223</v>
      </c>
      <c r="CS29" s="106">
        <v>4723.8770717976631</v>
      </c>
      <c r="CT29" s="106">
        <v>41.6162851794886</v>
      </c>
      <c r="CU29" s="106">
        <v>14082.950904738942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12.458950939374244</v>
      </c>
      <c r="M30" s="106">
        <v>1734.2859707608945</v>
      </c>
      <c r="N30" s="106">
        <v>6.724366174634822</v>
      </c>
      <c r="O30" s="106">
        <v>936.03177150916713</v>
      </c>
      <c r="P30" s="106">
        <v>6.7799240912747614</v>
      </c>
      <c r="Q30" s="106">
        <v>943.76543350544671</v>
      </c>
      <c r="R30" s="106">
        <v>8.9361762643763338</v>
      </c>
      <c r="S30" s="106">
        <v>1243.9157360011857</v>
      </c>
      <c r="T30" s="106">
        <v>0</v>
      </c>
      <c r="U30" s="106">
        <v>0</v>
      </c>
      <c r="V30" s="106">
        <v>9.4442665692764507</v>
      </c>
      <c r="W30" s="106">
        <v>1314.6419064432819</v>
      </c>
      <c r="X30" s="106">
        <v>0</v>
      </c>
      <c r="Y30" s="106">
        <v>0</v>
      </c>
      <c r="Z30" s="106">
        <v>7.8555396669794844</v>
      </c>
      <c r="AA30" s="106">
        <v>1093.4911216435441</v>
      </c>
      <c r="AB30" s="106">
        <v>2.3336516645486443</v>
      </c>
      <c r="AC30" s="106">
        <v>324.84431170517126</v>
      </c>
      <c r="AD30" s="106">
        <v>4.6273373716680331</v>
      </c>
      <c r="AE30" s="106">
        <v>644.12536213619012</v>
      </c>
      <c r="AF30" s="106">
        <v>1.7016040852479761</v>
      </c>
      <c r="AG30" s="106">
        <v>236.86328866651826</v>
      </c>
      <c r="AH30" s="106">
        <v>0</v>
      </c>
      <c r="AI30" s="106">
        <v>0</v>
      </c>
      <c r="AJ30" s="106">
        <v>19.9514513123192</v>
      </c>
      <c r="AK30" s="106">
        <v>2777.2420226748322</v>
      </c>
      <c r="AL30" s="106">
        <v>0</v>
      </c>
      <c r="AM30" s="106">
        <v>0</v>
      </c>
      <c r="AN30" s="106">
        <v>16.063075185337656</v>
      </c>
      <c r="AO30" s="106">
        <v>2235.9800657990013</v>
      </c>
      <c r="AP30" s="106">
        <v>0</v>
      </c>
      <c r="AQ30" s="106">
        <v>0</v>
      </c>
      <c r="AR30" s="106">
        <v>34.821614500706431</v>
      </c>
      <c r="AS30" s="106">
        <v>4847.1687384983352</v>
      </c>
      <c r="AT30" s="106">
        <v>0</v>
      </c>
      <c r="AU30" s="106">
        <v>0</v>
      </c>
      <c r="AV30" s="106">
        <v>19.708816043192506</v>
      </c>
      <c r="AW30" s="106">
        <v>2743.4671932123965</v>
      </c>
      <c r="AX30" s="106">
        <v>38.4536035033708</v>
      </c>
      <c r="AY30" s="106">
        <v>5352.7416076692152</v>
      </c>
      <c r="AZ30" s="106">
        <v>10.963147221868738</v>
      </c>
      <c r="BA30" s="106">
        <v>1526.0700932841282</v>
      </c>
      <c r="BB30" s="106">
        <v>6.4910895055909021</v>
      </c>
      <c r="BC30" s="106">
        <v>903.55965917825347</v>
      </c>
      <c r="BD30" s="106">
        <v>0</v>
      </c>
      <c r="BE30" s="106">
        <v>0</v>
      </c>
      <c r="BF30" s="106">
        <v>11.522942922203933</v>
      </c>
      <c r="BG30" s="106">
        <v>1603.9936547707873</v>
      </c>
      <c r="BH30" s="106">
        <v>10.074454843248448</v>
      </c>
      <c r="BI30" s="106">
        <v>1402.3641141801838</v>
      </c>
      <c r="BJ30" s="106">
        <v>9.0263993578550377</v>
      </c>
      <c r="BK30" s="106">
        <v>1256.4747906134212</v>
      </c>
      <c r="BL30" s="106">
        <v>7.8125900281148759</v>
      </c>
      <c r="BM30" s="106">
        <v>1087.5125319135907</v>
      </c>
      <c r="BN30" s="106">
        <v>0</v>
      </c>
      <c r="BO30" s="106">
        <v>0</v>
      </c>
      <c r="BP30" s="106">
        <v>1.9803909076588009</v>
      </c>
      <c r="BQ30" s="106">
        <v>275.67041434610508</v>
      </c>
      <c r="BR30" s="106">
        <v>3.6943949932240896</v>
      </c>
      <c r="BS30" s="106">
        <v>514.25978305679325</v>
      </c>
      <c r="BT30" s="106">
        <v>0</v>
      </c>
      <c r="BU30" s="106">
        <v>0</v>
      </c>
      <c r="BV30" s="106">
        <v>1.3156725261820148</v>
      </c>
      <c r="BW30" s="106">
        <v>183.14161564453644</v>
      </c>
      <c r="BX30" s="106">
        <v>23.047454729988971</v>
      </c>
      <c r="BY30" s="106">
        <v>3208.2056984144647</v>
      </c>
      <c r="BZ30" s="106">
        <v>7.3143955782744916</v>
      </c>
      <c r="CA30" s="106">
        <v>1018.1638644958091</v>
      </c>
      <c r="CB30" s="106">
        <v>0</v>
      </c>
      <c r="CC30" s="106">
        <v>0</v>
      </c>
      <c r="CD30" s="106">
        <v>6.6740078609062463</v>
      </c>
      <c r="CE30" s="106">
        <v>929.02189423814946</v>
      </c>
      <c r="CF30" s="106">
        <v>20.951238003080519</v>
      </c>
      <c r="CG30" s="106">
        <v>2916.4123300288079</v>
      </c>
      <c r="CH30" s="106">
        <v>16.091892621682728</v>
      </c>
      <c r="CI30" s="106">
        <v>2239.9914529382354</v>
      </c>
      <c r="CJ30" s="106">
        <v>0</v>
      </c>
      <c r="CK30" s="106">
        <v>0</v>
      </c>
      <c r="CL30" s="106">
        <v>15.823567822007726</v>
      </c>
      <c r="CM30" s="106">
        <v>2202.6406408234752</v>
      </c>
      <c r="CN30" s="106">
        <v>0</v>
      </c>
      <c r="CO30" s="106">
        <v>0</v>
      </c>
      <c r="CP30" s="106">
        <v>20.314975892077211</v>
      </c>
      <c r="CQ30" s="106">
        <v>2827.8446441771475</v>
      </c>
      <c r="CR30" s="106">
        <v>14.412707996759334</v>
      </c>
      <c r="CS30" s="106">
        <v>2006.2489531488991</v>
      </c>
      <c r="CT30" s="106">
        <v>42.748849714954957</v>
      </c>
      <c r="CU30" s="106">
        <v>5950.6398803217298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11.95555898222781</v>
      </c>
      <c r="M31" s="106">
        <v>4074.4545011432378</v>
      </c>
      <c r="N31" s="106">
        <v>5.425869146785713</v>
      </c>
      <c r="O31" s="106">
        <v>1849.1362052245711</v>
      </c>
      <c r="P31" s="106">
        <v>5.4275218204432223</v>
      </c>
      <c r="Q31" s="106">
        <v>1849.6994364070501</v>
      </c>
      <c r="R31" s="106">
        <v>8.3317712896212441</v>
      </c>
      <c r="S31" s="106">
        <v>2839.46765550292</v>
      </c>
      <c r="T31" s="106">
        <v>0</v>
      </c>
      <c r="U31" s="106">
        <v>0</v>
      </c>
      <c r="V31" s="106">
        <v>9.0944789185625101</v>
      </c>
      <c r="W31" s="106">
        <v>3099.3984154461036</v>
      </c>
      <c r="X31" s="106">
        <v>0</v>
      </c>
      <c r="Y31" s="106">
        <v>0</v>
      </c>
      <c r="Z31" s="106">
        <v>8.8374821253519187</v>
      </c>
      <c r="AA31" s="106">
        <v>3011.8139083199339</v>
      </c>
      <c r="AB31" s="106">
        <v>2.3967755475016146</v>
      </c>
      <c r="AC31" s="106">
        <v>816.82110658855026</v>
      </c>
      <c r="AD31" s="106">
        <v>4.6005918779123807</v>
      </c>
      <c r="AE31" s="106">
        <v>1567.8817119925393</v>
      </c>
      <c r="AF31" s="106">
        <v>1.6275172042229462</v>
      </c>
      <c r="AG31" s="106">
        <v>554.65786319918004</v>
      </c>
      <c r="AH31" s="106">
        <v>0</v>
      </c>
      <c r="AI31" s="106">
        <v>0</v>
      </c>
      <c r="AJ31" s="106">
        <v>19.255470452587133</v>
      </c>
      <c r="AK31" s="106">
        <v>6562.2643302416955</v>
      </c>
      <c r="AL31" s="106">
        <v>0</v>
      </c>
      <c r="AM31" s="106">
        <v>0</v>
      </c>
      <c r="AN31" s="106">
        <v>15.445264601286208</v>
      </c>
      <c r="AO31" s="106">
        <v>5263.7461761183404</v>
      </c>
      <c r="AP31" s="106">
        <v>0</v>
      </c>
      <c r="AQ31" s="106">
        <v>0</v>
      </c>
      <c r="AR31" s="106">
        <v>31.045776783762363</v>
      </c>
      <c r="AS31" s="106">
        <v>10580.400727906213</v>
      </c>
      <c r="AT31" s="106">
        <v>0</v>
      </c>
      <c r="AU31" s="106">
        <v>0</v>
      </c>
      <c r="AV31" s="106">
        <v>17.835664105203133</v>
      </c>
      <c r="AW31" s="106">
        <v>6078.3943270532282</v>
      </c>
      <c r="AX31" s="106">
        <v>38.232482453909903</v>
      </c>
      <c r="AY31" s="106">
        <v>13029.630020292496</v>
      </c>
      <c r="AZ31" s="106">
        <v>9.4665251428616557</v>
      </c>
      <c r="BA31" s="106">
        <v>3226.1917686872525</v>
      </c>
      <c r="BB31" s="106">
        <v>6.5166834002947303</v>
      </c>
      <c r="BC31" s="106">
        <v>2220.8857028204443</v>
      </c>
      <c r="BD31" s="106">
        <v>0</v>
      </c>
      <c r="BE31" s="106">
        <v>0</v>
      </c>
      <c r="BF31" s="106">
        <v>12.200763094098281</v>
      </c>
      <c r="BG31" s="106">
        <v>4158.0200624686941</v>
      </c>
      <c r="BH31" s="106">
        <v>8.0290202445494856</v>
      </c>
      <c r="BI31" s="106">
        <v>2736.2900993424646</v>
      </c>
      <c r="BJ31" s="106">
        <v>8.0623386288469021</v>
      </c>
      <c r="BK31" s="106">
        <v>2747.6450047110243</v>
      </c>
      <c r="BL31" s="106">
        <v>7.6276836214006636</v>
      </c>
      <c r="BM31" s="106">
        <v>2599.5145781733463</v>
      </c>
      <c r="BN31" s="106">
        <v>0</v>
      </c>
      <c r="BO31" s="106">
        <v>0</v>
      </c>
      <c r="BP31" s="106">
        <v>1.8153583320205675</v>
      </c>
      <c r="BQ31" s="106">
        <v>618.67411955260945</v>
      </c>
      <c r="BR31" s="106">
        <v>3.3864854519966539</v>
      </c>
      <c r="BS31" s="106">
        <v>1154.1142420404597</v>
      </c>
      <c r="BT31" s="106">
        <v>0</v>
      </c>
      <c r="BU31" s="106">
        <v>0</v>
      </c>
      <c r="BV31" s="106">
        <v>1.2279610244365471</v>
      </c>
      <c r="BW31" s="106">
        <v>418.48911712797525</v>
      </c>
      <c r="BX31" s="106">
        <v>20.449594452029292</v>
      </c>
      <c r="BY31" s="106">
        <v>6969.2217892515828</v>
      </c>
      <c r="BZ31" s="106">
        <v>7.886076878927736</v>
      </c>
      <c r="CA31" s="106">
        <v>2687.5750003385724</v>
      </c>
      <c r="CB31" s="106">
        <v>0</v>
      </c>
      <c r="CC31" s="106">
        <v>0</v>
      </c>
      <c r="CD31" s="106">
        <v>6.0807627177145802</v>
      </c>
      <c r="CE31" s="106">
        <v>2072.3239341971289</v>
      </c>
      <c r="CF31" s="106">
        <v>21.532571441880318</v>
      </c>
      <c r="CG31" s="106">
        <v>7338.3003473928129</v>
      </c>
      <c r="CH31" s="106">
        <v>15.613547544760182</v>
      </c>
      <c r="CI31" s="106">
        <v>5321.09700325427</v>
      </c>
      <c r="CJ31" s="106">
        <v>0</v>
      </c>
      <c r="CK31" s="106">
        <v>0</v>
      </c>
      <c r="CL31" s="106">
        <v>16.565297563664338</v>
      </c>
      <c r="CM31" s="106">
        <v>5645.4534096968064</v>
      </c>
      <c r="CN31" s="106">
        <v>0</v>
      </c>
      <c r="CO31" s="106">
        <v>0</v>
      </c>
      <c r="CP31" s="106">
        <v>17.332961082231012</v>
      </c>
      <c r="CQ31" s="106">
        <v>5907.0731368243296</v>
      </c>
      <c r="CR31" s="106">
        <v>15.236872290985163</v>
      </c>
      <c r="CS31" s="106">
        <v>5192.7260767677435</v>
      </c>
      <c r="CT31" s="106">
        <v>40.580497868851644</v>
      </c>
      <c r="CU31" s="106">
        <v>13829.833673704641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9.4385991964956393</v>
      </c>
      <c r="M32" s="106">
        <v>7928.4233250563366</v>
      </c>
      <c r="N32" s="106">
        <v>4.9683423728975944</v>
      </c>
      <c r="O32" s="106">
        <v>4173.4075932339792</v>
      </c>
      <c r="P32" s="106">
        <v>5.0709622177932836</v>
      </c>
      <c r="Q32" s="106">
        <v>4259.6082629463581</v>
      </c>
      <c r="R32" s="106">
        <v>6.8776301655206078</v>
      </c>
      <c r="S32" s="106">
        <v>5777.2093390373102</v>
      </c>
      <c r="T32" s="106">
        <v>0</v>
      </c>
      <c r="U32" s="106">
        <v>0</v>
      </c>
      <c r="V32" s="106">
        <v>9.0944789185625101</v>
      </c>
      <c r="W32" s="106">
        <v>7639.3622915925089</v>
      </c>
      <c r="X32" s="106">
        <v>0</v>
      </c>
      <c r="Y32" s="106">
        <v>0</v>
      </c>
      <c r="Z32" s="106">
        <v>7.528225514188672</v>
      </c>
      <c r="AA32" s="106">
        <v>6323.7094319184844</v>
      </c>
      <c r="AB32" s="106">
        <v>2.2229577406715082</v>
      </c>
      <c r="AC32" s="106">
        <v>1867.2845021640669</v>
      </c>
      <c r="AD32" s="106">
        <v>4.5544381005885342</v>
      </c>
      <c r="AE32" s="106">
        <v>3825.7280044943686</v>
      </c>
      <c r="AF32" s="106">
        <v>1.5347023702871248</v>
      </c>
      <c r="AG32" s="106">
        <v>1289.1499910411849</v>
      </c>
      <c r="AH32" s="106">
        <v>0</v>
      </c>
      <c r="AI32" s="106">
        <v>0</v>
      </c>
      <c r="AJ32" s="106">
        <v>14.615598054373367</v>
      </c>
      <c r="AK32" s="106">
        <v>12277.102365673629</v>
      </c>
      <c r="AL32" s="106">
        <v>0</v>
      </c>
      <c r="AM32" s="106">
        <v>0</v>
      </c>
      <c r="AN32" s="106">
        <v>13.591832849131864</v>
      </c>
      <c r="AO32" s="106">
        <v>11417.139593270766</v>
      </c>
      <c r="AP32" s="106">
        <v>0</v>
      </c>
      <c r="AQ32" s="106">
        <v>0</v>
      </c>
      <c r="AR32" s="106">
        <v>22.864795063716876</v>
      </c>
      <c r="AS32" s="106">
        <v>19206.427853522175</v>
      </c>
      <c r="AT32" s="106">
        <v>0</v>
      </c>
      <c r="AU32" s="106">
        <v>0</v>
      </c>
      <c r="AV32" s="106">
        <v>14.25224300644086</v>
      </c>
      <c r="AW32" s="106">
        <v>11971.884125410323</v>
      </c>
      <c r="AX32" s="106">
        <v>33.735589686754814</v>
      </c>
      <c r="AY32" s="106">
        <v>28337.895336874044</v>
      </c>
      <c r="AZ32" s="106">
        <v>8.9228298816811353</v>
      </c>
      <c r="BA32" s="106">
        <v>7495.1771006121535</v>
      </c>
      <c r="BB32" s="106">
        <v>6.8582064838213412</v>
      </c>
      <c r="BC32" s="106">
        <v>5760.8934464099266</v>
      </c>
      <c r="BD32" s="106">
        <v>0</v>
      </c>
      <c r="BE32" s="106">
        <v>0</v>
      </c>
      <c r="BF32" s="106">
        <v>11.522942922203933</v>
      </c>
      <c r="BG32" s="106">
        <v>9679.2720546513046</v>
      </c>
      <c r="BH32" s="106">
        <v>7.9771797477745787</v>
      </c>
      <c r="BI32" s="106">
        <v>6700.8309881306459</v>
      </c>
      <c r="BJ32" s="106">
        <v>8.1661662108702195</v>
      </c>
      <c r="BK32" s="106">
        <v>6859.5796171309848</v>
      </c>
      <c r="BL32" s="106">
        <v>5.9702400226966503</v>
      </c>
      <c r="BM32" s="106">
        <v>5015.0016190651859</v>
      </c>
      <c r="BN32" s="106">
        <v>0</v>
      </c>
      <c r="BO32" s="106">
        <v>0</v>
      </c>
      <c r="BP32" s="106">
        <v>1.402776892924984</v>
      </c>
      <c r="BQ32" s="106">
        <v>1178.3325900569866</v>
      </c>
      <c r="BR32" s="106">
        <v>3.5288439601420674</v>
      </c>
      <c r="BS32" s="106">
        <v>2964.2289265193367</v>
      </c>
      <c r="BT32" s="106">
        <v>0</v>
      </c>
      <c r="BU32" s="106">
        <v>0</v>
      </c>
      <c r="BV32" s="106">
        <v>1.0525380209456119</v>
      </c>
      <c r="BW32" s="106">
        <v>884.13193759431397</v>
      </c>
      <c r="BX32" s="106">
        <v>17.86440630166739</v>
      </c>
      <c r="BY32" s="106">
        <v>15006.101293400608</v>
      </c>
      <c r="BZ32" s="106">
        <v>6.4465666985638084</v>
      </c>
      <c r="CA32" s="106">
        <v>5415.1160267935993</v>
      </c>
      <c r="CB32" s="106">
        <v>0</v>
      </c>
      <c r="CC32" s="106">
        <v>0</v>
      </c>
      <c r="CD32" s="106">
        <v>5.2650506458260384</v>
      </c>
      <c r="CE32" s="106">
        <v>4422.6425424938725</v>
      </c>
      <c r="CF32" s="106">
        <v>17.073301058372866</v>
      </c>
      <c r="CG32" s="106">
        <v>14341.572889033208</v>
      </c>
      <c r="CH32" s="106">
        <v>12.393339149379045</v>
      </c>
      <c r="CI32" s="106">
        <v>10410.404885478398</v>
      </c>
      <c r="CJ32" s="106">
        <v>0</v>
      </c>
      <c r="CK32" s="106">
        <v>0</v>
      </c>
      <c r="CL32" s="106">
        <v>12.939063271120899</v>
      </c>
      <c r="CM32" s="106">
        <v>10868.813147741555</v>
      </c>
      <c r="CN32" s="106">
        <v>0</v>
      </c>
      <c r="CO32" s="106">
        <v>0</v>
      </c>
      <c r="CP32" s="106">
        <v>14.164570346769429</v>
      </c>
      <c r="CQ32" s="106">
        <v>11898.239091286319</v>
      </c>
      <c r="CR32" s="106">
        <v>12.561731257975703</v>
      </c>
      <c r="CS32" s="106">
        <v>10551.854256699591</v>
      </c>
      <c r="CT32" s="106">
        <v>29.861972636688989</v>
      </c>
      <c r="CU32" s="106">
        <v>25084.057014818751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11.326319035794766</v>
      </c>
      <c r="M33" s="106">
        <v>5368.675222966719</v>
      </c>
      <c r="N33" s="106">
        <v>5.8183063728457647</v>
      </c>
      <c r="O33" s="106">
        <v>2757.8772207288926</v>
      </c>
      <c r="P33" s="106">
        <v>5.7662957471817604</v>
      </c>
      <c r="Q33" s="106">
        <v>2733.2241841641544</v>
      </c>
      <c r="R33" s="106">
        <v>6.8862898675652611</v>
      </c>
      <c r="S33" s="106">
        <v>3264.1013972259339</v>
      </c>
      <c r="T33" s="106">
        <v>0</v>
      </c>
      <c r="U33" s="106">
        <v>0</v>
      </c>
      <c r="V33" s="106">
        <v>9.4442665692764507</v>
      </c>
      <c r="W33" s="106">
        <v>4476.5823538370378</v>
      </c>
      <c r="X33" s="106">
        <v>0</v>
      </c>
      <c r="Y33" s="106">
        <v>0</v>
      </c>
      <c r="Z33" s="106">
        <v>8.1828538197702958</v>
      </c>
      <c r="AA33" s="106">
        <v>3878.6727105711202</v>
      </c>
      <c r="AB33" s="106">
        <v>2.1161347592995976</v>
      </c>
      <c r="AC33" s="106">
        <v>1003.0478759080092</v>
      </c>
      <c r="AD33" s="106">
        <v>4.7550616604361426</v>
      </c>
      <c r="AE33" s="106">
        <v>2253.8992270467315</v>
      </c>
      <c r="AF33" s="106">
        <v>1.6581147542522587</v>
      </c>
      <c r="AG33" s="106">
        <v>785.94639351557066</v>
      </c>
      <c r="AH33" s="106">
        <v>0</v>
      </c>
      <c r="AI33" s="106">
        <v>0</v>
      </c>
      <c r="AJ33" s="106">
        <v>18.32749597294438</v>
      </c>
      <c r="AK33" s="106">
        <v>8687.2330911756362</v>
      </c>
      <c r="AL33" s="106">
        <v>0</v>
      </c>
      <c r="AM33" s="106">
        <v>0</v>
      </c>
      <c r="AN33" s="106">
        <v>14.621517155884279</v>
      </c>
      <c r="AO33" s="106">
        <v>6930.5991318891483</v>
      </c>
      <c r="AP33" s="106">
        <v>0</v>
      </c>
      <c r="AQ33" s="106">
        <v>0</v>
      </c>
      <c r="AR33" s="106">
        <v>29.577395449395226</v>
      </c>
      <c r="AS33" s="106">
        <v>14019.685443013337</v>
      </c>
      <c r="AT33" s="106">
        <v>0</v>
      </c>
      <c r="AU33" s="106">
        <v>0</v>
      </c>
      <c r="AV33" s="106">
        <v>15.881070778605531</v>
      </c>
      <c r="AW33" s="106">
        <v>7527.6275490590215</v>
      </c>
      <c r="AX33" s="106">
        <v>33.819665869796388</v>
      </c>
      <c r="AY33" s="106">
        <v>16030.521622283488</v>
      </c>
      <c r="AZ33" s="106">
        <v>9.3839370632299008</v>
      </c>
      <c r="BA33" s="106">
        <v>4447.9861679709729</v>
      </c>
      <c r="BB33" s="106">
        <v>7.5573765917957099</v>
      </c>
      <c r="BC33" s="106">
        <v>3582.1965045111665</v>
      </c>
      <c r="BD33" s="106">
        <v>0</v>
      </c>
      <c r="BE33" s="106">
        <v>0</v>
      </c>
      <c r="BF33" s="106">
        <v>11.522942922203933</v>
      </c>
      <c r="BG33" s="106">
        <v>5461.874945124664</v>
      </c>
      <c r="BH33" s="106">
        <v>8.7307343373497215</v>
      </c>
      <c r="BI33" s="106">
        <v>4138.3680759037679</v>
      </c>
      <c r="BJ33" s="106">
        <v>7.6227908507635957</v>
      </c>
      <c r="BK33" s="106">
        <v>3613.2028632619445</v>
      </c>
      <c r="BL33" s="106">
        <v>6.4226186083470633</v>
      </c>
      <c r="BM33" s="106">
        <v>3044.3212203565081</v>
      </c>
      <c r="BN33" s="106">
        <v>0</v>
      </c>
      <c r="BO33" s="106">
        <v>0</v>
      </c>
      <c r="BP33" s="106">
        <v>1.6503257563823341</v>
      </c>
      <c r="BQ33" s="106">
        <v>782.25440852522638</v>
      </c>
      <c r="BR33" s="106">
        <v>3.4764194204802035</v>
      </c>
      <c r="BS33" s="106">
        <v>1647.8228053076164</v>
      </c>
      <c r="BT33" s="106">
        <v>0</v>
      </c>
      <c r="BU33" s="106">
        <v>0</v>
      </c>
      <c r="BV33" s="106">
        <v>1.2279610244365471</v>
      </c>
      <c r="BW33" s="106">
        <v>582.05352558292327</v>
      </c>
      <c r="BX33" s="106">
        <v>19.018650702085875</v>
      </c>
      <c r="BY33" s="106">
        <v>9014.8404327887038</v>
      </c>
      <c r="BZ33" s="106">
        <v>7.2845576142365065</v>
      </c>
      <c r="CA33" s="106">
        <v>3452.8803091481041</v>
      </c>
      <c r="CB33" s="106">
        <v>0</v>
      </c>
      <c r="CC33" s="106">
        <v>0</v>
      </c>
      <c r="CD33" s="106">
        <v>6.0807627177145802</v>
      </c>
      <c r="CE33" s="106">
        <v>2882.281528196711</v>
      </c>
      <c r="CF33" s="106">
        <v>21.517460160493627</v>
      </c>
      <c r="CG33" s="106">
        <v>10199.276116073979</v>
      </c>
      <c r="CH33" s="106">
        <v>12.861655432931489</v>
      </c>
      <c r="CI33" s="106">
        <v>6096.424675209526</v>
      </c>
      <c r="CJ33" s="106">
        <v>0</v>
      </c>
      <c r="CK33" s="106">
        <v>0</v>
      </c>
      <c r="CL33" s="106">
        <v>15.823567822007726</v>
      </c>
      <c r="CM33" s="106">
        <v>7500.3711476316621</v>
      </c>
      <c r="CN33" s="106">
        <v>0</v>
      </c>
      <c r="CO33" s="106">
        <v>0</v>
      </c>
      <c r="CP33" s="106">
        <v>19.196720338384882</v>
      </c>
      <c r="CQ33" s="106">
        <v>9099.2454403944339</v>
      </c>
      <c r="CR33" s="106">
        <v>13.077990389573753</v>
      </c>
      <c r="CS33" s="106">
        <v>6198.9674446579584</v>
      </c>
      <c r="CT33" s="106">
        <v>39.314343484548537</v>
      </c>
      <c r="CU33" s="106">
        <v>18634.998811676007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9.9419911536420731</v>
      </c>
      <c r="M34" s="106">
        <v>5452.1879486573125</v>
      </c>
      <c r="N34" s="106">
        <v>5.2986917763700356</v>
      </c>
      <c r="O34" s="106">
        <v>2905.8025701613274</v>
      </c>
      <c r="P34" s="106">
        <v>5.8636535012955218</v>
      </c>
      <c r="Q34" s="106">
        <v>3215.6275801104639</v>
      </c>
      <c r="R34" s="106">
        <v>7.6332953564256094</v>
      </c>
      <c r="S34" s="106">
        <v>4186.0991734638037</v>
      </c>
      <c r="T34" s="106">
        <v>0</v>
      </c>
      <c r="U34" s="106">
        <v>0</v>
      </c>
      <c r="V34" s="106">
        <v>9.4442665692764507</v>
      </c>
      <c r="W34" s="106">
        <v>5179.2357865912054</v>
      </c>
      <c r="X34" s="106">
        <v>0</v>
      </c>
      <c r="Y34" s="106">
        <v>0</v>
      </c>
      <c r="Z34" s="106">
        <v>7.528225514188672</v>
      </c>
      <c r="AA34" s="106">
        <v>4128.4788719810676</v>
      </c>
      <c r="AB34" s="106">
        <v>2.159557361825307</v>
      </c>
      <c r="AC34" s="106">
        <v>1184.3012572249984</v>
      </c>
      <c r="AD34" s="106">
        <v>4.8042491359535537</v>
      </c>
      <c r="AE34" s="106">
        <v>2634.650226156929</v>
      </c>
      <c r="AF34" s="106">
        <v>1.6557365755054587</v>
      </c>
      <c r="AG34" s="106">
        <v>908.00593800719355</v>
      </c>
      <c r="AH34" s="106">
        <v>0</v>
      </c>
      <c r="AI34" s="106">
        <v>0</v>
      </c>
      <c r="AJ34" s="106">
        <v>18.791483212765758</v>
      </c>
      <c r="AK34" s="106">
        <v>10305.249393880742</v>
      </c>
      <c r="AL34" s="106">
        <v>0</v>
      </c>
      <c r="AM34" s="106">
        <v>0</v>
      </c>
      <c r="AN34" s="106">
        <v>14.415580294533793</v>
      </c>
      <c r="AO34" s="106">
        <v>7905.5042335223316</v>
      </c>
      <c r="AP34" s="106">
        <v>0</v>
      </c>
      <c r="AQ34" s="106">
        <v>0</v>
      </c>
      <c r="AR34" s="106">
        <v>28.318782877080537</v>
      </c>
      <c r="AS34" s="106">
        <v>15530.020529790965</v>
      </c>
      <c r="AT34" s="106">
        <v>0</v>
      </c>
      <c r="AU34" s="106">
        <v>0</v>
      </c>
      <c r="AV34" s="106">
        <v>16.695484664687864</v>
      </c>
      <c r="AW34" s="106">
        <v>9155.8037901148236</v>
      </c>
      <c r="AX34" s="106">
        <v>32.634528209434983</v>
      </c>
      <c r="AY34" s="106">
        <v>17896.775270054142</v>
      </c>
      <c r="AZ34" s="106">
        <v>10.72593195113299</v>
      </c>
      <c r="BA34" s="106">
        <v>5882.1010820013316</v>
      </c>
      <c r="BB34" s="106">
        <v>7.2178612850992376</v>
      </c>
      <c r="BC34" s="106">
        <v>3958.2751287484216</v>
      </c>
      <c r="BD34" s="106">
        <v>0</v>
      </c>
      <c r="BE34" s="106">
        <v>0</v>
      </c>
      <c r="BF34" s="106">
        <v>10.845122750309583</v>
      </c>
      <c r="BG34" s="106">
        <v>5947.465316269775</v>
      </c>
      <c r="BH34" s="106">
        <v>8.3284982739624382</v>
      </c>
      <c r="BI34" s="106">
        <v>4567.3484534410009</v>
      </c>
      <c r="BJ34" s="106">
        <v>7.8842911049687912</v>
      </c>
      <c r="BK34" s="106">
        <v>4323.7452419648853</v>
      </c>
      <c r="BL34" s="106">
        <v>7.0963258323068787</v>
      </c>
      <c r="BM34" s="106">
        <v>3891.6250864370922</v>
      </c>
      <c r="BN34" s="106">
        <v>0</v>
      </c>
      <c r="BO34" s="106">
        <v>0</v>
      </c>
      <c r="BP34" s="106">
        <v>1.7328420442014509</v>
      </c>
      <c r="BQ34" s="106">
        <v>950.29057704007562</v>
      </c>
      <c r="BR34" s="106">
        <v>3.6341691815780544</v>
      </c>
      <c r="BS34" s="106">
        <v>1992.978379177405</v>
      </c>
      <c r="BT34" s="106">
        <v>0</v>
      </c>
      <c r="BU34" s="106">
        <v>0</v>
      </c>
      <c r="BV34" s="106">
        <v>1.2279610244365471</v>
      </c>
      <c r="BW34" s="106">
        <v>673.41382580100242</v>
      </c>
      <c r="BX34" s="106">
        <v>21.058143955947646</v>
      </c>
      <c r="BY34" s="106">
        <v>11548.286145441689</v>
      </c>
      <c r="BZ34" s="106">
        <v>6.5329587549455166</v>
      </c>
      <c r="CA34" s="106">
        <v>3582.6745812121212</v>
      </c>
      <c r="CB34" s="106">
        <v>0</v>
      </c>
      <c r="CC34" s="106">
        <v>0</v>
      </c>
      <c r="CD34" s="106">
        <v>6.0807627177145802</v>
      </c>
      <c r="CE34" s="106">
        <v>3334.6902743946757</v>
      </c>
      <c r="CF34" s="106">
        <v>20.377994869354602</v>
      </c>
      <c r="CG34" s="106">
        <v>11175.292386354064</v>
      </c>
      <c r="CH34" s="106">
        <v>12.168120676481527</v>
      </c>
      <c r="CI34" s="106">
        <v>6672.9973789824689</v>
      </c>
      <c r="CJ34" s="106">
        <v>0</v>
      </c>
      <c r="CK34" s="106">
        <v>0</v>
      </c>
      <c r="CL34" s="106">
        <v>14.504937170173749</v>
      </c>
      <c r="CM34" s="106">
        <v>7954.5075441232839</v>
      </c>
      <c r="CN34" s="106">
        <v>0</v>
      </c>
      <c r="CO34" s="106">
        <v>0</v>
      </c>
      <c r="CP34" s="106">
        <v>16.0283296029233</v>
      </c>
      <c r="CQ34" s="106">
        <v>8789.9359542431375</v>
      </c>
      <c r="CR34" s="106">
        <v>12.786867511004251</v>
      </c>
      <c r="CS34" s="106">
        <v>7012.3181430347313</v>
      </c>
      <c r="CT34" s="106">
        <v>35.156669073947342</v>
      </c>
      <c r="CU34" s="106">
        <v>19279.917320152723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11.326319035794766</v>
      </c>
      <c r="M35" s="106">
        <v>5694.8732111976069</v>
      </c>
      <c r="N35" s="106">
        <v>5.1409112904132188</v>
      </c>
      <c r="O35" s="106">
        <v>2584.8501968197661</v>
      </c>
      <c r="P35" s="106">
        <v>5.0247317669665161</v>
      </c>
      <c r="Q35" s="106">
        <v>2526.4351324307636</v>
      </c>
      <c r="R35" s="106">
        <v>7.6246117927178343</v>
      </c>
      <c r="S35" s="106">
        <v>3833.6548093785264</v>
      </c>
      <c r="T35" s="106">
        <v>0</v>
      </c>
      <c r="U35" s="106">
        <v>0</v>
      </c>
      <c r="V35" s="106">
        <v>8.744691267848566</v>
      </c>
      <c r="W35" s="106">
        <v>4396.830769474258</v>
      </c>
      <c r="X35" s="106">
        <v>0</v>
      </c>
      <c r="Y35" s="106">
        <v>0</v>
      </c>
      <c r="Z35" s="106">
        <v>7.528225514188672</v>
      </c>
      <c r="AA35" s="106">
        <v>3785.1917885340636</v>
      </c>
      <c r="AB35" s="106">
        <v>2.058322146954358</v>
      </c>
      <c r="AC35" s="106">
        <v>1034.9243754886511</v>
      </c>
      <c r="AD35" s="106">
        <v>4.9958140808161486</v>
      </c>
      <c r="AE35" s="106">
        <v>2511.8953198343588</v>
      </c>
      <c r="AF35" s="106">
        <v>1.5353985347302943</v>
      </c>
      <c r="AG35" s="106">
        <v>771.99838326239183</v>
      </c>
      <c r="AH35" s="106">
        <v>0</v>
      </c>
      <c r="AI35" s="106">
        <v>0</v>
      </c>
      <c r="AJ35" s="106">
        <v>16.0075597738375</v>
      </c>
      <c r="AK35" s="106">
        <v>8048.6010542854929</v>
      </c>
      <c r="AL35" s="106">
        <v>0</v>
      </c>
      <c r="AM35" s="106">
        <v>0</v>
      </c>
      <c r="AN35" s="106">
        <v>14.415580294533793</v>
      </c>
      <c r="AO35" s="106">
        <v>7248.1537720915894</v>
      </c>
      <c r="AP35" s="106">
        <v>0</v>
      </c>
      <c r="AQ35" s="106">
        <v>0</v>
      </c>
      <c r="AR35" s="106">
        <v>30.206701735552571</v>
      </c>
      <c r="AS35" s="106">
        <v>15187.929632635829</v>
      </c>
      <c r="AT35" s="106">
        <v>0</v>
      </c>
      <c r="AU35" s="106">
        <v>0</v>
      </c>
      <c r="AV35" s="106">
        <v>15.718188001389064</v>
      </c>
      <c r="AW35" s="106">
        <v>7903.1049270984204</v>
      </c>
      <c r="AX35" s="106">
        <v>33.481066046297194</v>
      </c>
      <c r="AY35" s="106">
        <v>16834.280008078225</v>
      </c>
      <c r="AZ35" s="106">
        <v>10.770619200659002</v>
      </c>
      <c r="BA35" s="106">
        <v>5415.467334091345</v>
      </c>
      <c r="BB35" s="106">
        <v>6.0970706676275572</v>
      </c>
      <c r="BC35" s="106">
        <v>3065.6071316831353</v>
      </c>
      <c r="BD35" s="106">
        <v>0</v>
      </c>
      <c r="BE35" s="106">
        <v>0</v>
      </c>
      <c r="BF35" s="106">
        <v>10.845122750309583</v>
      </c>
      <c r="BG35" s="106">
        <v>5452.9277188556571</v>
      </c>
      <c r="BH35" s="106">
        <v>8.4602668273356798</v>
      </c>
      <c r="BI35" s="106">
        <v>4253.8221607843789</v>
      </c>
      <c r="BJ35" s="106">
        <v>8.4644016281608501</v>
      </c>
      <c r="BK35" s="106">
        <v>4255.9011386392749</v>
      </c>
      <c r="BL35" s="106">
        <v>7.3491498918961993</v>
      </c>
      <c r="BM35" s="106">
        <v>3695.1525656454082</v>
      </c>
      <c r="BN35" s="106">
        <v>0</v>
      </c>
      <c r="BO35" s="106">
        <v>0</v>
      </c>
      <c r="BP35" s="106">
        <v>1.4852931807441008</v>
      </c>
      <c r="BQ35" s="106">
        <v>746.80541127813376</v>
      </c>
      <c r="BR35" s="106">
        <v>3.7836936140069786</v>
      </c>
      <c r="BS35" s="106">
        <v>1902.4411491227083</v>
      </c>
      <c r="BT35" s="106">
        <v>0</v>
      </c>
      <c r="BU35" s="106">
        <v>0</v>
      </c>
      <c r="BV35" s="106">
        <v>1.1402495226910794</v>
      </c>
      <c r="BW35" s="106">
        <v>573.31746000907458</v>
      </c>
      <c r="BX35" s="106">
        <v>20.590787693629466</v>
      </c>
      <c r="BY35" s="106">
        <v>10353.048052356893</v>
      </c>
      <c r="BZ35" s="106">
        <v>6.9361775508594077</v>
      </c>
      <c r="CA35" s="106">
        <v>3487.5100725721095</v>
      </c>
      <c r="CB35" s="106">
        <v>0</v>
      </c>
      <c r="CC35" s="106">
        <v>0</v>
      </c>
      <c r="CD35" s="106">
        <v>5.5616732174218715</v>
      </c>
      <c r="CE35" s="106">
        <v>2796.4092937197165</v>
      </c>
      <c r="CF35" s="106">
        <v>21.151792546157584</v>
      </c>
      <c r="CG35" s="106">
        <v>10635.12129220803</v>
      </c>
      <c r="CH35" s="106">
        <v>13.053735149969434</v>
      </c>
      <c r="CI35" s="106">
        <v>6563.4180334046296</v>
      </c>
      <c r="CJ35" s="106">
        <v>0</v>
      </c>
      <c r="CK35" s="106">
        <v>0</v>
      </c>
      <c r="CL35" s="106">
        <v>15.081838080351112</v>
      </c>
      <c r="CM35" s="106">
        <v>7583.1481868005376</v>
      </c>
      <c r="CN35" s="106">
        <v>0</v>
      </c>
      <c r="CO35" s="106">
        <v>0</v>
      </c>
      <c r="CP35" s="106">
        <v>18.264840710307947</v>
      </c>
      <c r="CQ35" s="106">
        <v>9183.5619091428343</v>
      </c>
      <c r="CR35" s="106">
        <v>15.127357646842684</v>
      </c>
      <c r="CS35" s="106">
        <v>7606.0354248325002</v>
      </c>
      <c r="CT35" s="106">
        <v>37.219328712839662</v>
      </c>
      <c r="CU35" s="106">
        <v>18713.878476815778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10.445383110788507</v>
      </c>
      <c r="M36" s="106">
        <v>7946.847470687896</v>
      </c>
      <c r="N36" s="106">
        <v>4.8630167931363584</v>
      </c>
      <c r="O36" s="106">
        <v>3699.7831762181413</v>
      </c>
      <c r="P36" s="106">
        <v>4.8478117397458202</v>
      </c>
      <c r="Q36" s="106">
        <v>3688.2151715986197</v>
      </c>
      <c r="R36" s="106">
        <v>6.6353081792019317</v>
      </c>
      <c r="S36" s="106">
        <v>5048.1424627368297</v>
      </c>
      <c r="T36" s="106">
        <v>0</v>
      </c>
      <c r="U36" s="106">
        <v>0</v>
      </c>
      <c r="V36" s="106">
        <v>8.3949036171346236</v>
      </c>
      <c r="W36" s="106">
        <v>6386.8426719160216</v>
      </c>
      <c r="X36" s="106">
        <v>0</v>
      </c>
      <c r="Y36" s="106">
        <v>0</v>
      </c>
      <c r="Z36" s="106">
        <v>7.2009113613978606</v>
      </c>
      <c r="AA36" s="106">
        <v>5478.4533637514924</v>
      </c>
      <c r="AB36" s="106">
        <v>2.0499694215210926</v>
      </c>
      <c r="AC36" s="106">
        <v>1559.6167358932471</v>
      </c>
      <c r="AD36" s="106">
        <v>4.7956208721679294</v>
      </c>
      <c r="AE36" s="106">
        <v>3648.5083595453607</v>
      </c>
      <c r="AF36" s="106">
        <v>1.5456437481480865</v>
      </c>
      <c r="AG36" s="106">
        <v>1175.9257635910642</v>
      </c>
      <c r="AH36" s="106">
        <v>0</v>
      </c>
      <c r="AI36" s="106">
        <v>0</v>
      </c>
      <c r="AJ36" s="106">
        <v>17.167527873390938</v>
      </c>
      <c r="AK36" s="106">
        <v>13061.055206075825</v>
      </c>
      <c r="AL36" s="106">
        <v>0</v>
      </c>
      <c r="AM36" s="106">
        <v>0</v>
      </c>
      <c r="AN36" s="106">
        <v>14.827454017234759</v>
      </c>
      <c r="AO36" s="106">
        <v>11280.727016312203</v>
      </c>
      <c r="AP36" s="106">
        <v>0</v>
      </c>
      <c r="AQ36" s="106">
        <v>0</v>
      </c>
      <c r="AR36" s="106">
        <v>27.689476590923189</v>
      </c>
      <c r="AS36" s="106">
        <v>21066.153790374359</v>
      </c>
      <c r="AT36" s="106">
        <v>0</v>
      </c>
      <c r="AU36" s="106">
        <v>0</v>
      </c>
      <c r="AV36" s="106">
        <v>14.415125783657327</v>
      </c>
      <c r="AW36" s="106">
        <v>10967.027696206495</v>
      </c>
      <c r="AX36" s="106">
        <v>30.378250747636919</v>
      </c>
      <c r="AY36" s="106">
        <v>23111.773168802167</v>
      </c>
      <c r="AZ36" s="106">
        <v>9.1570521307302091</v>
      </c>
      <c r="BA36" s="106">
        <v>6966.6852610595424</v>
      </c>
      <c r="BB36" s="106">
        <v>6.4208092551628999</v>
      </c>
      <c r="BC36" s="106">
        <v>4884.9516813279342</v>
      </c>
      <c r="BD36" s="106">
        <v>0</v>
      </c>
      <c r="BE36" s="106">
        <v>0</v>
      </c>
      <c r="BF36" s="106">
        <v>10.167302578415235</v>
      </c>
      <c r="BG36" s="106">
        <v>7735.28380165831</v>
      </c>
      <c r="BH36" s="106">
        <v>8.1907804084772451</v>
      </c>
      <c r="BI36" s="106">
        <v>6231.5457347694874</v>
      </c>
      <c r="BJ36" s="106">
        <v>7.6823245670163649</v>
      </c>
      <c r="BK36" s="106">
        <v>5844.71253058605</v>
      </c>
      <c r="BL36" s="106">
        <v>6.6771318983612575</v>
      </c>
      <c r="BM36" s="106">
        <v>5079.9619482732442</v>
      </c>
      <c r="BN36" s="106">
        <v>0</v>
      </c>
      <c r="BO36" s="106">
        <v>0</v>
      </c>
      <c r="BP36" s="106">
        <v>1.6503257563823341</v>
      </c>
      <c r="BQ36" s="106">
        <v>1255.5678354556796</v>
      </c>
      <c r="BR36" s="106">
        <v>3.3072661175571731</v>
      </c>
      <c r="BS36" s="106">
        <v>2516.168062237497</v>
      </c>
      <c r="BT36" s="106">
        <v>0</v>
      </c>
      <c r="BU36" s="106">
        <v>0</v>
      </c>
      <c r="BV36" s="106">
        <v>1.0525380209456119</v>
      </c>
      <c r="BW36" s="106">
        <v>800.77092633542145</v>
      </c>
      <c r="BX36" s="106">
        <v>19.590275448561489</v>
      </c>
      <c r="BY36" s="106">
        <v>14904.28156126558</v>
      </c>
      <c r="BZ36" s="106">
        <v>6.1338559774225665</v>
      </c>
      <c r="CA36" s="106">
        <v>4666.6376276230885</v>
      </c>
      <c r="CB36" s="106">
        <v>0</v>
      </c>
      <c r="CC36" s="106">
        <v>0</v>
      </c>
      <c r="CD36" s="106">
        <v>5.1167393600281219</v>
      </c>
      <c r="CE36" s="106">
        <v>3892.815305109395</v>
      </c>
      <c r="CF36" s="106">
        <v>17.377816846700505</v>
      </c>
      <c r="CG36" s="106">
        <v>13221.043056969744</v>
      </c>
      <c r="CH36" s="106">
        <v>12.348140026937434</v>
      </c>
      <c r="CI36" s="106">
        <v>9394.4649324940001</v>
      </c>
      <c r="CJ36" s="106">
        <v>0</v>
      </c>
      <c r="CK36" s="106">
        <v>0</v>
      </c>
      <c r="CL36" s="106">
        <v>14.257693922954877</v>
      </c>
      <c r="CM36" s="106">
        <v>10847.25353658407</v>
      </c>
      <c r="CN36" s="106">
        <v>0</v>
      </c>
      <c r="CO36" s="106">
        <v>0</v>
      </c>
      <c r="CP36" s="106">
        <v>14.537322198000203</v>
      </c>
      <c r="CQ36" s="106">
        <v>11059.994728238553</v>
      </c>
      <c r="CR36" s="106">
        <v>12.941494839303919</v>
      </c>
      <c r="CS36" s="106">
        <v>9845.8892737424212</v>
      </c>
      <c r="CT36" s="106">
        <v>35.506677175637364</v>
      </c>
      <c r="CU36" s="106">
        <v>27013.479995224905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52.856155500375579</v>
      </c>
      <c r="M37" s="106">
        <v>45477.43619252315</v>
      </c>
      <c r="N37" s="106">
        <v>19.743533615938485</v>
      </c>
      <c r="O37" s="106">
        <v>16987.336323153471</v>
      </c>
      <c r="P37" s="106">
        <v>27.753695284705749</v>
      </c>
      <c r="Q37" s="106">
        <v>23879.279422960826</v>
      </c>
      <c r="R37" s="106">
        <v>19.123224571048091</v>
      </c>
      <c r="S37" s="106">
        <v>16453.622420929776</v>
      </c>
      <c r="T37" s="106">
        <v>0</v>
      </c>
      <c r="U37" s="106">
        <v>0</v>
      </c>
      <c r="V37" s="106">
        <v>11.542992473560107</v>
      </c>
      <c r="W37" s="106">
        <v>9931.5907242511148</v>
      </c>
      <c r="X37" s="106">
        <v>0</v>
      </c>
      <c r="Y37" s="106">
        <v>0</v>
      </c>
      <c r="Z37" s="106">
        <v>7.528225514188672</v>
      </c>
      <c r="AA37" s="106">
        <v>6477.2852324079331</v>
      </c>
      <c r="AB37" s="106">
        <v>26.046235407042371</v>
      </c>
      <c r="AC37" s="106">
        <v>22410.180944219253</v>
      </c>
      <c r="AD37" s="106">
        <v>75.697830113922549</v>
      </c>
      <c r="AE37" s="106">
        <v>65130.413030018957</v>
      </c>
      <c r="AF37" s="106">
        <v>36.566049721817947</v>
      </c>
      <c r="AG37" s="106">
        <v>31461.429180652161</v>
      </c>
      <c r="AH37" s="106">
        <v>0</v>
      </c>
      <c r="AI37" s="106">
        <v>0</v>
      </c>
      <c r="AJ37" s="106">
        <v>65.422200814814119</v>
      </c>
      <c r="AK37" s="106">
        <v>56289.261581066065</v>
      </c>
      <c r="AL37" s="106">
        <v>0</v>
      </c>
      <c r="AM37" s="106">
        <v>0</v>
      </c>
      <c r="AN37" s="106">
        <v>71.871964611318489</v>
      </c>
      <c r="AO37" s="106">
        <v>61838.638351578425</v>
      </c>
      <c r="AP37" s="106">
        <v>0</v>
      </c>
      <c r="AQ37" s="106">
        <v>0</v>
      </c>
      <c r="AR37" s="106">
        <v>28.318782877080537</v>
      </c>
      <c r="AS37" s="106">
        <v>24365.480787440094</v>
      </c>
      <c r="AT37" s="106">
        <v>0</v>
      </c>
      <c r="AU37" s="106">
        <v>0</v>
      </c>
      <c r="AV37" s="106">
        <v>13.274946343142059</v>
      </c>
      <c r="AW37" s="106">
        <v>11421.763833639427</v>
      </c>
      <c r="AX37" s="106">
        <v>20.72897414705864</v>
      </c>
      <c r="AY37" s="106">
        <v>17835.209356129253</v>
      </c>
      <c r="AZ37" s="106">
        <v>14.316153478414529</v>
      </c>
      <c r="BA37" s="106">
        <v>12317.618452827861</v>
      </c>
      <c r="BB37" s="106">
        <v>12.301471342600317</v>
      </c>
      <c r="BC37" s="106">
        <v>10584.185943173312</v>
      </c>
      <c r="BD37" s="106">
        <v>0</v>
      </c>
      <c r="BE37" s="106">
        <v>0</v>
      </c>
      <c r="BF37" s="106">
        <v>29.146267391457002</v>
      </c>
      <c r="BG37" s="106">
        <v>25077.448463609602</v>
      </c>
      <c r="BH37" s="106">
        <v>26.125671819052894</v>
      </c>
      <c r="BI37" s="106">
        <v>22478.528033113111</v>
      </c>
      <c r="BJ37" s="106">
        <v>30.280649341757911</v>
      </c>
      <c r="BK37" s="106">
        <v>26053.470693648505</v>
      </c>
      <c r="BL37" s="106">
        <v>31.945487834400645</v>
      </c>
      <c r="BM37" s="106">
        <v>27485.897732718313</v>
      </c>
      <c r="BN37" s="106">
        <v>0</v>
      </c>
      <c r="BO37" s="106">
        <v>0</v>
      </c>
      <c r="BP37" s="106">
        <v>14.192801504888074</v>
      </c>
      <c r="BQ37" s="106">
        <v>12211.486414805699</v>
      </c>
      <c r="BR37" s="106">
        <v>31.040816314298883</v>
      </c>
      <c r="BS37" s="106">
        <v>26707.518356822759</v>
      </c>
      <c r="BT37" s="106">
        <v>0</v>
      </c>
      <c r="BU37" s="106">
        <v>0</v>
      </c>
      <c r="BV37" s="106">
        <v>17.454588847348063</v>
      </c>
      <c r="BW37" s="106">
        <v>15017.928244258273</v>
      </c>
      <c r="BX37" s="106">
        <v>9.2358557974884938</v>
      </c>
      <c r="BY37" s="106">
        <v>7946.5303281590996</v>
      </c>
      <c r="BZ37" s="106">
        <v>3.4164050295636326</v>
      </c>
      <c r="CA37" s="106">
        <v>2939.4748874365496</v>
      </c>
      <c r="CB37" s="106">
        <v>0</v>
      </c>
      <c r="CC37" s="106">
        <v>0</v>
      </c>
      <c r="CD37" s="106">
        <v>2.7437587872614571</v>
      </c>
      <c r="CE37" s="106">
        <v>2360.7300605597575</v>
      </c>
      <c r="CF37" s="106">
        <v>5.0057129077704294</v>
      </c>
      <c r="CG37" s="106">
        <v>4306.9153858456775</v>
      </c>
      <c r="CH37" s="106">
        <v>1.8555015687868637</v>
      </c>
      <c r="CI37" s="106">
        <v>1596.4735497842175</v>
      </c>
      <c r="CJ37" s="106">
        <v>0</v>
      </c>
      <c r="CK37" s="106">
        <v>0</v>
      </c>
      <c r="CL37" s="106">
        <v>2.9669189666264484</v>
      </c>
      <c r="CM37" s="106">
        <v>2552.7370788853959</v>
      </c>
      <c r="CN37" s="106">
        <v>0</v>
      </c>
      <c r="CO37" s="106">
        <v>0</v>
      </c>
      <c r="CP37" s="106">
        <v>7.6414129502308761</v>
      </c>
      <c r="CQ37" s="106">
        <v>6574.6717023786459</v>
      </c>
      <c r="CR37" s="106">
        <v>4.5142241099644043</v>
      </c>
      <c r="CS37" s="106">
        <v>3884.0384242133732</v>
      </c>
      <c r="CT37" s="106">
        <v>11.782296965360398</v>
      </c>
      <c r="CU37" s="106">
        <v>10137.488308996086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46.312060057471932</v>
      </c>
      <c r="M38" s="106">
        <v>57519.578591380137</v>
      </c>
      <c r="N38" s="106">
        <v>16.219574570698455</v>
      </c>
      <c r="O38" s="106">
        <v>20144.711616807483</v>
      </c>
      <c r="P38" s="106">
        <v>25.021484145693272</v>
      </c>
      <c r="Q38" s="106">
        <v>31076.683308951044</v>
      </c>
      <c r="R38" s="106">
        <v>14.815264781861007</v>
      </c>
      <c r="S38" s="106">
        <v>18400.558859071371</v>
      </c>
      <c r="T38" s="106">
        <v>0</v>
      </c>
      <c r="U38" s="106">
        <v>0</v>
      </c>
      <c r="V38" s="106">
        <v>11.193204822846166</v>
      </c>
      <c r="W38" s="106">
        <v>13901.960389974938</v>
      </c>
      <c r="X38" s="106">
        <v>0</v>
      </c>
      <c r="Y38" s="106">
        <v>0</v>
      </c>
      <c r="Z38" s="106">
        <v>6.2189689030254245</v>
      </c>
      <c r="AA38" s="106">
        <v>7723.9593775575768</v>
      </c>
      <c r="AB38" s="106">
        <v>23.878231324949784</v>
      </c>
      <c r="AC38" s="106">
        <v>29656.763305587632</v>
      </c>
      <c r="AD38" s="106">
        <v>57.77176183143613</v>
      </c>
      <c r="AE38" s="106">
        <v>71752.528194643673</v>
      </c>
      <c r="AF38" s="106">
        <v>36.637351945070293</v>
      </c>
      <c r="AG38" s="106">
        <v>45503.591115777301</v>
      </c>
      <c r="AH38" s="106">
        <v>0</v>
      </c>
      <c r="AI38" s="106">
        <v>0</v>
      </c>
      <c r="AJ38" s="106">
        <v>61.942296516153789</v>
      </c>
      <c r="AK38" s="106">
        <v>76932.332273063003</v>
      </c>
      <c r="AL38" s="106">
        <v>0</v>
      </c>
      <c r="AM38" s="106">
        <v>0</v>
      </c>
      <c r="AN38" s="106">
        <v>67.135416800257389</v>
      </c>
      <c r="AO38" s="106">
        <v>83382.187665919671</v>
      </c>
      <c r="AP38" s="106">
        <v>0</v>
      </c>
      <c r="AQ38" s="106">
        <v>0</v>
      </c>
      <c r="AR38" s="106">
        <v>25.591788970398706</v>
      </c>
      <c r="AS38" s="106">
        <v>31785.001901235195</v>
      </c>
      <c r="AT38" s="106">
        <v>0</v>
      </c>
      <c r="AU38" s="106">
        <v>0</v>
      </c>
      <c r="AV38" s="106">
        <v>11.971884125410323</v>
      </c>
      <c r="AW38" s="106">
        <v>14869.080083759622</v>
      </c>
      <c r="AX38" s="106">
        <v>19.444098147214618</v>
      </c>
      <c r="AY38" s="106">
        <v>24149.569898840557</v>
      </c>
      <c r="AZ38" s="106">
        <v>12.011535119865796</v>
      </c>
      <c r="BA38" s="106">
        <v>14918.326618873318</v>
      </c>
      <c r="BB38" s="106">
        <v>11.545151425308875</v>
      </c>
      <c r="BC38" s="106">
        <v>14339.078070233623</v>
      </c>
      <c r="BD38" s="106">
        <v>0</v>
      </c>
      <c r="BE38" s="106">
        <v>0</v>
      </c>
      <c r="BF38" s="106">
        <v>27.112806875773956</v>
      </c>
      <c r="BG38" s="106">
        <v>33674.10613971125</v>
      </c>
      <c r="BH38" s="106">
        <v>23.472994270639738</v>
      </c>
      <c r="BI38" s="106">
        <v>29153.458884134554</v>
      </c>
      <c r="BJ38" s="106">
        <v>26.89284299905378</v>
      </c>
      <c r="BK38" s="106">
        <v>33400.911004824797</v>
      </c>
      <c r="BL38" s="106">
        <v>29.383809476558081</v>
      </c>
      <c r="BM38" s="106">
        <v>36494.691369885135</v>
      </c>
      <c r="BN38" s="106">
        <v>0</v>
      </c>
      <c r="BO38" s="106">
        <v>0</v>
      </c>
      <c r="BP38" s="106">
        <v>10.892149992123406</v>
      </c>
      <c r="BQ38" s="106">
        <v>13528.05029021727</v>
      </c>
      <c r="BR38" s="106">
        <v>31.493907024905617</v>
      </c>
      <c r="BS38" s="106">
        <v>39115.432524932774</v>
      </c>
      <c r="BT38" s="106">
        <v>0</v>
      </c>
      <c r="BU38" s="106">
        <v>0</v>
      </c>
      <c r="BV38" s="106">
        <v>17.454588847348063</v>
      </c>
      <c r="BW38" s="106">
        <v>21678.599348406293</v>
      </c>
      <c r="BX38" s="106">
        <v>8.0906894815309389</v>
      </c>
      <c r="BY38" s="106">
        <v>10048.636336061427</v>
      </c>
      <c r="BZ38" s="106">
        <v>3.0041318383353608</v>
      </c>
      <c r="CA38" s="106">
        <v>3731.1317432125179</v>
      </c>
      <c r="CB38" s="106">
        <v>0</v>
      </c>
      <c r="CC38" s="106">
        <v>0</v>
      </c>
      <c r="CD38" s="106">
        <v>2.5954475014635401</v>
      </c>
      <c r="CE38" s="106">
        <v>3223.5457968177166</v>
      </c>
      <c r="CF38" s="106">
        <v>5.271320779780976</v>
      </c>
      <c r="CG38" s="106">
        <v>6546.9804084879725</v>
      </c>
      <c r="CH38" s="106">
        <v>1.7805757564767126</v>
      </c>
      <c r="CI38" s="106">
        <v>2211.475089544077</v>
      </c>
      <c r="CJ38" s="106">
        <v>0</v>
      </c>
      <c r="CK38" s="106">
        <v>0</v>
      </c>
      <c r="CL38" s="106">
        <v>2.5548468879283304</v>
      </c>
      <c r="CM38" s="106">
        <v>3173.1198348069861</v>
      </c>
      <c r="CN38" s="106">
        <v>0</v>
      </c>
      <c r="CO38" s="106">
        <v>0</v>
      </c>
      <c r="CP38" s="106">
        <v>8.200540727077037</v>
      </c>
      <c r="CQ38" s="106">
        <v>10185.071583029679</v>
      </c>
      <c r="CR38" s="106">
        <v>3.9767686605102974</v>
      </c>
      <c r="CS38" s="106">
        <v>4939.1466763537892</v>
      </c>
      <c r="CT38" s="106">
        <v>9.7087630633399549</v>
      </c>
      <c r="CU38" s="106">
        <v>12058.283724668225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41.90738043244064</v>
      </c>
      <c r="M39" s="106">
        <v>59642.583831449519</v>
      </c>
      <c r="N39" s="106">
        <v>15.155057931459547</v>
      </c>
      <c r="O39" s="106">
        <v>21568.67844805323</v>
      </c>
      <c r="P39" s="106">
        <v>23.828852917352553</v>
      </c>
      <c r="Q39" s="106">
        <v>33913.223471976155</v>
      </c>
      <c r="R39" s="106">
        <v>14.058570816942451</v>
      </c>
      <c r="S39" s="106">
        <v>20008.157986672497</v>
      </c>
      <c r="T39" s="106">
        <v>0</v>
      </c>
      <c r="U39" s="106">
        <v>0</v>
      </c>
      <c r="V39" s="106">
        <v>9.7940542199903948</v>
      </c>
      <c r="W39" s="106">
        <v>13938.89796589033</v>
      </c>
      <c r="X39" s="106">
        <v>0</v>
      </c>
      <c r="Y39" s="106">
        <v>0</v>
      </c>
      <c r="Z39" s="106">
        <v>6.2189689030254245</v>
      </c>
      <c r="AA39" s="106">
        <v>8850.8365427857843</v>
      </c>
      <c r="AB39" s="106">
        <v>24.408866958553062</v>
      </c>
      <c r="AC39" s="106">
        <v>34738.699455412723</v>
      </c>
      <c r="AD39" s="106">
        <v>56.120125007755043</v>
      </c>
      <c r="AE39" s="106">
        <v>79870.161911036979</v>
      </c>
      <c r="AF39" s="106">
        <v>30.649095391200749</v>
      </c>
      <c r="AG39" s="106">
        <v>43619.792560756905</v>
      </c>
      <c r="AH39" s="106">
        <v>0</v>
      </c>
      <c r="AI39" s="106">
        <v>0</v>
      </c>
      <c r="AJ39" s="106">
        <v>57.302424117940021</v>
      </c>
      <c r="AK39" s="106">
        <v>81552.810004652245</v>
      </c>
      <c r="AL39" s="106">
        <v>0</v>
      </c>
      <c r="AM39" s="106">
        <v>0</v>
      </c>
      <c r="AN39" s="106">
        <v>58.486068623537115</v>
      </c>
      <c r="AO39" s="106">
        <v>83237.372865018027</v>
      </c>
      <c r="AP39" s="106">
        <v>0</v>
      </c>
      <c r="AQ39" s="106">
        <v>0</v>
      </c>
      <c r="AR39" s="106">
        <v>22.655026301664428</v>
      </c>
      <c r="AS39" s="106">
        <v>32242.633432528815</v>
      </c>
      <c r="AT39" s="106">
        <v>0</v>
      </c>
      <c r="AU39" s="106">
        <v>0</v>
      </c>
      <c r="AV39" s="106">
        <v>11.401794405152689</v>
      </c>
      <c r="AW39" s="106">
        <v>16227.033797413307</v>
      </c>
      <c r="AX39" s="106">
        <v>17.677648338548732</v>
      </c>
      <c r="AY39" s="106">
        <v>25158.829115422555</v>
      </c>
      <c r="AZ39" s="106">
        <v>12.787688988389011</v>
      </c>
      <c r="BA39" s="106">
        <v>18199.438968275241</v>
      </c>
      <c r="BB39" s="106">
        <v>10.789758396707501</v>
      </c>
      <c r="BC39" s="106">
        <v>15355.984150194117</v>
      </c>
      <c r="BD39" s="106">
        <v>0</v>
      </c>
      <c r="BE39" s="106">
        <v>0</v>
      </c>
      <c r="BF39" s="106">
        <v>23.045885844407866</v>
      </c>
      <c r="BG39" s="106">
        <v>32798.904733761279</v>
      </c>
      <c r="BH39" s="106">
        <v>23.290838213207358</v>
      </c>
      <c r="BI39" s="106">
        <v>33147.520945036711</v>
      </c>
      <c r="BJ39" s="106">
        <v>26.212734353557593</v>
      </c>
      <c r="BK39" s="106">
        <v>37305.963531983165</v>
      </c>
      <c r="BL39" s="106">
        <v>26.389579612885402</v>
      </c>
      <c r="BM39" s="106">
        <v>37557.649705058509</v>
      </c>
      <c r="BN39" s="106">
        <v>0</v>
      </c>
      <c r="BO39" s="106">
        <v>0</v>
      </c>
      <c r="BP39" s="106">
        <v>11.05718256776164</v>
      </c>
      <c r="BQ39" s="106">
        <v>15736.582230438366</v>
      </c>
      <c r="BR39" s="106">
        <v>26.3458540735143</v>
      </c>
      <c r="BS39" s="106">
        <v>37495.419517425551</v>
      </c>
      <c r="BT39" s="106">
        <v>0</v>
      </c>
      <c r="BU39" s="106">
        <v>0</v>
      </c>
      <c r="BV39" s="106">
        <v>16.665185331638856</v>
      </c>
      <c r="BW39" s="106">
        <v>23717.89176398842</v>
      </c>
      <c r="BX39" s="106">
        <v>8.6376619566192616</v>
      </c>
      <c r="BY39" s="106">
        <v>12293.120496660533</v>
      </c>
      <c r="BZ39" s="106">
        <v>3.1749264717810166</v>
      </c>
      <c r="CA39" s="106">
        <v>4518.5553546387428</v>
      </c>
      <c r="CB39" s="106">
        <v>0</v>
      </c>
      <c r="CC39" s="106">
        <v>0</v>
      </c>
      <c r="CD39" s="106">
        <v>2.298824929867707</v>
      </c>
      <c r="CE39" s="106">
        <v>3271.6876401877207</v>
      </c>
      <c r="CF39" s="106">
        <v>4.5717053837053383</v>
      </c>
      <c r="CG39" s="106">
        <v>6506.4511020894379</v>
      </c>
      <c r="CH39" s="106">
        <v>1.762861668494988</v>
      </c>
      <c r="CI39" s="106">
        <v>2508.9047266020671</v>
      </c>
      <c r="CJ39" s="106">
        <v>0</v>
      </c>
      <c r="CK39" s="106">
        <v>0</v>
      </c>
      <c r="CL39" s="106">
        <v>2.9669189666264484</v>
      </c>
      <c r="CM39" s="106">
        <v>4222.5190733027612</v>
      </c>
      <c r="CN39" s="106">
        <v>0</v>
      </c>
      <c r="CO39" s="106">
        <v>0</v>
      </c>
      <c r="CP39" s="106">
        <v>7.0822851733847143</v>
      </c>
      <c r="CQ39" s="106">
        <v>10079.508258761125</v>
      </c>
      <c r="CR39" s="106">
        <v>4.229426324507898</v>
      </c>
      <c r="CS39" s="106">
        <v>6019.3195450396406</v>
      </c>
      <c r="CT39" s="106">
        <v>9.953984432146088</v>
      </c>
      <c r="CU39" s="106">
        <v>14166.510643830314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54.240483382528275</v>
      </c>
      <c r="M40" s="106">
        <v>39313.502355656492</v>
      </c>
      <c r="N40" s="106">
        <v>22.332271763641923</v>
      </c>
      <c r="O40" s="106">
        <v>16186.430574287666</v>
      </c>
      <c r="P40" s="106">
        <v>28.132111634072828</v>
      </c>
      <c r="Q40" s="106">
        <v>20390.154512375986</v>
      </c>
      <c r="R40" s="106">
        <v>20.060960030184852</v>
      </c>
      <c r="S40" s="106">
        <v>14540.18382987798</v>
      </c>
      <c r="T40" s="106">
        <v>0</v>
      </c>
      <c r="U40" s="106">
        <v>0</v>
      </c>
      <c r="V40" s="106">
        <v>12.592355425701935</v>
      </c>
      <c r="W40" s="106">
        <v>9126.939212548763</v>
      </c>
      <c r="X40" s="106">
        <v>0</v>
      </c>
      <c r="Y40" s="106">
        <v>0</v>
      </c>
      <c r="Z40" s="106">
        <v>7.2009113613978606</v>
      </c>
      <c r="AA40" s="106">
        <v>5219.2205547411686</v>
      </c>
      <c r="AB40" s="106">
        <v>28.046458966691112</v>
      </c>
      <c r="AC40" s="106">
        <v>20328.073459057716</v>
      </c>
      <c r="AD40" s="106">
        <v>72.805292552439994</v>
      </c>
      <c r="AE40" s="106">
        <v>52769.276042008503</v>
      </c>
      <c r="AF40" s="106">
        <v>40.579458391541728</v>
      </c>
      <c r="AG40" s="106">
        <v>29411.991442189443</v>
      </c>
      <c r="AH40" s="106">
        <v>0</v>
      </c>
      <c r="AI40" s="106">
        <v>0</v>
      </c>
      <c r="AJ40" s="106">
        <v>64.95821357499274</v>
      </c>
      <c r="AK40" s="106">
        <v>47081.713199154736</v>
      </c>
      <c r="AL40" s="106">
        <v>0</v>
      </c>
      <c r="AM40" s="106">
        <v>0</v>
      </c>
      <c r="AN40" s="106">
        <v>80.10943906533781</v>
      </c>
      <c r="AO40" s="106">
        <v>58063.321434556841</v>
      </c>
      <c r="AP40" s="106">
        <v>0</v>
      </c>
      <c r="AQ40" s="106">
        <v>0</v>
      </c>
      <c r="AR40" s="106">
        <v>28.528551639132985</v>
      </c>
      <c r="AS40" s="106">
        <v>20677.494228043586</v>
      </c>
      <c r="AT40" s="106">
        <v>0</v>
      </c>
      <c r="AU40" s="106">
        <v>0</v>
      </c>
      <c r="AV40" s="106">
        <v>12.786298011492658</v>
      </c>
      <c r="AW40" s="106">
        <v>9267.5087987298775</v>
      </c>
      <c r="AX40" s="106">
        <v>22.527394275648216</v>
      </c>
      <c r="AY40" s="106">
        <v>16327.855370989826</v>
      </c>
      <c r="AZ40" s="106">
        <v>12.405815786389564</v>
      </c>
      <c r="BA40" s="106">
        <v>8991.7352819751559</v>
      </c>
      <c r="BB40" s="106">
        <v>14.160454081898154</v>
      </c>
      <c r="BC40" s="106">
        <v>10263.497118559781</v>
      </c>
      <c r="BD40" s="106">
        <v>0</v>
      </c>
      <c r="BE40" s="106">
        <v>0</v>
      </c>
      <c r="BF40" s="106">
        <v>28.468447219562652</v>
      </c>
      <c r="BG40" s="106">
        <v>20633.930544739007</v>
      </c>
      <c r="BH40" s="106">
        <v>29.547002334947599</v>
      </c>
      <c r="BI40" s="106">
        <v>21415.667292370017</v>
      </c>
      <c r="BJ40" s="106">
        <v>31.61454960931308</v>
      </c>
      <c r="BK40" s="106">
        <v>22914.225556830119</v>
      </c>
      <c r="BL40" s="106">
        <v>35.958783928353995</v>
      </c>
      <c r="BM40" s="106">
        <v>26062.926591270974</v>
      </c>
      <c r="BN40" s="106">
        <v>0</v>
      </c>
      <c r="BO40" s="106">
        <v>0</v>
      </c>
      <c r="BP40" s="106">
        <v>13.367638626696905</v>
      </c>
      <c r="BQ40" s="106">
        <v>9688.8644766299167</v>
      </c>
      <c r="BR40" s="106">
        <v>30.651674275369082</v>
      </c>
      <c r="BS40" s="106">
        <v>22216.333514787508</v>
      </c>
      <c r="BT40" s="106">
        <v>0</v>
      </c>
      <c r="BU40" s="106">
        <v>0</v>
      </c>
      <c r="BV40" s="106">
        <v>20.524491408439431</v>
      </c>
      <c r="BW40" s="106">
        <v>14876.151372836899</v>
      </c>
      <c r="BX40" s="106">
        <v>10.17825184301584</v>
      </c>
      <c r="BY40" s="106">
        <v>7377.1969358178803</v>
      </c>
      <c r="BZ40" s="106">
        <v>3.4186686283922274</v>
      </c>
      <c r="CA40" s="106">
        <v>2477.8510218586862</v>
      </c>
      <c r="CB40" s="106">
        <v>0</v>
      </c>
      <c r="CC40" s="106">
        <v>0</v>
      </c>
      <c r="CD40" s="106">
        <v>3.0403813588572901</v>
      </c>
      <c r="CE40" s="106">
        <v>2203.6684088997636</v>
      </c>
      <c r="CF40" s="106">
        <v>5.8397502269444885</v>
      </c>
      <c r="CG40" s="106">
        <v>4232.6509644893649</v>
      </c>
      <c r="CH40" s="106">
        <v>2.0093363706335388</v>
      </c>
      <c r="CI40" s="106">
        <v>1456.3670014351887</v>
      </c>
      <c r="CJ40" s="106">
        <v>0</v>
      </c>
      <c r="CK40" s="106">
        <v>0</v>
      </c>
      <c r="CL40" s="106">
        <v>2.9669189666264484</v>
      </c>
      <c r="CM40" s="106">
        <v>2150.4228670108496</v>
      </c>
      <c r="CN40" s="106">
        <v>0</v>
      </c>
      <c r="CO40" s="106">
        <v>0</v>
      </c>
      <c r="CP40" s="106">
        <v>8.7596685039231996</v>
      </c>
      <c r="CQ40" s="106">
        <v>6349.0077316435345</v>
      </c>
      <c r="CR40" s="106">
        <v>3.9731311848408803</v>
      </c>
      <c r="CS40" s="106">
        <v>2879.7254827726697</v>
      </c>
      <c r="CT40" s="106">
        <v>11.050213802784041</v>
      </c>
      <c r="CU40" s="106">
        <v>8009.1949642578729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56.883291157547056</v>
      </c>
      <c r="M41" s="106">
        <v>37542.97216398106</v>
      </c>
      <c r="N41" s="106">
        <v>21.370656662829283</v>
      </c>
      <c r="O41" s="106">
        <v>14104.633397467327</v>
      </c>
      <c r="P41" s="106">
        <v>29.990143031964713</v>
      </c>
      <c r="Q41" s="106">
        <v>19793.494401096712</v>
      </c>
      <c r="R41" s="106">
        <v>18.207758770264135</v>
      </c>
      <c r="S41" s="106">
        <v>12017.12078837433</v>
      </c>
      <c r="T41" s="106">
        <v>0</v>
      </c>
      <c r="U41" s="106">
        <v>0</v>
      </c>
      <c r="V41" s="106">
        <v>11.892780124274051</v>
      </c>
      <c r="W41" s="106">
        <v>7849.2348820208736</v>
      </c>
      <c r="X41" s="106">
        <v>0</v>
      </c>
      <c r="Y41" s="106">
        <v>0</v>
      </c>
      <c r="Z41" s="106">
        <v>7.528225514188672</v>
      </c>
      <c r="AA41" s="106">
        <v>4968.6288393645236</v>
      </c>
      <c r="AB41" s="106">
        <v>29.455365847557882</v>
      </c>
      <c r="AC41" s="106">
        <v>19440.541459388201</v>
      </c>
      <c r="AD41" s="106">
        <v>83.542717279049867</v>
      </c>
      <c r="AE41" s="106">
        <v>55138.193404172911</v>
      </c>
      <c r="AF41" s="106">
        <v>46.306860951460912</v>
      </c>
      <c r="AG41" s="106">
        <v>30562.528227964202</v>
      </c>
      <c r="AH41" s="106">
        <v>0</v>
      </c>
      <c r="AI41" s="106">
        <v>0</v>
      </c>
      <c r="AJ41" s="106">
        <v>76.78988819043785</v>
      </c>
      <c r="AK41" s="106">
        <v>50681.32620568898</v>
      </c>
      <c r="AL41" s="106">
        <v>0</v>
      </c>
      <c r="AM41" s="106">
        <v>0</v>
      </c>
      <c r="AN41" s="106">
        <v>71.254154027267049</v>
      </c>
      <c r="AO41" s="106">
        <v>47027.741657996252</v>
      </c>
      <c r="AP41" s="106">
        <v>0</v>
      </c>
      <c r="AQ41" s="106">
        <v>0</v>
      </c>
      <c r="AR41" s="106">
        <v>29.367626687342778</v>
      </c>
      <c r="AS41" s="106">
        <v>19382.633613646234</v>
      </c>
      <c r="AT41" s="106">
        <v>0</v>
      </c>
      <c r="AU41" s="106">
        <v>0</v>
      </c>
      <c r="AV41" s="106">
        <v>12.379091068451491</v>
      </c>
      <c r="AW41" s="106">
        <v>8170.2001051779835</v>
      </c>
      <c r="AX41" s="106">
        <v>21.264409093592207</v>
      </c>
      <c r="AY41" s="106">
        <v>14034.510001770856</v>
      </c>
      <c r="AZ41" s="106">
        <v>11.657383118841697</v>
      </c>
      <c r="BA41" s="106">
        <v>7693.8728584355194</v>
      </c>
      <c r="BB41" s="106">
        <v>13.093823696219324</v>
      </c>
      <c r="BC41" s="106">
        <v>8641.9236395047537</v>
      </c>
      <c r="BD41" s="106">
        <v>0</v>
      </c>
      <c r="BE41" s="106">
        <v>0</v>
      </c>
      <c r="BF41" s="106">
        <v>26.434986703879606</v>
      </c>
      <c r="BG41" s="106">
        <v>17447.09122456054</v>
      </c>
      <c r="BH41" s="106">
        <v>30.577868835365596</v>
      </c>
      <c r="BI41" s="106">
        <v>20181.393431341294</v>
      </c>
      <c r="BJ41" s="106">
        <v>33.030859153749041</v>
      </c>
      <c r="BK41" s="106">
        <v>21800.367041474368</v>
      </c>
      <c r="BL41" s="106">
        <v>36.476724712778868</v>
      </c>
      <c r="BM41" s="106">
        <v>24074.638310434053</v>
      </c>
      <c r="BN41" s="106">
        <v>0</v>
      </c>
      <c r="BO41" s="106">
        <v>0</v>
      </c>
      <c r="BP41" s="106">
        <v>12.790024611963091</v>
      </c>
      <c r="BQ41" s="106">
        <v>8441.4162438956391</v>
      </c>
      <c r="BR41" s="106">
        <v>32.903440053571032</v>
      </c>
      <c r="BS41" s="106">
        <v>21716.270435356881</v>
      </c>
      <c r="BT41" s="106">
        <v>0</v>
      </c>
      <c r="BU41" s="106">
        <v>0</v>
      </c>
      <c r="BV41" s="106">
        <v>21.313894924148638</v>
      </c>
      <c r="BW41" s="106">
        <v>14067.170649938102</v>
      </c>
      <c r="BX41" s="106">
        <v>10.032559796413853</v>
      </c>
      <c r="BY41" s="106">
        <v>6621.4894656331435</v>
      </c>
      <c r="BZ41" s="106">
        <v>3.2591919890895471</v>
      </c>
      <c r="CA41" s="106">
        <v>2151.066712799101</v>
      </c>
      <c r="CB41" s="106">
        <v>0</v>
      </c>
      <c r="CC41" s="106">
        <v>0</v>
      </c>
      <c r="CD41" s="106">
        <v>2.5212918585645818</v>
      </c>
      <c r="CE41" s="106">
        <v>1664.052626652624</v>
      </c>
      <c r="CF41" s="106">
        <v>5.0008589464909834</v>
      </c>
      <c r="CG41" s="106">
        <v>3300.566904684049</v>
      </c>
      <c r="CH41" s="106">
        <v>1.8664817805272251</v>
      </c>
      <c r="CI41" s="106">
        <v>1231.8779751479685</v>
      </c>
      <c r="CJ41" s="106">
        <v>0</v>
      </c>
      <c r="CK41" s="106">
        <v>0</v>
      </c>
      <c r="CL41" s="106">
        <v>3.2965766295849428</v>
      </c>
      <c r="CM41" s="106">
        <v>2175.7405755260625</v>
      </c>
      <c r="CN41" s="106">
        <v>0</v>
      </c>
      <c r="CO41" s="106">
        <v>0</v>
      </c>
      <c r="CP41" s="106">
        <v>8.7596685039231996</v>
      </c>
      <c r="CQ41" s="106">
        <v>5781.3812125893119</v>
      </c>
      <c r="CR41" s="106">
        <v>4.4324679844845463</v>
      </c>
      <c r="CS41" s="106">
        <v>2925.4288697598004</v>
      </c>
      <c r="CT41" s="106">
        <v>11.077823270789548</v>
      </c>
      <c r="CU41" s="106">
        <v>7311.3633587211016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50.716739682503231</v>
      </c>
      <c r="M42" s="106">
        <v>42906.361771397736</v>
      </c>
      <c r="N42" s="106">
        <v>21.658161533535484</v>
      </c>
      <c r="O42" s="106">
        <v>18322.80465737102</v>
      </c>
      <c r="P42" s="106">
        <v>28.187326315156064</v>
      </c>
      <c r="Q42" s="106">
        <v>23846.478062622031</v>
      </c>
      <c r="R42" s="106">
        <v>16.456211673488813</v>
      </c>
      <c r="S42" s="106">
        <v>13921.955075771535</v>
      </c>
      <c r="T42" s="106">
        <v>0</v>
      </c>
      <c r="U42" s="106">
        <v>0</v>
      </c>
      <c r="V42" s="106">
        <v>10.843417172132222</v>
      </c>
      <c r="W42" s="106">
        <v>9173.5309276238604</v>
      </c>
      <c r="X42" s="106">
        <v>0</v>
      </c>
      <c r="Y42" s="106">
        <v>0</v>
      </c>
      <c r="Z42" s="106">
        <v>7.2009113613978606</v>
      </c>
      <c r="AA42" s="106">
        <v>6091.9710117425902</v>
      </c>
      <c r="AB42" s="106">
        <v>27.025188877390349</v>
      </c>
      <c r="AC42" s="106">
        <v>22863.309790272237</v>
      </c>
      <c r="AD42" s="106">
        <v>69.345806477958661</v>
      </c>
      <c r="AE42" s="106">
        <v>58666.552280353026</v>
      </c>
      <c r="AF42" s="106">
        <v>38.374946939278672</v>
      </c>
      <c r="AG42" s="106">
        <v>32465.205110629755</v>
      </c>
      <c r="AH42" s="106">
        <v>0</v>
      </c>
      <c r="AI42" s="106">
        <v>0</v>
      </c>
      <c r="AJ42" s="106">
        <v>60.318341176778972</v>
      </c>
      <c r="AK42" s="106">
        <v>51029.316635555013</v>
      </c>
      <c r="AL42" s="106">
        <v>0</v>
      </c>
      <c r="AM42" s="106">
        <v>0</v>
      </c>
      <c r="AN42" s="106">
        <v>73.313522640771865</v>
      </c>
      <c r="AO42" s="106">
        <v>62023.240154093</v>
      </c>
      <c r="AP42" s="106">
        <v>0</v>
      </c>
      <c r="AQ42" s="106">
        <v>0</v>
      </c>
      <c r="AR42" s="106">
        <v>27.89924535297564</v>
      </c>
      <c r="AS42" s="106">
        <v>23602.761568617392</v>
      </c>
      <c r="AT42" s="106">
        <v>0</v>
      </c>
      <c r="AU42" s="106">
        <v>0</v>
      </c>
      <c r="AV42" s="106">
        <v>12.704856622884426</v>
      </c>
      <c r="AW42" s="106">
        <v>10748.308702960225</v>
      </c>
      <c r="AX42" s="106">
        <v>20.545159624534438</v>
      </c>
      <c r="AY42" s="106">
        <v>17381.205042356134</v>
      </c>
      <c r="AZ42" s="106">
        <v>12.018736971850741</v>
      </c>
      <c r="BA42" s="106">
        <v>10167.851478185727</v>
      </c>
      <c r="BB42" s="106">
        <v>12.296006621614927</v>
      </c>
      <c r="BC42" s="106">
        <v>10402.421601886228</v>
      </c>
      <c r="BD42" s="106">
        <v>0</v>
      </c>
      <c r="BE42" s="106">
        <v>0</v>
      </c>
      <c r="BF42" s="106">
        <v>25.757166531985256</v>
      </c>
      <c r="BG42" s="106">
        <v>21790.562886059528</v>
      </c>
      <c r="BH42" s="106">
        <v>26.516669759085676</v>
      </c>
      <c r="BI42" s="106">
        <v>22433.102616186483</v>
      </c>
      <c r="BJ42" s="106">
        <v>28.220670107354202</v>
      </c>
      <c r="BK42" s="106">
        <v>23874.686910821656</v>
      </c>
      <c r="BL42" s="106">
        <v>31.596457236213158</v>
      </c>
      <c r="BM42" s="106">
        <v>26730.602821836332</v>
      </c>
      <c r="BN42" s="106">
        <v>0</v>
      </c>
      <c r="BO42" s="106">
        <v>0</v>
      </c>
      <c r="BP42" s="106">
        <v>14.27531779270719</v>
      </c>
      <c r="BQ42" s="106">
        <v>12076.918852630282</v>
      </c>
      <c r="BR42" s="106">
        <v>30.349447197354984</v>
      </c>
      <c r="BS42" s="106">
        <v>25675.632328962318</v>
      </c>
      <c r="BT42" s="106">
        <v>0</v>
      </c>
      <c r="BU42" s="106">
        <v>0</v>
      </c>
      <c r="BV42" s="106">
        <v>20.436779906693964</v>
      </c>
      <c r="BW42" s="106">
        <v>17289.515801063095</v>
      </c>
      <c r="BX42" s="106">
        <v>8.8353737418387741</v>
      </c>
      <c r="BY42" s="106">
        <v>7474.7261855956031</v>
      </c>
      <c r="BZ42" s="106">
        <v>3.669201581489224</v>
      </c>
      <c r="CA42" s="106">
        <v>3104.1445379398833</v>
      </c>
      <c r="CB42" s="106">
        <v>0</v>
      </c>
      <c r="CC42" s="106">
        <v>0</v>
      </c>
      <c r="CD42" s="106">
        <v>2.4471362156656236</v>
      </c>
      <c r="CE42" s="106">
        <v>2070.2772384531177</v>
      </c>
      <c r="CF42" s="106">
        <v>5.5531085227230088</v>
      </c>
      <c r="CG42" s="106">
        <v>4697.9298102236653</v>
      </c>
      <c r="CH42" s="106">
        <v>1.9921081133089675</v>
      </c>
      <c r="CI42" s="106">
        <v>1685.3234638593865</v>
      </c>
      <c r="CJ42" s="106">
        <v>0</v>
      </c>
      <c r="CK42" s="106">
        <v>0</v>
      </c>
      <c r="CL42" s="106">
        <v>3.2965766295849428</v>
      </c>
      <c r="CM42" s="106">
        <v>2788.9038286288614</v>
      </c>
      <c r="CN42" s="106">
        <v>0</v>
      </c>
      <c r="CO42" s="106">
        <v>0</v>
      </c>
      <c r="CP42" s="106">
        <v>7.827788875846263</v>
      </c>
      <c r="CQ42" s="106">
        <v>6622.3093889659385</v>
      </c>
      <c r="CR42" s="106">
        <v>4.4231434138886563</v>
      </c>
      <c r="CS42" s="106">
        <v>3741.9793281498032</v>
      </c>
      <c r="CT42" s="106">
        <v>10.759692842737136</v>
      </c>
      <c r="CU42" s="106">
        <v>9102.7001449556174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45.808668100325498</v>
      </c>
      <c r="M43" s="106">
        <v>46834.782265772788</v>
      </c>
      <c r="N43" s="106">
        <v>20.165981635508707</v>
      </c>
      <c r="O43" s="106">
        <v>20617.699624144101</v>
      </c>
      <c r="P43" s="106">
        <v>26.570048286621496</v>
      </c>
      <c r="Q43" s="106">
        <v>27165.217368241818</v>
      </c>
      <c r="R43" s="106">
        <v>15.575283685451456</v>
      </c>
      <c r="S43" s="106">
        <v>15924.170040005569</v>
      </c>
      <c r="T43" s="106">
        <v>0</v>
      </c>
      <c r="U43" s="106">
        <v>0</v>
      </c>
      <c r="V43" s="106">
        <v>12.242567774987993</v>
      </c>
      <c r="W43" s="106">
        <v>12516.801293147724</v>
      </c>
      <c r="X43" s="106">
        <v>0</v>
      </c>
      <c r="Y43" s="106">
        <v>0</v>
      </c>
      <c r="Z43" s="106">
        <v>7.2009113613978606</v>
      </c>
      <c r="AA43" s="106">
        <v>7362.2117758931727</v>
      </c>
      <c r="AB43" s="106">
        <v>24.708701660660683</v>
      </c>
      <c r="AC43" s="106">
        <v>25262.176577859482</v>
      </c>
      <c r="AD43" s="106">
        <v>75.331096049369819</v>
      </c>
      <c r="AE43" s="106">
        <v>77018.512600875707</v>
      </c>
      <c r="AF43" s="106">
        <v>41.147730053628138</v>
      </c>
      <c r="AG43" s="106">
        <v>42069.439206829404</v>
      </c>
      <c r="AH43" s="106">
        <v>0</v>
      </c>
      <c r="AI43" s="106">
        <v>0</v>
      </c>
      <c r="AJ43" s="106">
        <v>60.318341176778972</v>
      </c>
      <c r="AK43" s="106">
        <v>61669.472019138819</v>
      </c>
      <c r="AL43" s="106">
        <v>0</v>
      </c>
      <c r="AM43" s="106">
        <v>0</v>
      </c>
      <c r="AN43" s="106">
        <v>64.870111325402078</v>
      </c>
      <c r="AO43" s="106">
        <v>66323.201819091089</v>
      </c>
      <c r="AP43" s="106">
        <v>0</v>
      </c>
      <c r="AQ43" s="106">
        <v>0</v>
      </c>
      <c r="AR43" s="106">
        <v>27.269939066818292</v>
      </c>
      <c r="AS43" s="106">
        <v>27880.785701915021</v>
      </c>
      <c r="AT43" s="106">
        <v>0</v>
      </c>
      <c r="AU43" s="106">
        <v>0</v>
      </c>
      <c r="AV43" s="106">
        <v>12.297649679843259</v>
      </c>
      <c r="AW43" s="106">
        <v>12573.117032671747</v>
      </c>
      <c r="AX43" s="106">
        <v>20.732508157323466</v>
      </c>
      <c r="AY43" s="106">
        <v>21196.916340047512</v>
      </c>
      <c r="AZ43" s="106">
        <v>12.385751453639726</v>
      </c>
      <c r="BA43" s="106">
        <v>12663.192286201256</v>
      </c>
      <c r="BB43" s="106">
        <v>12.648555758267324</v>
      </c>
      <c r="BC43" s="106">
        <v>12931.883407252511</v>
      </c>
      <c r="BD43" s="106">
        <v>0</v>
      </c>
      <c r="BE43" s="106">
        <v>0</v>
      </c>
      <c r="BF43" s="106">
        <v>27.112806875773956</v>
      </c>
      <c r="BG43" s="106">
        <v>27720.13374979129</v>
      </c>
      <c r="BH43" s="106">
        <v>27.224266251165059</v>
      </c>
      <c r="BI43" s="106">
        <v>27834.089815191157</v>
      </c>
      <c r="BJ43" s="106">
        <v>27.067783484906613</v>
      </c>
      <c r="BK43" s="106">
        <v>27674.101834968522</v>
      </c>
      <c r="BL43" s="106">
        <v>28.87147380498957</v>
      </c>
      <c r="BM43" s="106">
        <v>29518.194818221335</v>
      </c>
      <c r="BN43" s="106">
        <v>0</v>
      </c>
      <c r="BO43" s="106">
        <v>0</v>
      </c>
      <c r="BP43" s="106">
        <v>11.882345445952806</v>
      </c>
      <c r="BQ43" s="106">
        <v>12148.509983942149</v>
      </c>
      <c r="BR43" s="106">
        <v>28.929290235471512</v>
      </c>
      <c r="BS43" s="106">
        <v>29577.306336746075</v>
      </c>
      <c r="BT43" s="106">
        <v>0</v>
      </c>
      <c r="BU43" s="106">
        <v>0</v>
      </c>
      <c r="BV43" s="106">
        <v>18.156280861311803</v>
      </c>
      <c r="BW43" s="106">
        <v>18562.981552605186</v>
      </c>
      <c r="BX43" s="106">
        <v>8.4605023690795083</v>
      </c>
      <c r="BY43" s="106">
        <v>8650.0176221468882</v>
      </c>
      <c r="BZ43" s="106">
        <v>3.1726628729524213</v>
      </c>
      <c r="CA43" s="106">
        <v>3243.7305213065556</v>
      </c>
      <c r="CB43" s="106">
        <v>0</v>
      </c>
      <c r="CC43" s="106">
        <v>0</v>
      </c>
      <c r="CD43" s="106">
        <v>2.3729805727666649</v>
      </c>
      <c r="CE43" s="106">
        <v>2426.1353375966382</v>
      </c>
      <c r="CF43" s="106">
        <v>5.1368988566825537</v>
      </c>
      <c r="CG43" s="106">
        <v>5251.9653910722427</v>
      </c>
      <c r="CH43" s="106">
        <v>1.8446833005988865</v>
      </c>
      <c r="CI43" s="106">
        <v>1886.0042065323016</v>
      </c>
      <c r="CJ43" s="106">
        <v>0</v>
      </c>
      <c r="CK43" s="106">
        <v>0</v>
      </c>
      <c r="CL43" s="106">
        <v>2.8845045508868248</v>
      </c>
      <c r="CM43" s="106">
        <v>2949.1174528266897</v>
      </c>
      <c r="CN43" s="106">
        <v>0</v>
      </c>
      <c r="CO43" s="106">
        <v>0</v>
      </c>
      <c r="CP43" s="106">
        <v>8.3869166526924257</v>
      </c>
      <c r="CQ43" s="106">
        <v>8574.7835857127357</v>
      </c>
      <c r="CR43" s="106">
        <v>4.0001792621253625</v>
      </c>
      <c r="CS43" s="106">
        <v>4089.7832775969705</v>
      </c>
      <c r="CT43" s="106">
        <v>10.833556820341295</v>
      </c>
      <c r="CU43" s="106">
        <v>11076.22849311694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49.584107778923759</v>
      </c>
      <c r="M44" s="106">
        <v>50694.791793171651</v>
      </c>
      <c r="N44" s="106">
        <v>18.793645497393324</v>
      </c>
      <c r="O44" s="106">
        <v>19214.623156534934</v>
      </c>
      <c r="P44" s="106">
        <v>28.128713171629972</v>
      </c>
      <c r="Q44" s="106">
        <v>28758.796346674484</v>
      </c>
      <c r="R44" s="106">
        <v>17.846609109188787</v>
      </c>
      <c r="S44" s="106">
        <v>18246.373153234614</v>
      </c>
      <c r="T44" s="106">
        <v>0</v>
      </c>
      <c r="U44" s="106">
        <v>0</v>
      </c>
      <c r="V44" s="106">
        <v>10.143841870704337</v>
      </c>
      <c r="W44" s="106">
        <v>10371.063928608113</v>
      </c>
      <c r="X44" s="106">
        <v>0</v>
      </c>
      <c r="Y44" s="106">
        <v>0</v>
      </c>
      <c r="Z44" s="106">
        <v>6.8735972086070491</v>
      </c>
      <c r="AA44" s="106">
        <v>7027.5657860798465</v>
      </c>
      <c r="AB44" s="106">
        <v>24.702007910586801</v>
      </c>
      <c r="AC44" s="106">
        <v>25255.332887783945</v>
      </c>
      <c r="AD44" s="106">
        <v>74.944932461451074</v>
      </c>
      <c r="AE44" s="106">
        <v>76623.698948587582</v>
      </c>
      <c r="AF44" s="106">
        <v>35.191847028681856</v>
      </c>
      <c r="AG44" s="106">
        <v>35980.14440212433</v>
      </c>
      <c r="AH44" s="106">
        <v>0</v>
      </c>
      <c r="AI44" s="106">
        <v>0</v>
      </c>
      <c r="AJ44" s="106">
        <v>56.142456018386582</v>
      </c>
      <c r="AK44" s="106">
        <v>57400.04703319844</v>
      </c>
      <c r="AL44" s="106">
        <v>0</v>
      </c>
      <c r="AM44" s="106">
        <v>0</v>
      </c>
      <c r="AN44" s="106">
        <v>61.575121543794353</v>
      </c>
      <c r="AO44" s="106">
        <v>62954.404266375343</v>
      </c>
      <c r="AP44" s="106">
        <v>0</v>
      </c>
      <c r="AQ44" s="106">
        <v>0</v>
      </c>
      <c r="AR44" s="106">
        <v>28.948089163237881</v>
      </c>
      <c r="AS44" s="106">
        <v>29596.526360494408</v>
      </c>
      <c r="AT44" s="106">
        <v>0</v>
      </c>
      <c r="AU44" s="106">
        <v>0</v>
      </c>
      <c r="AV44" s="106">
        <v>11.727559959585623</v>
      </c>
      <c r="AW44" s="106">
        <v>11990.25730268034</v>
      </c>
      <c r="AX44" s="106">
        <v>19.812889554966503</v>
      </c>
      <c r="AY44" s="106">
        <v>20256.698280997753</v>
      </c>
      <c r="AZ44" s="106">
        <v>12.741444677868834</v>
      </c>
      <c r="BA44" s="106">
        <v>13026.853038653097</v>
      </c>
      <c r="BB44" s="106">
        <v>11.171299537928963</v>
      </c>
      <c r="BC44" s="106">
        <v>11421.536647578572</v>
      </c>
      <c r="BD44" s="106">
        <v>0</v>
      </c>
      <c r="BE44" s="106">
        <v>0</v>
      </c>
      <c r="BF44" s="106">
        <v>26.434986703879606</v>
      </c>
      <c r="BG44" s="106">
        <v>27027.130406046508</v>
      </c>
      <c r="BH44" s="106">
        <v>24.699359741074122</v>
      </c>
      <c r="BI44" s="106">
        <v>25252.62539927418</v>
      </c>
      <c r="BJ44" s="106">
        <v>27.355499043913948</v>
      </c>
      <c r="BK44" s="106">
        <v>27968.262222497618</v>
      </c>
      <c r="BL44" s="106">
        <v>32.283308206875411</v>
      </c>
      <c r="BM44" s="106">
        <v>33006.454310709421</v>
      </c>
      <c r="BN44" s="106">
        <v>0</v>
      </c>
      <c r="BO44" s="106">
        <v>0</v>
      </c>
      <c r="BP44" s="106">
        <v>12.955057187601323</v>
      </c>
      <c r="BQ44" s="106">
        <v>13245.250468603592</v>
      </c>
      <c r="BR44" s="106">
        <v>27.682274287638325</v>
      </c>
      <c r="BS44" s="106">
        <v>28302.357231681424</v>
      </c>
      <c r="BT44" s="106">
        <v>0</v>
      </c>
      <c r="BU44" s="106">
        <v>0</v>
      </c>
      <c r="BV44" s="106">
        <v>19.73508789273022</v>
      </c>
      <c r="BW44" s="106">
        <v>20177.153861527378</v>
      </c>
      <c r="BX44" s="106">
        <v>8.8302356924188334</v>
      </c>
      <c r="BY44" s="106">
        <v>9028.0329719290148</v>
      </c>
      <c r="BZ44" s="106">
        <v>3.507461343357948</v>
      </c>
      <c r="CA44" s="106">
        <v>3586.0284774491661</v>
      </c>
      <c r="CB44" s="106">
        <v>0</v>
      </c>
      <c r="CC44" s="106">
        <v>0</v>
      </c>
      <c r="CD44" s="106">
        <v>2.5212918585645818</v>
      </c>
      <c r="CE44" s="106">
        <v>2577.7687961964284</v>
      </c>
      <c r="CF44" s="106">
        <v>5.5434006001641167</v>
      </c>
      <c r="CG44" s="106">
        <v>5667.5727736077924</v>
      </c>
      <c r="CH44" s="106">
        <v>2.0093768565216346</v>
      </c>
      <c r="CI44" s="106">
        <v>2054.3868981077189</v>
      </c>
      <c r="CJ44" s="106">
        <v>0</v>
      </c>
      <c r="CK44" s="106">
        <v>0</v>
      </c>
      <c r="CL44" s="106">
        <v>2.8020901351472012</v>
      </c>
      <c r="CM44" s="106">
        <v>2864.8569541744982</v>
      </c>
      <c r="CN44" s="106">
        <v>0</v>
      </c>
      <c r="CO44" s="106">
        <v>0</v>
      </c>
      <c r="CP44" s="106">
        <v>7.827788875846263</v>
      </c>
      <c r="CQ44" s="106">
        <v>8003.1313466652191</v>
      </c>
      <c r="CR44" s="106">
        <v>4.105676572971424</v>
      </c>
      <c r="CS44" s="106">
        <v>4197.6437282059842</v>
      </c>
      <c r="CT44" s="106">
        <v>10.065854681704939</v>
      </c>
      <c r="CU44" s="106">
        <v>10291.329826575129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46.815452014618366</v>
      </c>
      <c r="M45" s="106">
        <v>58481.862656661266</v>
      </c>
      <c r="N45" s="106">
        <v>17.013098155220725</v>
      </c>
      <c r="O45" s="106">
        <v>21252.762215501731</v>
      </c>
      <c r="P45" s="106">
        <v>22.620394615569197</v>
      </c>
      <c r="Q45" s="106">
        <v>28257.396953769043</v>
      </c>
      <c r="R45" s="106">
        <v>15.569758028773718</v>
      </c>
      <c r="S45" s="106">
        <v>19449.74172954413</v>
      </c>
      <c r="T45" s="106">
        <v>0</v>
      </c>
      <c r="U45" s="106">
        <v>0</v>
      </c>
      <c r="V45" s="106">
        <v>9.7940542199903948</v>
      </c>
      <c r="W45" s="106">
        <v>12234.732531612002</v>
      </c>
      <c r="X45" s="106">
        <v>0</v>
      </c>
      <c r="Y45" s="106">
        <v>0</v>
      </c>
      <c r="Z45" s="106">
        <v>6.5462830558162359</v>
      </c>
      <c r="AA45" s="106">
        <v>8177.616793325642</v>
      </c>
      <c r="AB45" s="106">
        <v>22.46346018168882</v>
      </c>
      <c r="AC45" s="106">
        <v>28061.354458965674</v>
      </c>
      <c r="AD45" s="106">
        <v>57.562940359002283</v>
      </c>
      <c r="AE45" s="106">
        <v>71907.62509646565</v>
      </c>
      <c r="AF45" s="106">
        <v>32.214242183921179</v>
      </c>
      <c r="AG45" s="106">
        <v>40242.031336154338</v>
      </c>
      <c r="AH45" s="106">
        <v>0</v>
      </c>
      <c r="AI45" s="106">
        <v>0</v>
      </c>
      <c r="AJ45" s="106">
        <v>57.302424117940021</v>
      </c>
      <c r="AK45" s="106">
        <v>71582.188208130683</v>
      </c>
      <c r="AL45" s="106">
        <v>0</v>
      </c>
      <c r="AM45" s="106">
        <v>0</v>
      </c>
      <c r="AN45" s="106">
        <v>64.046363880000143</v>
      </c>
      <c r="AO45" s="106">
        <v>80006.717758896179</v>
      </c>
      <c r="AP45" s="106">
        <v>0</v>
      </c>
      <c r="AQ45" s="106">
        <v>0</v>
      </c>
      <c r="AR45" s="106">
        <v>22.864795063716876</v>
      </c>
      <c r="AS45" s="106">
        <v>28562.701993595121</v>
      </c>
      <c r="AT45" s="106">
        <v>0</v>
      </c>
      <c r="AU45" s="106">
        <v>0</v>
      </c>
      <c r="AV45" s="106">
        <v>10.180173576029187</v>
      </c>
      <c r="AW45" s="106">
        <v>12717.072831175661</v>
      </c>
      <c r="AX45" s="106">
        <v>19.142781389574946</v>
      </c>
      <c r="AY45" s="106">
        <v>23913.162511857023</v>
      </c>
      <c r="AZ45" s="106">
        <v>12.845555111561238</v>
      </c>
      <c r="BA45" s="106">
        <v>16046.667445362298</v>
      </c>
      <c r="BB45" s="106">
        <v>11.551450346115324</v>
      </c>
      <c r="BC45" s="106">
        <v>14430.071772367262</v>
      </c>
      <c r="BD45" s="106">
        <v>0</v>
      </c>
      <c r="BE45" s="106">
        <v>0</v>
      </c>
      <c r="BF45" s="106">
        <v>26.434986703879606</v>
      </c>
      <c r="BG45" s="106">
        <v>33022.585390486405</v>
      </c>
      <c r="BH45" s="106">
        <v>23.174186268705149</v>
      </c>
      <c r="BI45" s="106">
        <v>28949.193486866472</v>
      </c>
      <c r="BJ45" s="106">
        <v>23.470622087239448</v>
      </c>
      <c r="BK45" s="106">
        <v>29319.501111379519</v>
      </c>
      <c r="BL45" s="106">
        <v>26.474968891480156</v>
      </c>
      <c r="BM45" s="106">
        <v>33072.531139237013</v>
      </c>
      <c r="BN45" s="106">
        <v>0</v>
      </c>
      <c r="BO45" s="106">
        <v>0</v>
      </c>
      <c r="BP45" s="106">
        <v>11.634796582495456</v>
      </c>
      <c r="BQ45" s="106">
        <v>14534.187890853324</v>
      </c>
      <c r="BR45" s="106">
        <v>26.046540357560097</v>
      </c>
      <c r="BS45" s="106">
        <v>32537.338214664076</v>
      </c>
      <c r="BT45" s="106">
        <v>0</v>
      </c>
      <c r="BU45" s="106">
        <v>0</v>
      </c>
      <c r="BV45" s="106">
        <v>18.419415366548208</v>
      </c>
      <c r="BW45" s="106">
        <v>23009.53367589202</v>
      </c>
      <c r="BX45" s="106">
        <v>8.4800165910468639</v>
      </c>
      <c r="BY45" s="106">
        <v>10593.236725535742</v>
      </c>
      <c r="BZ45" s="106">
        <v>3.254664791432357</v>
      </c>
      <c r="CA45" s="106">
        <v>4065.7272574573003</v>
      </c>
      <c r="CB45" s="106">
        <v>0</v>
      </c>
      <c r="CC45" s="106">
        <v>0</v>
      </c>
      <c r="CD45" s="106">
        <v>2.298824929867707</v>
      </c>
      <c r="CE45" s="106">
        <v>2871.6921023907398</v>
      </c>
      <c r="CF45" s="106">
        <v>4.858347087926818</v>
      </c>
      <c r="CG45" s="106">
        <v>6069.0471822381814</v>
      </c>
      <c r="CH45" s="106">
        <v>1.8335816311942361</v>
      </c>
      <c r="CI45" s="106">
        <v>2290.5101736878401</v>
      </c>
      <c r="CJ45" s="106">
        <v>0</v>
      </c>
      <c r="CK45" s="106">
        <v>0</v>
      </c>
      <c r="CL45" s="106">
        <v>2.5548468879283304</v>
      </c>
      <c r="CM45" s="106">
        <v>3191.5147324000704</v>
      </c>
      <c r="CN45" s="106">
        <v>0</v>
      </c>
      <c r="CO45" s="106">
        <v>0</v>
      </c>
      <c r="CP45" s="106">
        <v>8.5732925783078127</v>
      </c>
      <c r="CQ45" s="106">
        <v>10709.75708882212</v>
      </c>
      <c r="CR45" s="106">
        <v>3.8119509174203934</v>
      </c>
      <c r="CS45" s="106">
        <v>4761.8890860415559</v>
      </c>
      <c r="CT45" s="106">
        <v>10.206499120238302</v>
      </c>
      <c r="CU45" s="106">
        <v>12749.958701001688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48.451475875344279</v>
      </c>
      <c r="M46" s="106">
        <v>58723.188760917263</v>
      </c>
      <c r="N46" s="106">
        <v>19.604383317257867</v>
      </c>
      <c r="O46" s="106">
        <v>23760.512580516533</v>
      </c>
      <c r="P46" s="106">
        <v>23.566347249621835</v>
      </c>
      <c r="Q46" s="106">
        <v>28562.412866541665</v>
      </c>
      <c r="R46" s="106">
        <v>16.02603128396629</v>
      </c>
      <c r="S46" s="106">
        <v>19423.549916167143</v>
      </c>
      <c r="T46" s="106">
        <v>0</v>
      </c>
      <c r="U46" s="106">
        <v>0</v>
      </c>
      <c r="V46" s="106">
        <v>9.7940542199903948</v>
      </c>
      <c r="W46" s="106">
        <v>11870.393714628359</v>
      </c>
      <c r="X46" s="106">
        <v>0</v>
      </c>
      <c r="Y46" s="106">
        <v>0</v>
      </c>
      <c r="Z46" s="106">
        <v>6.2189689030254245</v>
      </c>
      <c r="AA46" s="106">
        <v>7537.3903104668143</v>
      </c>
      <c r="AB46" s="106">
        <v>26.25922490409857</v>
      </c>
      <c r="AC46" s="106">
        <v>31826.180583767466</v>
      </c>
      <c r="AD46" s="106">
        <v>67.746799939390115</v>
      </c>
      <c r="AE46" s="106">
        <v>82109.121526540825</v>
      </c>
      <c r="AF46" s="106">
        <v>33.726895165921206</v>
      </c>
      <c r="AG46" s="106">
        <v>40876.996941096499</v>
      </c>
      <c r="AH46" s="106">
        <v>0</v>
      </c>
      <c r="AI46" s="106">
        <v>0</v>
      </c>
      <c r="AJ46" s="106">
        <v>53.35853257945832</v>
      </c>
      <c r="AK46" s="106">
        <v>64670.541486303482</v>
      </c>
      <c r="AL46" s="106">
        <v>0</v>
      </c>
      <c r="AM46" s="106">
        <v>0</v>
      </c>
      <c r="AN46" s="106">
        <v>59.103879207588555</v>
      </c>
      <c r="AO46" s="106">
        <v>71633.901599597331</v>
      </c>
      <c r="AP46" s="106">
        <v>0</v>
      </c>
      <c r="AQ46" s="106">
        <v>0</v>
      </c>
      <c r="AR46" s="106">
        <v>27.47970782887074</v>
      </c>
      <c r="AS46" s="106">
        <v>33305.40588859134</v>
      </c>
      <c r="AT46" s="106">
        <v>0</v>
      </c>
      <c r="AU46" s="106">
        <v>0</v>
      </c>
      <c r="AV46" s="106">
        <v>11.157470239327989</v>
      </c>
      <c r="AW46" s="106">
        <v>13522.853930065523</v>
      </c>
      <c r="AX46" s="106">
        <v>19.630260856222971</v>
      </c>
      <c r="AY46" s="106">
        <v>23791.876157742241</v>
      </c>
      <c r="AZ46" s="106">
        <v>12.358999741152983</v>
      </c>
      <c r="BA46" s="106">
        <v>14979.107686277415</v>
      </c>
      <c r="BB46" s="106">
        <v>11.177320392128392</v>
      </c>
      <c r="BC46" s="106">
        <v>13546.912315259611</v>
      </c>
      <c r="BD46" s="106">
        <v>0</v>
      </c>
      <c r="BE46" s="106">
        <v>0</v>
      </c>
      <c r="BF46" s="106">
        <v>25.757166531985256</v>
      </c>
      <c r="BG46" s="106">
        <v>31217.68583676613</v>
      </c>
      <c r="BH46" s="106">
        <v>25.002615380536717</v>
      </c>
      <c r="BI46" s="106">
        <v>30303.1698412105</v>
      </c>
      <c r="BJ46" s="106">
        <v>27.721575106965584</v>
      </c>
      <c r="BK46" s="106">
        <v>33598.549029642287</v>
      </c>
      <c r="BL46" s="106">
        <v>28.947521228823721</v>
      </c>
      <c r="BM46" s="106">
        <v>35084.395729334348</v>
      </c>
      <c r="BN46" s="106">
        <v>0</v>
      </c>
      <c r="BO46" s="106">
        <v>0</v>
      </c>
      <c r="BP46" s="106">
        <v>11.634796582495456</v>
      </c>
      <c r="BQ46" s="106">
        <v>14101.373457984493</v>
      </c>
      <c r="BR46" s="106">
        <v>31.309362469030152</v>
      </c>
      <c r="BS46" s="106">
        <v>37946.947312464545</v>
      </c>
      <c r="BT46" s="106">
        <v>0</v>
      </c>
      <c r="BU46" s="106">
        <v>0</v>
      </c>
      <c r="BV46" s="106">
        <v>18.857972875275546</v>
      </c>
      <c r="BW46" s="106">
        <v>22855.863124833963</v>
      </c>
      <c r="BX46" s="106">
        <v>8.2576525344400569</v>
      </c>
      <c r="BY46" s="106">
        <v>10008.274871741349</v>
      </c>
      <c r="BZ46" s="106">
        <v>2.8446551990326796</v>
      </c>
      <c r="CA46" s="106">
        <v>3447.7221012276077</v>
      </c>
      <c r="CB46" s="106">
        <v>0</v>
      </c>
      <c r="CC46" s="106">
        <v>0</v>
      </c>
      <c r="CD46" s="106">
        <v>2.3729805727666649</v>
      </c>
      <c r="CE46" s="106">
        <v>2876.0524541931977</v>
      </c>
      <c r="CF46" s="106">
        <v>5.2583768830357842</v>
      </c>
      <c r="CG46" s="106">
        <v>6373.15278223937</v>
      </c>
      <c r="CH46" s="106">
        <v>1.930103493992245</v>
      </c>
      <c r="CI46" s="106">
        <v>2339.2854347186008</v>
      </c>
      <c r="CJ46" s="106">
        <v>0</v>
      </c>
      <c r="CK46" s="106">
        <v>0</v>
      </c>
      <c r="CL46" s="106">
        <v>2.8845045508868248</v>
      </c>
      <c r="CM46" s="106">
        <v>3496.0195156748318</v>
      </c>
      <c r="CN46" s="106">
        <v>0</v>
      </c>
      <c r="CO46" s="106">
        <v>0</v>
      </c>
      <c r="CP46" s="106">
        <v>8.3869166526924257</v>
      </c>
      <c r="CQ46" s="106">
        <v>10164.94298306322</v>
      </c>
      <c r="CR46" s="106">
        <v>4.2292279742572152</v>
      </c>
      <c r="CS46" s="106">
        <v>5125.8243047997448</v>
      </c>
      <c r="CT46" s="106">
        <v>9.6925053176415066</v>
      </c>
      <c r="CU46" s="106">
        <v>11747.316444981507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39.138724668135254</v>
      </c>
      <c r="M47" s="106">
        <v>59788.315803043413</v>
      </c>
      <c r="N47" s="106">
        <v>14.549115099046483</v>
      </c>
      <c r="O47" s="106">
        <v>22225.228225303406</v>
      </c>
      <c r="P47" s="106">
        <v>22.363301736145981</v>
      </c>
      <c r="Q47" s="106">
        <v>34162.179732136596</v>
      </c>
      <c r="R47" s="106">
        <v>13.340312283357319</v>
      </c>
      <c r="S47" s="106">
        <v>20378.66104405664</v>
      </c>
      <c r="T47" s="106">
        <v>0</v>
      </c>
      <c r="U47" s="106">
        <v>0</v>
      </c>
      <c r="V47" s="106">
        <v>9.7940542199903948</v>
      </c>
      <c r="W47" s="106">
        <v>14961.397226457326</v>
      </c>
      <c r="X47" s="106">
        <v>0</v>
      </c>
      <c r="Y47" s="106">
        <v>0</v>
      </c>
      <c r="Z47" s="106">
        <v>5.891654750234613</v>
      </c>
      <c r="AA47" s="106">
        <v>9000.091796458395</v>
      </c>
      <c r="AB47" s="106">
        <v>22.154443266468245</v>
      </c>
      <c r="AC47" s="106">
        <v>33843.127533856888</v>
      </c>
      <c r="AD47" s="106">
        <v>59.375523472995816</v>
      </c>
      <c r="AE47" s="106">
        <v>90702.049657348398</v>
      </c>
      <c r="AF47" s="106">
        <v>32.182100709812303</v>
      </c>
      <c r="AG47" s="106">
        <v>49161.377044309273</v>
      </c>
      <c r="AH47" s="106">
        <v>0</v>
      </c>
      <c r="AI47" s="106">
        <v>0</v>
      </c>
      <c r="AJ47" s="106">
        <v>54.054513439190387</v>
      </c>
      <c r="AK47" s="106">
        <v>82573.674729707229</v>
      </c>
      <c r="AL47" s="106">
        <v>0</v>
      </c>
      <c r="AM47" s="106">
        <v>0</v>
      </c>
      <c r="AN47" s="106">
        <v>60.957310959742905</v>
      </c>
      <c r="AO47" s="106">
        <v>93118.388222103255</v>
      </c>
      <c r="AP47" s="106">
        <v>0</v>
      </c>
      <c r="AQ47" s="106">
        <v>0</v>
      </c>
      <c r="AR47" s="106">
        <v>22.44525753961198</v>
      </c>
      <c r="AS47" s="106">
        <v>34287.375417511255</v>
      </c>
      <c r="AT47" s="106">
        <v>0</v>
      </c>
      <c r="AU47" s="106">
        <v>0</v>
      </c>
      <c r="AV47" s="106">
        <v>10.913146073503288</v>
      </c>
      <c r="AW47" s="106">
        <v>16670.921941883622</v>
      </c>
      <c r="AX47" s="106">
        <v>16.438949082919248</v>
      </c>
      <c r="AY47" s="106">
        <v>25112.138619067442</v>
      </c>
      <c r="AZ47" s="106">
        <v>11.924978307229607</v>
      </c>
      <c r="BA47" s="106">
        <v>18216.596862123944</v>
      </c>
      <c r="BB47" s="106">
        <v>11.551079590639299</v>
      </c>
      <c r="BC47" s="106">
        <v>17645.429182660591</v>
      </c>
      <c r="BD47" s="106">
        <v>0</v>
      </c>
      <c r="BE47" s="106">
        <v>0</v>
      </c>
      <c r="BF47" s="106">
        <v>25.757166531985256</v>
      </c>
      <c r="BG47" s="106">
        <v>39346.647594260678</v>
      </c>
      <c r="BH47" s="106">
        <v>22.417299991299213</v>
      </c>
      <c r="BI47" s="106">
        <v>34244.667466708677</v>
      </c>
      <c r="BJ47" s="106">
        <v>25.186793509192231</v>
      </c>
      <c r="BK47" s="106">
        <v>38475.34576464205</v>
      </c>
      <c r="BL47" s="106">
        <v>27.319519822667075</v>
      </c>
      <c r="BM47" s="106">
        <v>41733.29848110622</v>
      </c>
      <c r="BN47" s="106">
        <v>0</v>
      </c>
      <c r="BO47" s="106">
        <v>0</v>
      </c>
      <c r="BP47" s="106">
        <v>10.562084840846939</v>
      </c>
      <c r="BQ47" s="106">
        <v>16134.640802877784</v>
      </c>
      <c r="BR47" s="106">
        <v>27.858223018240558</v>
      </c>
      <c r="BS47" s="106">
        <v>42556.221482664274</v>
      </c>
      <c r="BT47" s="106">
        <v>0</v>
      </c>
      <c r="BU47" s="106">
        <v>0</v>
      </c>
      <c r="BV47" s="106">
        <v>15.963493317675113</v>
      </c>
      <c r="BW47" s="106">
        <v>24385.832392080501</v>
      </c>
      <c r="BX47" s="106">
        <v>7.866808243460147</v>
      </c>
      <c r="BY47" s="106">
        <v>12017.336272709719</v>
      </c>
      <c r="BZ47" s="106">
        <v>3.0109226348211457</v>
      </c>
      <c r="CA47" s="106">
        <v>4599.4854169527816</v>
      </c>
      <c r="CB47" s="106">
        <v>0</v>
      </c>
      <c r="CC47" s="106">
        <v>0</v>
      </c>
      <c r="CD47" s="106">
        <v>2.2246692869687483</v>
      </c>
      <c r="CE47" s="106">
        <v>3398.4048027734598</v>
      </c>
      <c r="CF47" s="106">
        <v>4.6931834100585696</v>
      </c>
      <c r="CG47" s="106">
        <v>7169.3069772054705</v>
      </c>
      <c r="CH47" s="106">
        <v>1.9145125737600195</v>
      </c>
      <c r="CI47" s="106">
        <v>2924.6094076758054</v>
      </c>
      <c r="CJ47" s="106">
        <v>0</v>
      </c>
      <c r="CK47" s="106">
        <v>0</v>
      </c>
      <c r="CL47" s="106">
        <v>2.8020901351472012</v>
      </c>
      <c r="CM47" s="106">
        <v>4280.4728904508638</v>
      </c>
      <c r="CN47" s="106">
        <v>0</v>
      </c>
      <c r="CO47" s="106">
        <v>0</v>
      </c>
      <c r="CP47" s="106">
        <v>7.6414129502308761</v>
      </c>
      <c r="CQ47" s="106">
        <v>11673.022422772685</v>
      </c>
      <c r="CR47" s="106">
        <v>3.9350395014545914</v>
      </c>
      <c r="CS47" s="106">
        <v>6011.1663424220333</v>
      </c>
      <c r="CT47" s="106">
        <v>9.4092776768806825</v>
      </c>
      <c r="CU47" s="106">
        <v>14373.612579202931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48.451475875344279</v>
      </c>
      <c r="M48" s="106">
        <v>42036.5004694487</v>
      </c>
      <c r="N48" s="106">
        <v>19.104749848595905</v>
      </c>
      <c r="O48" s="106">
        <v>16575.280968641808</v>
      </c>
      <c r="P48" s="106">
        <v>30.012198870273902</v>
      </c>
      <c r="Q48" s="106">
        <v>26038.583739849637</v>
      </c>
      <c r="R48" s="106">
        <v>18.427858821556246</v>
      </c>
      <c r="S48" s="106">
        <v>15988.010313582199</v>
      </c>
      <c r="T48" s="106">
        <v>0</v>
      </c>
      <c r="U48" s="106">
        <v>0</v>
      </c>
      <c r="V48" s="106">
        <v>11.193204822846166</v>
      </c>
      <c r="W48" s="106">
        <v>9711.2245043013336</v>
      </c>
      <c r="X48" s="106">
        <v>0</v>
      </c>
      <c r="Y48" s="106">
        <v>0</v>
      </c>
      <c r="Z48" s="106">
        <v>6.8735972086070491</v>
      </c>
      <c r="AA48" s="106">
        <v>5963.5329381874762</v>
      </c>
      <c r="AB48" s="106">
        <v>28.632418749600554</v>
      </c>
      <c r="AC48" s="106">
        <v>24841.48650715344</v>
      </c>
      <c r="AD48" s="106">
        <v>67.897375321321533</v>
      </c>
      <c r="AE48" s="106">
        <v>58907.762828778563</v>
      </c>
      <c r="AF48" s="106">
        <v>40.139681490318765</v>
      </c>
      <c r="AG48" s="106">
        <v>34825.187661000564</v>
      </c>
      <c r="AH48" s="106">
        <v>0</v>
      </c>
      <c r="AI48" s="106">
        <v>0</v>
      </c>
      <c r="AJ48" s="106">
        <v>66.350175294456875</v>
      </c>
      <c r="AK48" s="106">
        <v>57565.412085470787</v>
      </c>
      <c r="AL48" s="106">
        <v>0</v>
      </c>
      <c r="AM48" s="106">
        <v>0</v>
      </c>
      <c r="AN48" s="106">
        <v>67.959164245659323</v>
      </c>
      <c r="AO48" s="106">
        <v>58961.370899534028</v>
      </c>
      <c r="AP48" s="106">
        <v>0</v>
      </c>
      <c r="AQ48" s="106">
        <v>0</v>
      </c>
      <c r="AR48" s="106">
        <v>27.060170304765844</v>
      </c>
      <c r="AS48" s="106">
        <v>23477.403756414846</v>
      </c>
      <c r="AT48" s="106">
        <v>0</v>
      </c>
      <c r="AU48" s="106">
        <v>0</v>
      </c>
      <c r="AV48" s="106">
        <v>11.320353016544455</v>
      </c>
      <c r="AW48" s="106">
        <v>9821.5382771539698</v>
      </c>
      <c r="AX48" s="106">
        <v>21.455315097723236</v>
      </c>
      <c r="AY48" s="106">
        <v>18614.631378784681</v>
      </c>
      <c r="AZ48" s="106">
        <v>12.388659919105553</v>
      </c>
      <c r="BA48" s="106">
        <v>10748.401345815979</v>
      </c>
      <c r="BB48" s="106">
        <v>13.814203866052203</v>
      </c>
      <c r="BC48" s="106">
        <v>11985.203274186892</v>
      </c>
      <c r="BD48" s="106">
        <v>0</v>
      </c>
      <c r="BE48" s="106">
        <v>0</v>
      </c>
      <c r="BF48" s="106">
        <v>28.468447219562652</v>
      </c>
      <c r="BG48" s="106">
        <v>24699.224807692557</v>
      </c>
      <c r="BH48" s="106">
        <v>25.806849448242296</v>
      </c>
      <c r="BI48" s="106">
        <v>22390.022581295016</v>
      </c>
      <c r="BJ48" s="106">
        <v>27.930930161928622</v>
      </c>
      <c r="BK48" s="106">
        <v>24232.875008489274</v>
      </c>
      <c r="BL48" s="106">
        <v>31.435020533784254</v>
      </c>
      <c r="BM48" s="106">
        <v>27273.023815111221</v>
      </c>
      <c r="BN48" s="106">
        <v>0</v>
      </c>
      <c r="BO48" s="106">
        <v>0</v>
      </c>
      <c r="BP48" s="106">
        <v>11.717312870314572</v>
      </c>
      <c r="BQ48" s="106">
        <v>10165.940646284924</v>
      </c>
      <c r="BR48" s="106">
        <v>31.879061352708163</v>
      </c>
      <c r="BS48" s="106">
        <v>27658.273629609605</v>
      </c>
      <c r="BT48" s="106">
        <v>0</v>
      </c>
      <c r="BU48" s="106">
        <v>0</v>
      </c>
      <c r="BV48" s="106">
        <v>18.857972875275546</v>
      </c>
      <c r="BW48" s="106">
        <v>16361.177266589064</v>
      </c>
      <c r="BX48" s="106">
        <v>10.006230304896027</v>
      </c>
      <c r="BY48" s="106">
        <v>8681.4054125277926</v>
      </c>
      <c r="BZ48" s="106">
        <v>3.1726628729524213</v>
      </c>
      <c r="CA48" s="106">
        <v>2752.602308573521</v>
      </c>
      <c r="CB48" s="106">
        <v>0</v>
      </c>
      <c r="CC48" s="106">
        <v>0</v>
      </c>
      <c r="CD48" s="106">
        <v>2.7437587872614571</v>
      </c>
      <c r="CE48" s="106">
        <v>2380.4851238280403</v>
      </c>
      <c r="CF48" s="106">
        <v>5.4251585479971833</v>
      </c>
      <c r="CG48" s="106">
        <v>4706.8675562423559</v>
      </c>
      <c r="CH48" s="106">
        <v>2.0050697921904921</v>
      </c>
      <c r="CI48" s="106">
        <v>1739.598551704471</v>
      </c>
      <c r="CJ48" s="106">
        <v>0</v>
      </c>
      <c r="CK48" s="106">
        <v>0</v>
      </c>
      <c r="CL48" s="106">
        <v>3.049333382366072</v>
      </c>
      <c r="CM48" s="106">
        <v>2645.6016425408043</v>
      </c>
      <c r="CN48" s="106">
        <v>0</v>
      </c>
      <c r="CO48" s="106">
        <v>0</v>
      </c>
      <c r="CP48" s="106">
        <v>7.827788875846263</v>
      </c>
      <c r="CQ48" s="106">
        <v>6791.3896286842182</v>
      </c>
      <c r="CR48" s="106">
        <v>4.1288227075855772</v>
      </c>
      <c r="CS48" s="106">
        <v>3582.1665811012467</v>
      </c>
      <c r="CT48" s="106">
        <v>10.317414451439276</v>
      </c>
      <c r="CU48" s="106">
        <v>8951.3887780687164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30.441526963729</v>
      </c>
      <c r="M49" s="106">
        <v>29990.99236466581</v>
      </c>
      <c r="N49" s="106">
        <v>32.281334358373073</v>
      </c>
      <c r="O49" s="106">
        <v>31803.570609869148</v>
      </c>
      <c r="P49" s="106">
        <v>26.901084935081464</v>
      </c>
      <c r="Q49" s="106">
        <v>26502.948878042258</v>
      </c>
      <c r="R49" s="106">
        <v>84.515488562565565</v>
      </c>
      <c r="S49" s="106">
        <v>83264.65933183959</v>
      </c>
      <c r="T49" s="106">
        <v>0</v>
      </c>
      <c r="U49" s="106">
        <v>0</v>
      </c>
      <c r="V49" s="106">
        <v>8.5768028320518024</v>
      </c>
      <c r="W49" s="106">
        <v>8449.8661501374354</v>
      </c>
      <c r="X49" s="106">
        <v>7.3457448645714978</v>
      </c>
      <c r="Y49" s="106">
        <v>7237.027840575839</v>
      </c>
      <c r="Z49" s="106">
        <v>9.8238288334424073</v>
      </c>
      <c r="AA49" s="106">
        <v>9678.4361667074591</v>
      </c>
      <c r="AB49" s="106">
        <v>8.0919215230411794</v>
      </c>
      <c r="AC49" s="106">
        <v>7972.1610845001696</v>
      </c>
      <c r="AD49" s="106">
        <v>0</v>
      </c>
      <c r="AE49" s="106">
        <v>0</v>
      </c>
      <c r="AF49" s="106">
        <v>34.282651296829961</v>
      </c>
      <c r="AG49" s="106">
        <v>33775.268057636873</v>
      </c>
      <c r="AH49" s="106">
        <v>13.168886941909223</v>
      </c>
      <c r="AI49" s="106">
        <v>12973.987415168966</v>
      </c>
      <c r="AJ49" s="106">
        <v>0</v>
      </c>
      <c r="AK49" s="106">
        <v>0</v>
      </c>
      <c r="AL49" s="106">
        <v>8.5686966939729086</v>
      </c>
      <c r="AM49" s="106">
        <v>8441.8799829021082</v>
      </c>
      <c r="AN49" s="106">
        <v>8.1412865477801901</v>
      </c>
      <c r="AO49" s="106">
        <v>8020.7955068730425</v>
      </c>
      <c r="AP49" s="106">
        <v>9.4077781848056468</v>
      </c>
      <c r="AQ49" s="106">
        <v>9268.5430676705219</v>
      </c>
      <c r="AR49" s="106">
        <v>0</v>
      </c>
      <c r="AS49" s="106">
        <v>0</v>
      </c>
      <c r="AT49" s="106">
        <v>11.590005566129614</v>
      </c>
      <c r="AU49" s="106">
        <v>11418.473483750895</v>
      </c>
      <c r="AV49" s="106">
        <v>4.5012472881649552</v>
      </c>
      <c r="AW49" s="106">
        <v>4434.628828300114</v>
      </c>
      <c r="AX49" s="106">
        <v>3.5854909530051815</v>
      </c>
      <c r="AY49" s="106">
        <v>3532.4256869007045</v>
      </c>
      <c r="AZ49" s="106">
        <v>7.3442870853359388</v>
      </c>
      <c r="BA49" s="106">
        <v>7235.5916364729665</v>
      </c>
      <c r="BB49" s="106">
        <v>2.4778536860287566</v>
      </c>
      <c r="BC49" s="106">
        <v>2441.1814514755306</v>
      </c>
      <c r="BD49" s="106">
        <v>2.6155035236999011</v>
      </c>
      <c r="BE49" s="106">
        <v>2576.7940715491422</v>
      </c>
      <c r="BF49" s="106">
        <v>3.4489643058549406</v>
      </c>
      <c r="BG49" s="106">
        <v>3397.9196341282873</v>
      </c>
      <c r="BH49" s="106">
        <v>8.2008452038189947</v>
      </c>
      <c r="BI49" s="106">
        <v>8079.4726948024727</v>
      </c>
      <c r="BJ49" s="106">
        <v>0</v>
      </c>
      <c r="BK49" s="106">
        <v>0</v>
      </c>
      <c r="BL49" s="106">
        <v>12.934323130834677</v>
      </c>
      <c r="BM49" s="106">
        <v>12742.895148498323</v>
      </c>
      <c r="BN49" s="106">
        <v>12.447129241893522</v>
      </c>
      <c r="BO49" s="106">
        <v>12262.911729113497</v>
      </c>
      <c r="BP49" s="106">
        <v>17.739053383556644</v>
      </c>
      <c r="BQ49" s="106">
        <v>17476.515393480004</v>
      </c>
      <c r="BR49" s="106">
        <v>8.4664897735945583</v>
      </c>
      <c r="BS49" s="106">
        <v>8341.1857249453587</v>
      </c>
      <c r="BT49" s="106">
        <v>0</v>
      </c>
      <c r="BU49" s="106">
        <v>0</v>
      </c>
      <c r="BV49" s="106">
        <v>12.91928962668314</v>
      </c>
      <c r="BW49" s="106">
        <v>12728.084140208228</v>
      </c>
      <c r="BX49" s="106">
        <v>39.915514290533558</v>
      </c>
      <c r="BY49" s="106">
        <v>39324.764679033658</v>
      </c>
      <c r="BZ49" s="106">
        <v>0</v>
      </c>
      <c r="CA49" s="106">
        <v>0</v>
      </c>
      <c r="CB49" s="106">
        <v>130.97236058858573</v>
      </c>
      <c r="CC49" s="106">
        <v>129033.96965187465</v>
      </c>
      <c r="CD49" s="106">
        <v>67.248825467983622</v>
      </c>
      <c r="CE49" s="106">
        <v>66253.542851057457</v>
      </c>
      <c r="CF49" s="106">
        <v>15.964220375754383</v>
      </c>
      <c r="CG49" s="106">
        <v>15727.949914193217</v>
      </c>
      <c r="CH49" s="106">
        <v>22.568346375861644</v>
      </c>
      <c r="CI49" s="106">
        <v>22234.33484949889</v>
      </c>
      <c r="CJ49" s="106">
        <v>21.564317026204684</v>
      </c>
      <c r="CK49" s="106">
        <v>21245.165134216852</v>
      </c>
      <c r="CL49" s="106">
        <v>0</v>
      </c>
      <c r="CM49" s="106">
        <v>0</v>
      </c>
      <c r="CN49" s="106">
        <v>8.8519279873677199</v>
      </c>
      <c r="CO49" s="106">
        <v>8720.9194531546764</v>
      </c>
      <c r="CP49" s="106">
        <v>8.6957824622045816</v>
      </c>
      <c r="CQ49" s="106">
        <v>8567.0848817639526</v>
      </c>
      <c r="CR49" s="106">
        <v>10.113832290341529</v>
      </c>
      <c r="CS49" s="106">
        <v>9964.1475724444736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24.162813943028837</v>
      </c>
      <c r="M50" s="106">
        <v>6813.9135319341322</v>
      </c>
      <c r="N50" s="106">
        <v>13.451320852546148</v>
      </c>
      <c r="O50" s="106">
        <v>3793.2724804180139</v>
      </c>
      <c r="P50" s="106">
        <v>9.3217682207153096</v>
      </c>
      <c r="Q50" s="106">
        <v>2628.7386382417171</v>
      </c>
      <c r="R50" s="106">
        <v>14.982884386795813</v>
      </c>
      <c r="S50" s="106">
        <v>4225.173397076419</v>
      </c>
      <c r="T50" s="106">
        <v>0</v>
      </c>
      <c r="U50" s="106">
        <v>0</v>
      </c>
      <c r="V50" s="106">
        <v>6.2961777128509677</v>
      </c>
      <c r="W50" s="106">
        <v>1775.5221150239729</v>
      </c>
      <c r="X50" s="106">
        <v>0</v>
      </c>
      <c r="Y50" s="106">
        <v>0</v>
      </c>
      <c r="Z50" s="106">
        <v>6.8735972086070491</v>
      </c>
      <c r="AA50" s="106">
        <v>1938.3544128271878</v>
      </c>
      <c r="AB50" s="106">
        <v>3.8579194975842097</v>
      </c>
      <c r="AC50" s="106">
        <v>1087.9332983187471</v>
      </c>
      <c r="AD50" s="106">
        <v>7.6938172156195179</v>
      </c>
      <c r="AE50" s="106">
        <v>2169.656454804704</v>
      </c>
      <c r="AF50" s="106">
        <v>5.4826086547155235</v>
      </c>
      <c r="AG50" s="106">
        <v>1546.0956406297776</v>
      </c>
      <c r="AH50" s="106">
        <v>0</v>
      </c>
      <c r="AI50" s="106">
        <v>0</v>
      </c>
      <c r="AJ50" s="106">
        <v>8.1197766968740925</v>
      </c>
      <c r="AK50" s="106">
        <v>2289.7770285184943</v>
      </c>
      <c r="AL50" s="106">
        <v>0</v>
      </c>
      <c r="AM50" s="106">
        <v>0</v>
      </c>
      <c r="AN50" s="106">
        <v>7.825600731318346</v>
      </c>
      <c r="AO50" s="106">
        <v>2206.8194062317734</v>
      </c>
      <c r="AP50" s="106">
        <v>0</v>
      </c>
      <c r="AQ50" s="106">
        <v>0</v>
      </c>
      <c r="AR50" s="106">
        <v>5.4539878133636588</v>
      </c>
      <c r="AS50" s="106">
        <v>1538.0245633685518</v>
      </c>
      <c r="AT50" s="106">
        <v>0</v>
      </c>
      <c r="AU50" s="106">
        <v>0</v>
      </c>
      <c r="AV50" s="106">
        <v>2.5246830468552384</v>
      </c>
      <c r="AW50" s="106">
        <v>711.96061921317721</v>
      </c>
      <c r="AX50" s="106">
        <v>5.1316262537378368</v>
      </c>
      <c r="AY50" s="106">
        <v>1447.11860355407</v>
      </c>
      <c r="AZ50" s="106">
        <v>17.116278356272034</v>
      </c>
      <c r="BA50" s="106">
        <v>4826.7904964687132</v>
      </c>
      <c r="BB50" s="106">
        <v>14.669423617548125</v>
      </c>
      <c r="BC50" s="106">
        <v>4136.7774601485708</v>
      </c>
      <c r="BD50" s="106">
        <v>0</v>
      </c>
      <c r="BE50" s="106">
        <v>0</v>
      </c>
      <c r="BF50" s="106">
        <v>29.146267391457002</v>
      </c>
      <c r="BG50" s="106">
        <v>8219.2474043908751</v>
      </c>
      <c r="BH50" s="106">
        <v>2.707934970032984</v>
      </c>
      <c r="BI50" s="106">
        <v>763.63766154930147</v>
      </c>
      <c r="BJ50" s="106">
        <v>2.3139531755481211</v>
      </c>
      <c r="BK50" s="106">
        <v>652.53479550457018</v>
      </c>
      <c r="BL50" s="106">
        <v>2.2690395564752799</v>
      </c>
      <c r="BM50" s="106">
        <v>639.86915492602895</v>
      </c>
      <c r="BN50" s="106">
        <v>0</v>
      </c>
      <c r="BO50" s="106">
        <v>0</v>
      </c>
      <c r="BP50" s="106">
        <v>1.9803909076588009</v>
      </c>
      <c r="BQ50" s="106">
        <v>558.4702359597818</v>
      </c>
      <c r="BR50" s="106">
        <v>2.8380967208698342</v>
      </c>
      <c r="BS50" s="106">
        <v>800.3432752852932</v>
      </c>
      <c r="BT50" s="106">
        <v>0</v>
      </c>
      <c r="BU50" s="106">
        <v>0</v>
      </c>
      <c r="BV50" s="106">
        <v>1.4033840279274825</v>
      </c>
      <c r="BW50" s="106">
        <v>395.75429587555004</v>
      </c>
      <c r="BX50" s="106">
        <v>49.422189550769069</v>
      </c>
      <c r="BY50" s="106">
        <v>13937.057453316878</v>
      </c>
      <c r="BZ50" s="106">
        <v>30.018980599491609</v>
      </c>
      <c r="CA50" s="106">
        <v>8465.352529056634</v>
      </c>
      <c r="CB50" s="106">
        <v>0</v>
      </c>
      <c r="CC50" s="106">
        <v>0</v>
      </c>
      <c r="CD50" s="106">
        <v>32.628482875541643</v>
      </c>
      <c r="CE50" s="106">
        <v>9201.2321709027437</v>
      </c>
      <c r="CF50" s="106">
        <v>18.160035986654425</v>
      </c>
      <c r="CG50" s="106">
        <v>5121.1301482365479</v>
      </c>
      <c r="CH50" s="106">
        <v>10.426285952396453</v>
      </c>
      <c r="CI50" s="106">
        <v>2940.2126385757997</v>
      </c>
      <c r="CJ50" s="106">
        <v>0</v>
      </c>
      <c r="CK50" s="106">
        <v>0</v>
      </c>
      <c r="CL50" s="106">
        <v>7.5821262480453688</v>
      </c>
      <c r="CM50" s="106">
        <v>2138.1596019487938</v>
      </c>
      <c r="CN50" s="106">
        <v>0</v>
      </c>
      <c r="CO50" s="106">
        <v>0</v>
      </c>
      <c r="CP50" s="106">
        <v>3.1683907354615828</v>
      </c>
      <c r="CQ50" s="106">
        <v>893.48618740016639</v>
      </c>
      <c r="CR50" s="106">
        <v>3.5291255278037066</v>
      </c>
      <c r="CS50" s="106">
        <v>995.21339884064525</v>
      </c>
      <c r="CT50" s="106">
        <v>4.9945816429656977</v>
      </c>
      <c r="CU50" s="106">
        <v>1408.4720233163268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22.27509410372971</v>
      </c>
      <c r="M51" s="106">
        <v>19031.840402226662</v>
      </c>
      <c r="N51" s="106">
        <v>12.009330828865608</v>
      </c>
      <c r="O51" s="106">
        <v>10260.772260182775</v>
      </c>
      <c r="P51" s="106">
        <v>7.7009187502317742</v>
      </c>
      <c r="Q51" s="106">
        <v>6579.6649801980275</v>
      </c>
      <c r="R51" s="106">
        <v>11.495457697580441</v>
      </c>
      <c r="S51" s="106">
        <v>9821.719056812728</v>
      </c>
      <c r="T51" s="106">
        <v>0</v>
      </c>
      <c r="U51" s="106">
        <v>0</v>
      </c>
      <c r="V51" s="106">
        <v>5.596602411423083</v>
      </c>
      <c r="W51" s="106">
        <v>4781.7371003198823</v>
      </c>
      <c r="X51" s="106">
        <v>0</v>
      </c>
      <c r="Y51" s="106">
        <v>0</v>
      </c>
      <c r="Z51" s="106">
        <v>6.8735972086070491</v>
      </c>
      <c r="AA51" s="106">
        <v>5872.801455033863</v>
      </c>
      <c r="AB51" s="106">
        <v>3.1003082497256993</v>
      </c>
      <c r="AC51" s="106">
        <v>2648.9033685656373</v>
      </c>
      <c r="AD51" s="106">
        <v>6.950838880531836</v>
      </c>
      <c r="AE51" s="106">
        <v>5938.7967395264004</v>
      </c>
      <c r="AF51" s="106">
        <v>5.3840152794382172</v>
      </c>
      <c r="AG51" s="106">
        <v>4600.1026547520123</v>
      </c>
      <c r="AH51" s="106">
        <v>0</v>
      </c>
      <c r="AI51" s="106">
        <v>0</v>
      </c>
      <c r="AJ51" s="106">
        <v>7.6557894570527161</v>
      </c>
      <c r="AK51" s="106">
        <v>6541.10651210584</v>
      </c>
      <c r="AL51" s="106">
        <v>0</v>
      </c>
      <c r="AM51" s="106">
        <v>0</v>
      </c>
      <c r="AN51" s="106">
        <v>6.589979563215449</v>
      </c>
      <c r="AO51" s="106">
        <v>5630.4785388112796</v>
      </c>
      <c r="AP51" s="106">
        <v>0</v>
      </c>
      <c r="AQ51" s="106">
        <v>0</v>
      </c>
      <c r="AR51" s="106">
        <v>5.0344502892587624</v>
      </c>
      <c r="AS51" s="106">
        <v>4301.434327142686</v>
      </c>
      <c r="AT51" s="106">
        <v>0</v>
      </c>
      <c r="AU51" s="106">
        <v>0</v>
      </c>
      <c r="AV51" s="106">
        <v>2.0360347152058376</v>
      </c>
      <c r="AW51" s="106">
        <v>1739.5880606718677</v>
      </c>
      <c r="AX51" s="106">
        <v>4.4931654047491767</v>
      </c>
      <c r="AY51" s="106">
        <v>3838.9605218176966</v>
      </c>
      <c r="AZ51" s="106">
        <v>13.735468871541759</v>
      </c>
      <c r="BA51" s="106">
        <v>11735.584603845278</v>
      </c>
      <c r="BB51" s="106">
        <v>14.880994430436477</v>
      </c>
      <c r="BC51" s="106">
        <v>12714.321641364926</v>
      </c>
      <c r="BD51" s="106">
        <v>0</v>
      </c>
      <c r="BE51" s="106">
        <v>0</v>
      </c>
      <c r="BF51" s="106">
        <v>31.179727907140048</v>
      </c>
      <c r="BG51" s="106">
        <v>26639.959523860456</v>
      </c>
      <c r="BH51" s="106">
        <v>2.4969074883894637</v>
      </c>
      <c r="BI51" s="106">
        <v>2133.3577580799579</v>
      </c>
      <c r="BJ51" s="106">
        <v>2.3118871081534889</v>
      </c>
      <c r="BK51" s="106">
        <v>1975.2763452063409</v>
      </c>
      <c r="BL51" s="106">
        <v>2.1818916781460307</v>
      </c>
      <c r="BM51" s="106">
        <v>1864.2082498079685</v>
      </c>
      <c r="BN51" s="106">
        <v>0</v>
      </c>
      <c r="BO51" s="106">
        <v>0</v>
      </c>
      <c r="BP51" s="106">
        <v>1.5678094685632176</v>
      </c>
      <c r="BQ51" s="106">
        <v>1339.536409940413</v>
      </c>
      <c r="BR51" s="106">
        <v>2.8296065411045523</v>
      </c>
      <c r="BS51" s="106">
        <v>2417.6158287197295</v>
      </c>
      <c r="BT51" s="106">
        <v>0</v>
      </c>
      <c r="BU51" s="106">
        <v>0</v>
      </c>
      <c r="BV51" s="106">
        <v>1.1402495226910794</v>
      </c>
      <c r="BW51" s="106">
        <v>974.22919218725815</v>
      </c>
      <c r="BX51" s="106">
        <v>37.862627353374791</v>
      </c>
      <c r="BY51" s="106">
        <v>32349.828810723418</v>
      </c>
      <c r="BZ51" s="106">
        <v>25.743562844391995</v>
      </c>
      <c r="CA51" s="106">
        <v>21995.30009424852</v>
      </c>
      <c r="CB51" s="106">
        <v>0</v>
      </c>
      <c r="CC51" s="106">
        <v>0</v>
      </c>
      <c r="CD51" s="106">
        <v>25.361229871443733</v>
      </c>
      <c r="CE51" s="106">
        <v>21668.634802161523</v>
      </c>
      <c r="CF51" s="106">
        <v>13.561840643624803</v>
      </c>
      <c r="CG51" s="106">
        <v>11587.236645913032</v>
      </c>
      <c r="CH51" s="106">
        <v>8.5839146562210367</v>
      </c>
      <c r="CI51" s="106">
        <v>7334.0966822752534</v>
      </c>
      <c r="CJ51" s="106">
        <v>0</v>
      </c>
      <c r="CK51" s="106">
        <v>0</v>
      </c>
      <c r="CL51" s="106">
        <v>6.5107388434302624</v>
      </c>
      <c r="CM51" s="106">
        <v>5562.7752678268162</v>
      </c>
      <c r="CN51" s="106">
        <v>0</v>
      </c>
      <c r="CO51" s="106">
        <v>0</v>
      </c>
      <c r="CP51" s="106">
        <v>2.6092629586154215</v>
      </c>
      <c r="CQ51" s="106">
        <v>2229.3542718410158</v>
      </c>
      <c r="CR51" s="106">
        <v>3.2419179567718848</v>
      </c>
      <c r="CS51" s="106">
        <v>2769.8947022658981</v>
      </c>
      <c r="CT51" s="106">
        <v>4.2568473412512011</v>
      </c>
      <c r="CU51" s="106">
        <v>3637.0503683650263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24.540357910888662</v>
      </c>
      <c r="M52" s="106">
        <v>13251.793271879878</v>
      </c>
      <c r="N52" s="106">
        <v>13.747170308825632</v>
      </c>
      <c r="O52" s="106">
        <v>7423.471966765841</v>
      </c>
      <c r="P52" s="106">
        <v>8.6858150864641246</v>
      </c>
      <c r="Q52" s="106">
        <v>4690.3401466906271</v>
      </c>
      <c r="R52" s="106">
        <v>12.371674047985511</v>
      </c>
      <c r="S52" s="106">
        <v>6680.703985912176</v>
      </c>
      <c r="T52" s="106">
        <v>0</v>
      </c>
      <c r="U52" s="106">
        <v>0</v>
      </c>
      <c r="V52" s="106">
        <v>6.2961777128509677</v>
      </c>
      <c r="W52" s="106">
        <v>3399.9359649395224</v>
      </c>
      <c r="X52" s="106">
        <v>0</v>
      </c>
      <c r="Y52" s="106">
        <v>0</v>
      </c>
      <c r="Z52" s="106">
        <v>6.8735972086070491</v>
      </c>
      <c r="AA52" s="106">
        <v>3711.7424926478066</v>
      </c>
      <c r="AB52" s="106">
        <v>3.4827372445851266</v>
      </c>
      <c r="AC52" s="106">
        <v>1880.6781120759683</v>
      </c>
      <c r="AD52" s="106">
        <v>6.7704843066512019</v>
      </c>
      <c r="AE52" s="106">
        <v>3656.0615255916491</v>
      </c>
      <c r="AF52" s="106">
        <v>5.5539108779678754</v>
      </c>
      <c r="AG52" s="106">
        <v>2999.1118741026526</v>
      </c>
      <c r="AH52" s="106">
        <v>0</v>
      </c>
      <c r="AI52" s="106">
        <v>0</v>
      </c>
      <c r="AJ52" s="106">
        <v>7.6557894570527161</v>
      </c>
      <c r="AK52" s="106">
        <v>4134.1263068084663</v>
      </c>
      <c r="AL52" s="106">
        <v>0</v>
      </c>
      <c r="AM52" s="106">
        <v>0</v>
      </c>
      <c r="AN52" s="106">
        <v>7.825600731318346</v>
      </c>
      <c r="AO52" s="106">
        <v>4225.8243949119069</v>
      </c>
      <c r="AP52" s="106">
        <v>0</v>
      </c>
      <c r="AQ52" s="106">
        <v>0</v>
      </c>
      <c r="AR52" s="106">
        <v>5.2442190513112106</v>
      </c>
      <c r="AS52" s="106">
        <v>2831.8782877080539</v>
      </c>
      <c r="AT52" s="106">
        <v>0</v>
      </c>
      <c r="AU52" s="106">
        <v>0</v>
      </c>
      <c r="AV52" s="106">
        <v>2.1989174924223041</v>
      </c>
      <c r="AW52" s="106">
        <v>1187.4154459080441</v>
      </c>
      <c r="AX52" s="106">
        <v>5.0629423187677736</v>
      </c>
      <c r="AY52" s="106">
        <v>2733.9888521345979</v>
      </c>
      <c r="AZ52" s="106">
        <v>14.509626500619396</v>
      </c>
      <c r="BA52" s="106">
        <v>7835.1983103344737</v>
      </c>
      <c r="BB52" s="106">
        <v>15.959666524514162</v>
      </c>
      <c r="BC52" s="106">
        <v>8618.2199232376479</v>
      </c>
      <c r="BD52" s="106">
        <v>0</v>
      </c>
      <c r="BE52" s="106">
        <v>0</v>
      </c>
      <c r="BF52" s="106">
        <v>32.535368250928748</v>
      </c>
      <c r="BG52" s="106">
        <v>17569.098855501525</v>
      </c>
      <c r="BH52" s="106">
        <v>2.7053617909738388</v>
      </c>
      <c r="BI52" s="106">
        <v>1460.895367125873</v>
      </c>
      <c r="BJ52" s="106">
        <v>2.4027809466834493</v>
      </c>
      <c r="BK52" s="106">
        <v>1297.5017112090627</v>
      </c>
      <c r="BL52" s="106">
        <v>2.1837890164997744</v>
      </c>
      <c r="BM52" s="106">
        <v>1179.2460689098782</v>
      </c>
      <c r="BN52" s="106">
        <v>0</v>
      </c>
      <c r="BO52" s="106">
        <v>0</v>
      </c>
      <c r="BP52" s="106">
        <v>1.6503257563823341</v>
      </c>
      <c r="BQ52" s="106">
        <v>891.17590844646043</v>
      </c>
      <c r="BR52" s="106">
        <v>2.9528658809485684</v>
      </c>
      <c r="BS52" s="106">
        <v>1594.5475757122269</v>
      </c>
      <c r="BT52" s="106">
        <v>0</v>
      </c>
      <c r="BU52" s="106">
        <v>0</v>
      </c>
      <c r="BV52" s="106">
        <v>1.3156725261820148</v>
      </c>
      <c r="BW52" s="106">
        <v>710.46316413828799</v>
      </c>
      <c r="BX52" s="106">
        <v>46.330733679136031</v>
      </c>
      <c r="BY52" s="106">
        <v>25018.596186733455</v>
      </c>
      <c r="BZ52" s="106">
        <v>27.476921126613615</v>
      </c>
      <c r="CA52" s="106">
        <v>14837.537408371352</v>
      </c>
      <c r="CB52" s="106">
        <v>0</v>
      </c>
      <c r="CC52" s="106">
        <v>0</v>
      </c>
      <c r="CD52" s="106">
        <v>29.291478945088521</v>
      </c>
      <c r="CE52" s="106">
        <v>15817.398630347801</v>
      </c>
      <c r="CF52" s="106">
        <v>15.798463022003142</v>
      </c>
      <c r="CG52" s="106">
        <v>8531.1700318816966</v>
      </c>
      <c r="CH52" s="106">
        <v>10.34480845034137</v>
      </c>
      <c r="CI52" s="106">
        <v>5586.1965631843395</v>
      </c>
      <c r="CJ52" s="106">
        <v>0</v>
      </c>
      <c r="CK52" s="106">
        <v>0</v>
      </c>
      <c r="CL52" s="106">
        <v>7.3348830008264976</v>
      </c>
      <c r="CM52" s="106">
        <v>3960.8368204463086</v>
      </c>
      <c r="CN52" s="106">
        <v>0</v>
      </c>
      <c r="CO52" s="106">
        <v>0</v>
      </c>
      <c r="CP52" s="106">
        <v>2.9820148098461958</v>
      </c>
      <c r="CQ52" s="106">
        <v>1610.2879973169458</v>
      </c>
      <c r="CR52" s="106">
        <v>2.9724110951222111</v>
      </c>
      <c r="CS52" s="106">
        <v>1605.1019913659941</v>
      </c>
      <c r="CT52" s="106">
        <v>5.0715201782546151</v>
      </c>
      <c r="CU52" s="106">
        <v>2738.6208962574919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22.652638071589532</v>
      </c>
      <c r="M53" s="106">
        <v>9215.093167522622</v>
      </c>
      <c r="N53" s="106">
        <v>12.741333666849497</v>
      </c>
      <c r="O53" s="106">
        <v>5183.1745356743759</v>
      </c>
      <c r="P53" s="106">
        <v>9.19249869808095</v>
      </c>
      <c r="Q53" s="106">
        <v>3739.5084703793304</v>
      </c>
      <c r="R53" s="106">
        <v>14.352147929739452</v>
      </c>
      <c r="S53" s="106">
        <v>5838.4537778180093</v>
      </c>
      <c r="T53" s="106">
        <v>0</v>
      </c>
      <c r="U53" s="106">
        <v>0</v>
      </c>
      <c r="V53" s="106">
        <v>6.2961777128509677</v>
      </c>
      <c r="W53" s="106">
        <v>2561.2850935877736</v>
      </c>
      <c r="X53" s="106">
        <v>0</v>
      </c>
      <c r="Y53" s="106">
        <v>0</v>
      </c>
      <c r="Z53" s="106">
        <v>6.8735972086070491</v>
      </c>
      <c r="AA53" s="106">
        <v>2796.1793444613477</v>
      </c>
      <c r="AB53" s="106">
        <v>3.839278575465066</v>
      </c>
      <c r="AC53" s="106">
        <v>1561.8185244991889</v>
      </c>
      <c r="AD53" s="106">
        <v>7.5039736755544801</v>
      </c>
      <c r="AE53" s="106">
        <v>3052.6164912155627</v>
      </c>
      <c r="AF53" s="106">
        <v>4.9712974754258195</v>
      </c>
      <c r="AG53" s="106">
        <v>2022.3238130032234</v>
      </c>
      <c r="AH53" s="106">
        <v>0</v>
      </c>
      <c r="AI53" s="106">
        <v>0</v>
      </c>
      <c r="AJ53" s="106">
        <v>7.1918022172313396</v>
      </c>
      <c r="AK53" s="106">
        <v>2925.6251419697091</v>
      </c>
      <c r="AL53" s="106">
        <v>0</v>
      </c>
      <c r="AM53" s="106">
        <v>0</v>
      </c>
      <c r="AN53" s="106">
        <v>7.6196638699678632</v>
      </c>
      <c r="AO53" s="106">
        <v>3099.6792623029269</v>
      </c>
      <c r="AP53" s="106">
        <v>0</v>
      </c>
      <c r="AQ53" s="106">
        <v>0</v>
      </c>
      <c r="AR53" s="106">
        <v>5.663756575416107</v>
      </c>
      <c r="AS53" s="106">
        <v>2304.0161748792725</v>
      </c>
      <c r="AT53" s="106">
        <v>0</v>
      </c>
      <c r="AU53" s="106">
        <v>0</v>
      </c>
      <c r="AV53" s="106">
        <v>2.1989174924223041</v>
      </c>
      <c r="AW53" s="106">
        <v>894.51963591739332</v>
      </c>
      <c r="AX53" s="106">
        <v>5.1316262537378368</v>
      </c>
      <c r="AY53" s="106">
        <v>2087.5455600205519</v>
      </c>
      <c r="AZ53" s="106">
        <v>14.877411594010885</v>
      </c>
      <c r="BA53" s="106">
        <v>6052.1310364436285</v>
      </c>
      <c r="BB53" s="106">
        <v>14.324100290392243</v>
      </c>
      <c r="BC53" s="106">
        <v>5827.0439981315649</v>
      </c>
      <c r="BD53" s="106">
        <v>0</v>
      </c>
      <c r="BE53" s="106">
        <v>0</v>
      </c>
      <c r="BF53" s="106">
        <v>31.857548079034398</v>
      </c>
      <c r="BG53" s="106">
        <v>12959.650558551193</v>
      </c>
      <c r="BH53" s="106">
        <v>2.7054287038066445</v>
      </c>
      <c r="BI53" s="106">
        <v>1100.5683967085431</v>
      </c>
      <c r="BJ53" s="106">
        <v>2.4990498260216545</v>
      </c>
      <c r="BK53" s="106">
        <v>1016.613469225609</v>
      </c>
      <c r="BL53" s="106">
        <v>2.267280956740783</v>
      </c>
      <c r="BM53" s="106">
        <v>922.32989320215052</v>
      </c>
      <c r="BN53" s="106">
        <v>0</v>
      </c>
      <c r="BO53" s="106">
        <v>0</v>
      </c>
      <c r="BP53" s="106">
        <v>1.8978746198396843</v>
      </c>
      <c r="BQ53" s="106">
        <v>772.05539535078356</v>
      </c>
      <c r="BR53" s="106">
        <v>2.9518064765631511</v>
      </c>
      <c r="BS53" s="106">
        <v>1200.7948746658899</v>
      </c>
      <c r="BT53" s="106">
        <v>0</v>
      </c>
      <c r="BU53" s="106">
        <v>0</v>
      </c>
      <c r="BV53" s="106">
        <v>1.4033840279274825</v>
      </c>
      <c r="BW53" s="106">
        <v>570.89662256089991</v>
      </c>
      <c r="BX53" s="106">
        <v>45.570714834777625</v>
      </c>
      <c r="BY53" s="106">
        <v>18538.166794787539</v>
      </c>
      <c r="BZ53" s="106">
        <v>31.982499445352865</v>
      </c>
      <c r="CA53" s="106">
        <v>13010.480774369546</v>
      </c>
      <c r="CB53" s="106">
        <v>0</v>
      </c>
      <c r="CC53" s="106">
        <v>0</v>
      </c>
      <c r="CD53" s="106">
        <v>31.441992589158314</v>
      </c>
      <c r="CE53" s="106">
        <v>12790.602585269602</v>
      </c>
      <c r="CF53" s="106">
        <v>15.931178238358385</v>
      </c>
      <c r="CG53" s="106">
        <v>6480.8033073641909</v>
      </c>
      <c r="CH53" s="106">
        <v>11.205557136588308</v>
      </c>
      <c r="CI53" s="106">
        <v>4558.4206431641232</v>
      </c>
      <c r="CJ53" s="106">
        <v>0</v>
      </c>
      <c r="CK53" s="106">
        <v>0</v>
      </c>
      <c r="CL53" s="106">
        <v>7.4997118323057448</v>
      </c>
      <c r="CM53" s="106">
        <v>3050.8827733819771</v>
      </c>
      <c r="CN53" s="106">
        <v>0</v>
      </c>
      <c r="CO53" s="106">
        <v>0</v>
      </c>
      <c r="CP53" s="106">
        <v>2.7956388842308084</v>
      </c>
      <c r="CQ53" s="106">
        <v>1137.2658981050929</v>
      </c>
      <c r="CR53" s="106">
        <v>2.9802780770698329</v>
      </c>
      <c r="CS53" s="106">
        <v>1212.3771217520082</v>
      </c>
      <c r="CT53" s="106">
        <v>4.957769018958353</v>
      </c>
      <c r="CU53" s="106">
        <v>2016.8204369122579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27.560709653767265</v>
      </c>
      <c r="M54" s="106">
        <v>9227.3255920812808</v>
      </c>
      <c r="N54" s="106">
        <v>15.332851281359904</v>
      </c>
      <c r="O54" s="106">
        <v>5133.4386089992959</v>
      </c>
      <c r="P54" s="106">
        <v>10.031315984066218</v>
      </c>
      <c r="Q54" s="106">
        <v>3358.4845914653697</v>
      </c>
      <c r="R54" s="106">
        <v>13.420009712269794</v>
      </c>
      <c r="S54" s="106">
        <v>4493.0192516679272</v>
      </c>
      <c r="T54" s="106">
        <v>0</v>
      </c>
      <c r="U54" s="106">
        <v>0</v>
      </c>
      <c r="V54" s="106">
        <v>6.6459653635649101</v>
      </c>
      <c r="W54" s="106">
        <v>2225.0692037215322</v>
      </c>
      <c r="X54" s="106">
        <v>0</v>
      </c>
      <c r="Y54" s="106">
        <v>0</v>
      </c>
      <c r="Z54" s="106">
        <v>6.5462830558162359</v>
      </c>
      <c r="AA54" s="106">
        <v>2191.6955670872758</v>
      </c>
      <c r="AB54" s="106">
        <v>3.7653135040397565</v>
      </c>
      <c r="AC54" s="106">
        <v>1260.6269611525106</v>
      </c>
      <c r="AD54" s="106">
        <v>7.6601648628757983</v>
      </c>
      <c r="AE54" s="106">
        <v>2564.6231960908171</v>
      </c>
      <c r="AF54" s="106">
        <v>5.2279973117354253</v>
      </c>
      <c r="AG54" s="106">
        <v>1750.3334999690205</v>
      </c>
      <c r="AH54" s="106">
        <v>0</v>
      </c>
      <c r="AI54" s="106">
        <v>0</v>
      </c>
      <c r="AJ54" s="106">
        <v>7.8877830769634043</v>
      </c>
      <c r="AK54" s="106">
        <v>2640.8297741673478</v>
      </c>
      <c r="AL54" s="106">
        <v>0</v>
      </c>
      <c r="AM54" s="106">
        <v>0</v>
      </c>
      <c r="AN54" s="106">
        <v>8.6493481767202773</v>
      </c>
      <c r="AO54" s="106">
        <v>2895.8017695659491</v>
      </c>
      <c r="AP54" s="106">
        <v>0</v>
      </c>
      <c r="AQ54" s="106">
        <v>0</v>
      </c>
      <c r="AR54" s="106">
        <v>5.4539878133636588</v>
      </c>
      <c r="AS54" s="106">
        <v>1825.9951199141531</v>
      </c>
      <c r="AT54" s="106">
        <v>0</v>
      </c>
      <c r="AU54" s="106">
        <v>0</v>
      </c>
      <c r="AV54" s="106">
        <v>2.1989174924223041</v>
      </c>
      <c r="AW54" s="106">
        <v>736.1975764629874</v>
      </c>
      <c r="AX54" s="106">
        <v>5.0286003512827433</v>
      </c>
      <c r="AY54" s="106">
        <v>1683.5753976094625</v>
      </c>
      <c r="AZ54" s="106">
        <v>16.006491835715124</v>
      </c>
      <c r="BA54" s="106">
        <v>5358.9734665974238</v>
      </c>
      <c r="BB54" s="106">
        <v>16.08851045101034</v>
      </c>
      <c r="BC54" s="106">
        <v>5386.4332989982622</v>
      </c>
      <c r="BD54" s="106">
        <v>0</v>
      </c>
      <c r="BE54" s="106">
        <v>0</v>
      </c>
      <c r="BF54" s="106">
        <v>32.535368250928748</v>
      </c>
      <c r="BG54" s="106">
        <v>10892.841290410945</v>
      </c>
      <c r="BH54" s="106">
        <v>2.6990110018650535</v>
      </c>
      <c r="BI54" s="106">
        <v>903.62888342442</v>
      </c>
      <c r="BJ54" s="106">
        <v>2.7886404272511758</v>
      </c>
      <c r="BK54" s="106">
        <v>933.63681504369367</v>
      </c>
      <c r="BL54" s="106">
        <v>2.1789294331540217</v>
      </c>
      <c r="BM54" s="106">
        <v>729.50557421996643</v>
      </c>
      <c r="BN54" s="106">
        <v>0</v>
      </c>
      <c r="BO54" s="106">
        <v>0</v>
      </c>
      <c r="BP54" s="106">
        <v>1.7328420442014509</v>
      </c>
      <c r="BQ54" s="106">
        <v>580.15551639864577</v>
      </c>
      <c r="BR54" s="106">
        <v>3.2256496532215073</v>
      </c>
      <c r="BS54" s="106">
        <v>1079.9475038985606</v>
      </c>
      <c r="BT54" s="106">
        <v>0</v>
      </c>
      <c r="BU54" s="106">
        <v>0</v>
      </c>
      <c r="BV54" s="106">
        <v>1.4033840279274825</v>
      </c>
      <c r="BW54" s="106">
        <v>469.85297255012114</v>
      </c>
      <c r="BX54" s="106">
        <v>50.187346444547416</v>
      </c>
      <c r="BY54" s="106">
        <v>16802.723589634476</v>
      </c>
      <c r="BZ54" s="106">
        <v>28.54068246802418</v>
      </c>
      <c r="CA54" s="106">
        <v>9555.4204902944948</v>
      </c>
      <c r="CB54" s="106">
        <v>0</v>
      </c>
      <c r="CC54" s="106">
        <v>0</v>
      </c>
      <c r="CD54" s="106">
        <v>29.588101516684358</v>
      </c>
      <c r="CE54" s="106">
        <v>9906.0963877859231</v>
      </c>
      <c r="CF54" s="106">
        <v>17.748650708676738</v>
      </c>
      <c r="CG54" s="106">
        <v>5942.2482572649724</v>
      </c>
      <c r="CH54" s="106">
        <v>10.63988074814606</v>
      </c>
      <c r="CI54" s="106">
        <v>3562.232074479301</v>
      </c>
      <c r="CJ54" s="106">
        <v>0</v>
      </c>
      <c r="CK54" s="106">
        <v>0</v>
      </c>
      <c r="CL54" s="106">
        <v>7.4172974165661216</v>
      </c>
      <c r="CM54" s="106">
        <v>2483.3111750663375</v>
      </c>
      <c r="CN54" s="106">
        <v>0</v>
      </c>
      <c r="CO54" s="106">
        <v>0</v>
      </c>
      <c r="CP54" s="106">
        <v>2.9820148098461958</v>
      </c>
      <c r="CQ54" s="106">
        <v>998.37855833650644</v>
      </c>
      <c r="CR54" s="106">
        <v>3.1160148806381223</v>
      </c>
      <c r="CS54" s="106">
        <v>1043.2417820376434</v>
      </c>
      <c r="CT54" s="106">
        <v>4.6214710084917359</v>
      </c>
      <c r="CU54" s="106">
        <v>1547.2684936430333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22.149246114443098</v>
      </c>
      <c r="M55" s="106">
        <v>14698.23972154444</v>
      </c>
      <c r="N55" s="106">
        <v>11.952726959868368</v>
      </c>
      <c r="O55" s="106">
        <v>7931.8296105686495</v>
      </c>
      <c r="P55" s="106">
        <v>8.8026235801413542</v>
      </c>
      <c r="Q55" s="106">
        <v>5841.4210077818025</v>
      </c>
      <c r="R55" s="106">
        <v>12.955005170043204</v>
      </c>
      <c r="S55" s="106">
        <v>8596.9414308406704</v>
      </c>
      <c r="T55" s="106">
        <v>0</v>
      </c>
      <c r="U55" s="106">
        <v>0</v>
      </c>
      <c r="V55" s="106">
        <v>5.596602411423083</v>
      </c>
      <c r="W55" s="106">
        <v>3713.905360220358</v>
      </c>
      <c r="X55" s="106">
        <v>0</v>
      </c>
      <c r="Y55" s="106">
        <v>0</v>
      </c>
      <c r="Z55" s="106">
        <v>6.8735972086070491</v>
      </c>
      <c r="AA55" s="106">
        <v>4561.319107631638</v>
      </c>
      <c r="AB55" s="106">
        <v>3.3837139968600209</v>
      </c>
      <c r="AC55" s="106">
        <v>2245.4326083163101</v>
      </c>
      <c r="AD55" s="106">
        <v>7.0988321552669218</v>
      </c>
      <c r="AE55" s="106">
        <v>4710.7850182351294</v>
      </c>
      <c r="AF55" s="106">
        <v>4.873400264591683</v>
      </c>
      <c r="AG55" s="106">
        <v>3233.9884155830409</v>
      </c>
      <c r="AH55" s="106">
        <v>0</v>
      </c>
      <c r="AI55" s="106">
        <v>0</v>
      </c>
      <c r="AJ55" s="106">
        <v>7.4237958371420278</v>
      </c>
      <c r="AK55" s="106">
        <v>4926.4309175274502</v>
      </c>
      <c r="AL55" s="106">
        <v>0</v>
      </c>
      <c r="AM55" s="106">
        <v>0</v>
      </c>
      <c r="AN55" s="106">
        <v>7.2077901472668966</v>
      </c>
      <c r="AO55" s="106">
        <v>4783.0895417263127</v>
      </c>
      <c r="AP55" s="106">
        <v>0</v>
      </c>
      <c r="AQ55" s="106">
        <v>0</v>
      </c>
      <c r="AR55" s="106">
        <v>5.4539878133636588</v>
      </c>
      <c r="AS55" s="106">
        <v>3619.2663129481239</v>
      </c>
      <c r="AT55" s="106">
        <v>0</v>
      </c>
      <c r="AU55" s="106">
        <v>0</v>
      </c>
      <c r="AV55" s="106">
        <v>2.1989174924223041</v>
      </c>
      <c r="AW55" s="106">
        <v>1459.2016479714409</v>
      </c>
      <c r="AX55" s="106">
        <v>5.0629423187677736</v>
      </c>
      <c r="AY55" s="106">
        <v>3359.7685227342945</v>
      </c>
      <c r="AZ55" s="106">
        <v>14.503195260236954</v>
      </c>
      <c r="BA55" s="106">
        <v>9624.3203746932431</v>
      </c>
      <c r="BB55" s="106">
        <v>13.427728938026826</v>
      </c>
      <c r="BC55" s="106">
        <v>8910.6409232746028</v>
      </c>
      <c r="BD55" s="106">
        <v>0</v>
      </c>
      <c r="BE55" s="106">
        <v>0</v>
      </c>
      <c r="BF55" s="106">
        <v>29.146267391457002</v>
      </c>
      <c r="BG55" s="106">
        <v>19341.463040970866</v>
      </c>
      <c r="BH55" s="106">
        <v>2.3988638441240484</v>
      </c>
      <c r="BI55" s="106">
        <v>1591.8860469607187</v>
      </c>
      <c r="BJ55" s="106">
        <v>2.4975325328774569</v>
      </c>
      <c r="BK55" s="106">
        <v>1657.3625888174804</v>
      </c>
      <c r="BL55" s="106">
        <v>2.0999502297106503</v>
      </c>
      <c r="BM55" s="106">
        <v>1393.5269724359875</v>
      </c>
      <c r="BN55" s="106">
        <v>0</v>
      </c>
      <c r="BO55" s="106">
        <v>0</v>
      </c>
      <c r="BP55" s="106">
        <v>1.8978746198396843</v>
      </c>
      <c r="BQ55" s="106">
        <v>1259.4295977256145</v>
      </c>
      <c r="BR55" s="106">
        <v>2.6723864821994101</v>
      </c>
      <c r="BS55" s="106">
        <v>1773.3956695875286</v>
      </c>
      <c r="BT55" s="106">
        <v>0</v>
      </c>
      <c r="BU55" s="106">
        <v>0</v>
      </c>
      <c r="BV55" s="106">
        <v>1.1402495226910794</v>
      </c>
      <c r="BW55" s="106">
        <v>756.66958325780035</v>
      </c>
      <c r="BX55" s="106">
        <v>40.568935753408688</v>
      </c>
      <c r="BY55" s="106">
        <v>26921.545765962008</v>
      </c>
      <c r="BZ55" s="106">
        <v>24.187789992101816</v>
      </c>
      <c r="CA55" s="106">
        <v>16051.017438758765</v>
      </c>
      <c r="CB55" s="106">
        <v>0</v>
      </c>
      <c r="CC55" s="106">
        <v>0</v>
      </c>
      <c r="CD55" s="106">
        <v>29.06901201639165</v>
      </c>
      <c r="CE55" s="106">
        <v>19290.196374077499</v>
      </c>
      <c r="CF55" s="106">
        <v>15.514998145534605</v>
      </c>
      <c r="CG55" s="106">
        <v>10295.752769376764</v>
      </c>
      <c r="CH55" s="106">
        <v>10.212691156646843</v>
      </c>
      <c r="CI55" s="106">
        <v>6777.1418515508449</v>
      </c>
      <c r="CJ55" s="106">
        <v>0</v>
      </c>
      <c r="CK55" s="106">
        <v>0</v>
      </c>
      <c r="CL55" s="106">
        <v>7.1700541693472504</v>
      </c>
      <c r="CM55" s="106">
        <v>4758.0479467788355</v>
      </c>
      <c r="CN55" s="106">
        <v>0</v>
      </c>
      <c r="CO55" s="106">
        <v>0</v>
      </c>
      <c r="CP55" s="106">
        <v>2.7956388842308084</v>
      </c>
      <c r="CQ55" s="106">
        <v>1855.1859635755645</v>
      </c>
      <c r="CR55" s="106">
        <v>3.1081478986905005</v>
      </c>
      <c r="CS55" s="106">
        <v>2062.5669455710163</v>
      </c>
      <c r="CT55" s="106">
        <v>5.0351850134262088</v>
      </c>
      <c r="CU55" s="106">
        <v>3341.3487749096321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28.627131316884221</v>
      </c>
      <c r="M56" s="106">
        <v>32944.102719470357</v>
      </c>
      <c r="N56" s="106">
        <v>30.487926894019015</v>
      </c>
      <c r="O56" s="106">
        <v>35085.506269637081</v>
      </c>
      <c r="P56" s="106">
        <v>24.644450855550282</v>
      </c>
      <c r="Q56" s="106">
        <v>28360.834044567262</v>
      </c>
      <c r="R56" s="106">
        <v>82.033149357204465</v>
      </c>
      <c r="S56" s="106">
        <v>94403.748280270898</v>
      </c>
      <c r="T56" s="106">
        <v>0</v>
      </c>
      <c r="U56" s="106">
        <v>0</v>
      </c>
      <c r="V56" s="106">
        <v>8.0407526550485642</v>
      </c>
      <c r="W56" s="106">
        <v>9253.2981554298876</v>
      </c>
      <c r="X56" s="106">
        <v>7.7667369667057695</v>
      </c>
      <c r="Y56" s="106">
        <v>8937.9609012849996</v>
      </c>
      <c r="Z56" s="106">
        <v>8.8938982262920092</v>
      </c>
      <c r="AA56" s="106">
        <v>10235.098078816844</v>
      </c>
      <c r="AB56" s="106">
        <v>7.6054427608201074</v>
      </c>
      <c r="AC56" s="106">
        <v>8752.3435291517799</v>
      </c>
      <c r="AD56" s="106">
        <v>0</v>
      </c>
      <c r="AE56" s="106">
        <v>0</v>
      </c>
      <c r="AF56" s="106">
        <v>29.385129682997114</v>
      </c>
      <c r="AG56" s="106">
        <v>33816.407239193075</v>
      </c>
      <c r="AH56" s="106">
        <v>11.911794307734676</v>
      </c>
      <c r="AI56" s="106">
        <v>13708.092889341064</v>
      </c>
      <c r="AJ56" s="106">
        <v>0</v>
      </c>
      <c r="AK56" s="106">
        <v>0</v>
      </c>
      <c r="AL56" s="106">
        <v>7.8739375025696994</v>
      </c>
      <c r="AM56" s="106">
        <v>9061.3272779572089</v>
      </c>
      <c r="AN56" s="106">
        <v>8.859361021087091</v>
      </c>
      <c r="AO56" s="106">
        <v>10195.352663067024</v>
      </c>
      <c r="AP56" s="106">
        <v>10.616910624240381</v>
      </c>
      <c r="AQ56" s="106">
        <v>12217.940746375831</v>
      </c>
      <c r="AR56" s="106">
        <v>0</v>
      </c>
      <c r="AS56" s="106">
        <v>0</v>
      </c>
      <c r="AT56" s="106">
        <v>9.9342904852539551</v>
      </c>
      <c r="AU56" s="106">
        <v>11432.381490430251</v>
      </c>
      <c r="AV56" s="106">
        <v>4.1937594234720041</v>
      </c>
      <c r="AW56" s="106">
        <v>4826.1783445315823</v>
      </c>
      <c r="AX56" s="106">
        <v>3.309212821274774</v>
      </c>
      <c r="AY56" s="106">
        <v>3808.2421147230098</v>
      </c>
      <c r="AZ56" s="106">
        <v>7.2297042960219295</v>
      </c>
      <c r="BA56" s="106">
        <v>8319.9437038620363</v>
      </c>
      <c r="BB56" s="106">
        <v>2.7101524690939525</v>
      </c>
      <c r="BC56" s="106">
        <v>3118.8434614333205</v>
      </c>
      <c r="BD56" s="106">
        <v>2.4467613608805525</v>
      </c>
      <c r="BE56" s="106">
        <v>2815.7329741013396</v>
      </c>
      <c r="BF56" s="106">
        <v>3.7194920347468496</v>
      </c>
      <c r="BG56" s="106">
        <v>4280.3914335866748</v>
      </c>
      <c r="BH56" s="106">
        <v>9.2012750596934225</v>
      </c>
      <c r="BI56" s="106">
        <v>10588.82733869519</v>
      </c>
      <c r="BJ56" s="106">
        <v>0</v>
      </c>
      <c r="BK56" s="106">
        <v>0</v>
      </c>
      <c r="BL56" s="106">
        <v>11.317532739480344</v>
      </c>
      <c r="BM56" s="106">
        <v>13024.216676593978</v>
      </c>
      <c r="BN56" s="106">
        <v>10.60857953086874</v>
      </c>
      <c r="BO56" s="106">
        <v>12208.353324123746</v>
      </c>
      <c r="BP56" s="106">
        <v>20.3329840825159</v>
      </c>
      <c r="BQ56" s="106">
        <v>23399.198082159295</v>
      </c>
      <c r="BR56" s="106">
        <v>7.9443774495241035</v>
      </c>
      <c r="BS56" s="106">
        <v>9142.3895689123383</v>
      </c>
      <c r="BT56" s="106">
        <v>0</v>
      </c>
      <c r="BU56" s="106">
        <v>0</v>
      </c>
      <c r="BV56" s="106">
        <v>12.91928962668314</v>
      </c>
      <c r="BW56" s="106">
        <v>14867.518502386956</v>
      </c>
      <c r="BX56" s="106">
        <v>38.411537677042183</v>
      </c>
      <c r="BY56" s="106">
        <v>44203.997558740142</v>
      </c>
      <c r="BZ56" s="106">
        <v>0</v>
      </c>
      <c r="CA56" s="106">
        <v>0</v>
      </c>
      <c r="CB56" s="106">
        <v>120.41637928741612</v>
      </c>
      <c r="CC56" s="106">
        <v>138575.16928395847</v>
      </c>
      <c r="CD56" s="106">
        <v>59.667011311681378</v>
      </c>
      <c r="CE56" s="106">
        <v>68664.796617482934</v>
      </c>
      <c r="CF56" s="106">
        <v>15.674837149106684</v>
      </c>
      <c r="CG56" s="106">
        <v>18038.602591191971</v>
      </c>
      <c r="CH56" s="106">
        <v>25.197781978196737</v>
      </c>
      <c r="CI56" s="106">
        <v>28997.607500508802</v>
      </c>
      <c r="CJ56" s="106">
        <v>18.395626484730062</v>
      </c>
      <c r="CK56" s="106">
        <v>21169.686958627353</v>
      </c>
      <c r="CL56" s="106">
        <v>0</v>
      </c>
      <c r="CM56" s="106">
        <v>0</v>
      </c>
      <c r="CN56" s="106">
        <v>9.3178189340712851</v>
      </c>
      <c r="CO56" s="106">
        <v>10722.946029329234</v>
      </c>
      <c r="CP56" s="106">
        <v>9.0007801750037224</v>
      </c>
      <c r="CQ56" s="106">
        <v>10358.097825394283</v>
      </c>
      <c r="CR56" s="106">
        <v>9.7183802274401661</v>
      </c>
      <c r="CS56" s="106">
        <v>11183.911965738143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18.499654425131453</v>
      </c>
      <c r="M57" s="106">
        <v>26106.712324745509</v>
      </c>
      <c r="N57" s="106">
        <v>9.1321248283621355</v>
      </c>
      <c r="O57" s="106">
        <v>12887.254557784647</v>
      </c>
      <c r="P57" s="106">
        <v>6.7946346508936157</v>
      </c>
      <c r="Q57" s="106">
        <v>9588.5884193410711</v>
      </c>
      <c r="R57" s="106">
        <v>9.2679501918755403</v>
      </c>
      <c r="S57" s="106">
        <v>13078.931310774762</v>
      </c>
      <c r="T57" s="106">
        <v>0</v>
      </c>
      <c r="U57" s="106">
        <v>0</v>
      </c>
      <c r="V57" s="106">
        <v>4.8970271099951974</v>
      </c>
      <c r="W57" s="106">
        <v>6910.6846576252228</v>
      </c>
      <c r="X57" s="106">
        <v>0</v>
      </c>
      <c r="Y57" s="106">
        <v>0</v>
      </c>
      <c r="Z57" s="106">
        <v>5.5643405974438007</v>
      </c>
      <c r="AA57" s="106">
        <v>7852.3974511126917</v>
      </c>
      <c r="AB57" s="106">
        <v>2.9003262830228747</v>
      </c>
      <c r="AC57" s="106">
        <v>4092.9404506018809</v>
      </c>
      <c r="AD57" s="106">
        <v>6.5707214492023729</v>
      </c>
      <c r="AE57" s="106">
        <v>9272.6021091143884</v>
      </c>
      <c r="AF57" s="106">
        <v>4.3278591178635937</v>
      </c>
      <c r="AG57" s="106">
        <v>6107.4747871291038</v>
      </c>
      <c r="AH57" s="106">
        <v>0</v>
      </c>
      <c r="AI57" s="106">
        <v>0</v>
      </c>
      <c r="AJ57" s="106">
        <v>6.2638277375885858</v>
      </c>
      <c r="AK57" s="106">
        <v>8839.5137032850125</v>
      </c>
      <c r="AL57" s="106">
        <v>0</v>
      </c>
      <c r="AM57" s="106">
        <v>0</v>
      </c>
      <c r="AN57" s="106">
        <v>5.9721689791640014</v>
      </c>
      <c r="AO57" s="106">
        <v>8427.9248633962397</v>
      </c>
      <c r="AP57" s="106">
        <v>0</v>
      </c>
      <c r="AQ57" s="106">
        <v>0</v>
      </c>
      <c r="AR57" s="106">
        <v>5.0344502892587624</v>
      </c>
      <c r="AS57" s="106">
        <v>7104.6162482019654</v>
      </c>
      <c r="AT57" s="106">
        <v>0</v>
      </c>
      <c r="AU57" s="106">
        <v>0</v>
      </c>
      <c r="AV57" s="106">
        <v>1.7917105493811369</v>
      </c>
      <c r="AW57" s="106">
        <v>2528.4619272866607</v>
      </c>
      <c r="AX57" s="106">
        <v>4.2975161054954718</v>
      </c>
      <c r="AY57" s="106">
        <v>6064.6547280752102</v>
      </c>
      <c r="AZ57" s="106">
        <v>13.35482129738538</v>
      </c>
      <c r="BA57" s="106">
        <v>18846.323814870248</v>
      </c>
      <c r="BB57" s="106">
        <v>12.079605349164945</v>
      </c>
      <c r="BC57" s="106">
        <v>17046.739068741572</v>
      </c>
      <c r="BD57" s="106">
        <v>0</v>
      </c>
      <c r="BE57" s="106">
        <v>0</v>
      </c>
      <c r="BF57" s="106">
        <v>25.079346360090909</v>
      </c>
      <c r="BG57" s="106">
        <v>35391.97358336029</v>
      </c>
      <c r="BH57" s="106">
        <v>2.2908256263658169</v>
      </c>
      <c r="BI57" s="106">
        <v>3232.8131239274408</v>
      </c>
      <c r="BJ57" s="106">
        <v>2.0260758582665241</v>
      </c>
      <c r="BK57" s="106">
        <v>2859.1982511857191</v>
      </c>
      <c r="BL57" s="106">
        <v>1.9191056592815245</v>
      </c>
      <c r="BM57" s="106">
        <v>2708.2419063780876</v>
      </c>
      <c r="BN57" s="106">
        <v>0</v>
      </c>
      <c r="BO57" s="106">
        <v>0</v>
      </c>
      <c r="BP57" s="106">
        <v>1.5678094685632176</v>
      </c>
      <c r="BQ57" s="106">
        <v>2212.4927220364125</v>
      </c>
      <c r="BR57" s="106">
        <v>2.675049937844896</v>
      </c>
      <c r="BS57" s="106">
        <v>3775.0304722867172</v>
      </c>
      <c r="BT57" s="106">
        <v>0</v>
      </c>
      <c r="BU57" s="106">
        <v>0</v>
      </c>
      <c r="BV57" s="106">
        <v>1.1402495226910794</v>
      </c>
      <c r="BW57" s="106">
        <v>1609.1201264216513</v>
      </c>
      <c r="BX57" s="106">
        <v>33.995738489123525</v>
      </c>
      <c r="BY57" s="106">
        <v>47974.786155851121</v>
      </c>
      <c r="BZ57" s="106">
        <v>20.169695986584987</v>
      </c>
      <c r="CA57" s="106">
        <v>28463.474976268735</v>
      </c>
      <c r="CB57" s="106">
        <v>0</v>
      </c>
      <c r="CC57" s="106">
        <v>0</v>
      </c>
      <c r="CD57" s="106">
        <v>18.464755081840615</v>
      </c>
      <c r="CE57" s="106">
        <v>26057.462371493475</v>
      </c>
      <c r="CF57" s="106">
        <v>11.467730123810631</v>
      </c>
      <c r="CG57" s="106">
        <v>16183.260750721562</v>
      </c>
      <c r="CH57" s="106">
        <v>8.4361254705180908</v>
      </c>
      <c r="CI57" s="106">
        <v>11905.06026399513</v>
      </c>
      <c r="CJ57" s="106">
        <v>0</v>
      </c>
      <c r="CK57" s="106">
        <v>0</v>
      </c>
      <c r="CL57" s="106">
        <v>5.6041802702944024</v>
      </c>
      <c r="CM57" s="106">
        <v>7908.6191974394605</v>
      </c>
      <c r="CN57" s="106">
        <v>0</v>
      </c>
      <c r="CO57" s="106">
        <v>0</v>
      </c>
      <c r="CP57" s="106">
        <v>2.2365111073846466</v>
      </c>
      <c r="CQ57" s="106">
        <v>3156.1644747412133</v>
      </c>
      <c r="CR57" s="106">
        <v>2.6852035240903893</v>
      </c>
      <c r="CS57" s="106">
        <v>3789.3592131963574</v>
      </c>
      <c r="CT57" s="106">
        <v>3.9103912564248695</v>
      </c>
      <c r="CU57" s="106">
        <v>5518.3441410667756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28.022332767935964</v>
      </c>
      <c r="M58" s="106">
        <v>32987.890134414221</v>
      </c>
      <c r="N58" s="106">
        <v>33.850565889682876</v>
      </c>
      <c r="O58" s="106">
        <v>39848.886165334683</v>
      </c>
      <c r="P58" s="106">
        <v>28.649528992561315</v>
      </c>
      <c r="Q58" s="106">
        <v>33726.225530043179</v>
      </c>
      <c r="R58" s="106">
        <v>74.53738281478239</v>
      </c>
      <c r="S58" s="106">
        <v>87745.407049561836</v>
      </c>
      <c r="T58" s="106">
        <v>0</v>
      </c>
      <c r="U58" s="106">
        <v>0</v>
      </c>
      <c r="V58" s="106">
        <v>9.1128530090550388</v>
      </c>
      <c r="W58" s="106">
        <v>10727.650562259592</v>
      </c>
      <c r="X58" s="106">
        <v>6.867820505645331</v>
      </c>
      <c r="Y58" s="106">
        <v>8084.7982992456837</v>
      </c>
      <c r="Z58" s="106">
        <v>8.9369392924273114</v>
      </c>
      <c r="AA58" s="106">
        <v>10520.564935045431</v>
      </c>
      <c r="AB58" s="106">
        <v>7.8710506963124214</v>
      </c>
      <c r="AC58" s="106">
        <v>9265.8008796989834</v>
      </c>
      <c r="AD58" s="106">
        <v>0</v>
      </c>
      <c r="AE58" s="106">
        <v>0</v>
      </c>
      <c r="AF58" s="106">
        <v>28.772939481268008</v>
      </c>
      <c r="AG58" s="106">
        <v>33871.504357348698</v>
      </c>
      <c r="AH58" s="106">
        <v>12.173490943593141</v>
      </c>
      <c r="AI58" s="106">
        <v>14330.633538797845</v>
      </c>
      <c r="AJ58" s="106">
        <v>0</v>
      </c>
      <c r="AK58" s="106">
        <v>0</v>
      </c>
      <c r="AL58" s="106">
        <v>8.105523899704103</v>
      </c>
      <c r="AM58" s="106">
        <v>9541.8227347316697</v>
      </c>
      <c r="AN58" s="106">
        <v>7.5025352527316267</v>
      </c>
      <c r="AO58" s="106">
        <v>8831.9844995156709</v>
      </c>
      <c r="AP58" s="106">
        <v>8.8960122640820405</v>
      </c>
      <c r="AQ58" s="106">
        <v>10472.385637277379</v>
      </c>
      <c r="AR58" s="106">
        <v>0</v>
      </c>
      <c r="AS58" s="106">
        <v>0</v>
      </c>
      <c r="AT58" s="106">
        <v>10.34821925547287</v>
      </c>
      <c r="AU58" s="106">
        <v>12181.923707542663</v>
      </c>
      <c r="AV58" s="106">
        <v>3.9533715986966875</v>
      </c>
      <c r="AW58" s="106">
        <v>4653.9090459857407</v>
      </c>
      <c r="AX58" s="106">
        <v>3.4325524372931588</v>
      </c>
      <c r="AY58" s="106">
        <v>4040.8007291815065</v>
      </c>
      <c r="AZ58" s="106">
        <v>6.9805576468510182</v>
      </c>
      <c r="BA58" s="106">
        <v>8217.5124618730188</v>
      </c>
      <c r="BB58" s="106">
        <v>2.3229878306519591</v>
      </c>
      <c r="BC58" s="106">
        <v>2734.6212742434864</v>
      </c>
      <c r="BD58" s="106">
        <v>2.4467613608805525</v>
      </c>
      <c r="BE58" s="106">
        <v>2880.3274740285865</v>
      </c>
      <c r="BF58" s="106">
        <v>3.4621084726821163</v>
      </c>
      <c r="BG58" s="106">
        <v>4075.5940940413875</v>
      </c>
      <c r="BH58" s="106">
        <v>8.8830947417104245</v>
      </c>
      <c r="BI58" s="106">
        <v>10457.179129941513</v>
      </c>
      <c r="BJ58" s="106">
        <v>0</v>
      </c>
      <c r="BK58" s="106">
        <v>0</v>
      </c>
      <c r="BL58" s="106">
        <v>11.317532739480344</v>
      </c>
      <c r="BM58" s="106">
        <v>13322.99954091626</v>
      </c>
      <c r="BN58" s="106">
        <v>11.74258495437763</v>
      </c>
      <c r="BO58" s="106">
        <v>13823.371008293347</v>
      </c>
      <c r="BP58" s="106">
        <v>18.578357615721544</v>
      </c>
      <c r="BQ58" s="106">
        <v>21870.442585227403</v>
      </c>
      <c r="BR58" s="106">
        <v>9.4105483776315051</v>
      </c>
      <c r="BS58" s="106">
        <v>11078.097550147808</v>
      </c>
      <c r="BT58" s="106">
        <v>0</v>
      </c>
      <c r="BU58" s="106">
        <v>0</v>
      </c>
      <c r="BV58" s="106">
        <v>11.925498116938284</v>
      </c>
      <c r="BW58" s="106">
        <v>14038.696383259748</v>
      </c>
      <c r="BX58" s="106">
        <v>37.350405575169844</v>
      </c>
      <c r="BY58" s="106">
        <v>43968.89744308994</v>
      </c>
      <c r="BZ58" s="106">
        <v>0</v>
      </c>
      <c r="CA58" s="106">
        <v>0</v>
      </c>
      <c r="CB58" s="106">
        <v>108.29654890459177</v>
      </c>
      <c r="CC58" s="106">
        <v>127486.69737048545</v>
      </c>
      <c r="CD58" s="106">
        <v>57.297244842653498</v>
      </c>
      <c r="CE58" s="106">
        <v>67450.316628771703</v>
      </c>
      <c r="CF58" s="106">
        <v>14.322623798104521</v>
      </c>
      <c r="CG58" s="106">
        <v>16860.592735128645</v>
      </c>
      <c r="CH58" s="106">
        <v>22.898651283291407</v>
      </c>
      <c r="CI58" s="106">
        <v>26956.292290690646</v>
      </c>
      <c r="CJ58" s="106">
        <v>18.590760268467385</v>
      </c>
      <c r="CK58" s="106">
        <v>21885.042988039808</v>
      </c>
      <c r="CL58" s="106">
        <v>0</v>
      </c>
      <c r="CM58" s="106">
        <v>0</v>
      </c>
      <c r="CN58" s="106">
        <v>8.8519279873677199</v>
      </c>
      <c r="CO58" s="106">
        <v>10420.489626729281</v>
      </c>
      <c r="CP58" s="106">
        <v>8.126361060184891</v>
      </c>
      <c r="CQ58" s="106">
        <v>9566.3522400496549</v>
      </c>
      <c r="CR58" s="106">
        <v>9.7860842755210236</v>
      </c>
      <c r="CS58" s="106">
        <v>11520.178409143349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26.805621718047615</v>
      </c>
      <c r="M59" s="106">
        <v>8138.1867535992551</v>
      </c>
      <c r="N59" s="106">
        <v>15.26269931864744</v>
      </c>
      <c r="O59" s="106">
        <v>4633.7555131413628</v>
      </c>
      <c r="P59" s="106">
        <v>8.621825071811891</v>
      </c>
      <c r="Q59" s="106">
        <v>2617.5860918020899</v>
      </c>
      <c r="R59" s="106">
        <v>15.39636849796951</v>
      </c>
      <c r="S59" s="106">
        <v>4674.3374759835424</v>
      </c>
      <c r="T59" s="106">
        <v>0</v>
      </c>
      <c r="U59" s="106">
        <v>0</v>
      </c>
      <c r="V59" s="106">
        <v>6.6459653635649101</v>
      </c>
      <c r="W59" s="106">
        <v>2017.7150843783065</v>
      </c>
      <c r="X59" s="106">
        <v>0</v>
      </c>
      <c r="Y59" s="106">
        <v>0</v>
      </c>
      <c r="Z59" s="106">
        <v>7.2009113613978606</v>
      </c>
      <c r="AA59" s="106">
        <v>2186.1966893203903</v>
      </c>
      <c r="AB59" s="106">
        <v>3.6824427153947208</v>
      </c>
      <c r="AC59" s="106">
        <v>1117.9896083938372</v>
      </c>
      <c r="AD59" s="106">
        <v>7.8405194367564341</v>
      </c>
      <c r="AE59" s="106">
        <v>2380.3817009992531</v>
      </c>
      <c r="AF59" s="106">
        <v>5.6469577667180868</v>
      </c>
      <c r="AG59" s="106">
        <v>1714.4163779756109</v>
      </c>
      <c r="AH59" s="106">
        <v>0</v>
      </c>
      <c r="AI59" s="106">
        <v>0</v>
      </c>
      <c r="AJ59" s="106">
        <v>8.8157575566061581</v>
      </c>
      <c r="AK59" s="106">
        <v>2676.4639941856294</v>
      </c>
      <c r="AL59" s="106">
        <v>0</v>
      </c>
      <c r="AM59" s="106">
        <v>0</v>
      </c>
      <c r="AN59" s="106">
        <v>8.4434113153697936</v>
      </c>
      <c r="AO59" s="106">
        <v>2563.4196753462688</v>
      </c>
      <c r="AP59" s="106">
        <v>0</v>
      </c>
      <c r="AQ59" s="106">
        <v>0</v>
      </c>
      <c r="AR59" s="106">
        <v>5.663756575416107</v>
      </c>
      <c r="AS59" s="106">
        <v>1719.5164962963299</v>
      </c>
      <c r="AT59" s="106">
        <v>0</v>
      </c>
      <c r="AU59" s="106">
        <v>0</v>
      </c>
      <c r="AV59" s="106">
        <v>2.5246830468552384</v>
      </c>
      <c r="AW59" s="106">
        <v>766.49377302525033</v>
      </c>
      <c r="AX59" s="106">
        <v>4.6716437202603647</v>
      </c>
      <c r="AY59" s="106">
        <v>1418.3110334710466</v>
      </c>
      <c r="AZ59" s="106">
        <v>16.748493262880547</v>
      </c>
      <c r="BA59" s="106">
        <v>5084.8425546105336</v>
      </c>
      <c r="BB59" s="106">
        <v>15.800800377516564</v>
      </c>
      <c r="BC59" s="106">
        <v>4797.1229946140284</v>
      </c>
      <c r="BD59" s="106">
        <v>0</v>
      </c>
      <c r="BE59" s="106">
        <v>0</v>
      </c>
      <c r="BF59" s="106">
        <v>32.535368250928748</v>
      </c>
      <c r="BG59" s="106">
        <v>9877.7378009819677</v>
      </c>
      <c r="BH59" s="106">
        <v>2.5000159701110514</v>
      </c>
      <c r="BI59" s="106">
        <v>759.00484852571515</v>
      </c>
      <c r="BJ59" s="106">
        <v>2.4048078159173367</v>
      </c>
      <c r="BK59" s="106">
        <v>730.0996529125033</v>
      </c>
      <c r="BL59" s="106">
        <v>2.3498467289627722</v>
      </c>
      <c r="BM59" s="106">
        <v>713.41346691309752</v>
      </c>
      <c r="BN59" s="106">
        <v>0</v>
      </c>
      <c r="BO59" s="106">
        <v>0</v>
      </c>
      <c r="BP59" s="106">
        <v>1.8153583320205675</v>
      </c>
      <c r="BQ59" s="106">
        <v>551.14278960144418</v>
      </c>
      <c r="BR59" s="106">
        <v>2.9698462404791317</v>
      </c>
      <c r="BS59" s="106">
        <v>901.64531860946431</v>
      </c>
      <c r="BT59" s="106">
        <v>0</v>
      </c>
      <c r="BU59" s="106">
        <v>0</v>
      </c>
      <c r="BV59" s="106">
        <v>1.4033840279274825</v>
      </c>
      <c r="BW59" s="106">
        <v>426.06739087878367</v>
      </c>
      <c r="BX59" s="106">
        <v>50.577631965566503</v>
      </c>
      <c r="BY59" s="106">
        <v>15355.369064745988</v>
      </c>
      <c r="BZ59" s="106">
        <v>29.533759885097783</v>
      </c>
      <c r="CA59" s="106">
        <v>8966.4495011156869</v>
      </c>
      <c r="CB59" s="106">
        <v>0</v>
      </c>
      <c r="CC59" s="106">
        <v>0</v>
      </c>
      <c r="CD59" s="106">
        <v>31.590303874956227</v>
      </c>
      <c r="CE59" s="106">
        <v>9590.8162564367103</v>
      </c>
      <c r="CF59" s="106">
        <v>18.017405835223553</v>
      </c>
      <c r="CG59" s="106">
        <v>5470.0844115738701</v>
      </c>
      <c r="CH59" s="106">
        <v>12.259678746916718</v>
      </c>
      <c r="CI59" s="106">
        <v>3722.0384675639152</v>
      </c>
      <c r="CJ59" s="106">
        <v>0</v>
      </c>
      <c r="CK59" s="106">
        <v>0</v>
      </c>
      <c r="CL59" s="106">
        <v>7.5821262480453688</v>
      </c>
      <c r="CM59" s="106">
        <v>2301.9335289065739</v>
      </c>
      <c r="CN59" s="106">
        <v>0</v>
      </c>
      <c r="CO59" s="106">
        <v>0</v>
      </c>
      <c r="CP59" s="106">
        <v>2.6092629586154215</v>
      </c>
      <c r="CQ59" s="106">
        <v>792.17223423564189</v>
      </c>
      <c r="CR59" s="106">
        <v>3.5291255278037066</v>
      </c>
      <c r="CS59" s="106">
        <v>1071.4425102412051</v>
      </c>
      <c r="CT59" s="106">
        <v>4.9306370101317825</v>
      </c>
      <c r="CU59" s="106">
        <v>1496.9413962760091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25.0437498680351</v>
      </c>
      <c r="M60" s="106">
        <v>16318.507414011672</v>
      </c>
      <c r="N60" s="106">
        <v>11.588419052590828</v>
      </c>
      <c r="O60" s="106">
        <v>7551.0138546681837</v>
      </c>
      <c r="P60" s="106">
        <v>8.8467972860270319</v>
      </c>
      <c r="Q60" s="106">
        <v>5764.5731115752142</v>
      </c>
      <c r="R60" s="106">
        <v>12.246578282495015</v>
      </c>
      <c r="S60" s="106">
        <v>7979.8704088737522</v>
      </c>
      <c r="T60" s="106">
        <v>0</v>
      </c>
      <c r="U60" s="106">
        <v>0</v>
      </c>
      <c r="V60" s="106">
        <v>5.596602411423083</v>
      </c>
      <c r="W60" s="106">
        <v>3646.7461312832811</v>
      </c>
      <c r="X60" s="106">
        <v>0</v>
      </c>
      <c r="Y60" s="106">
        <v>0</v>
      </c>
      <c r="Z60" s="106">
        <v>6.5462830558162359</v>
      </c>
      <c r="AA60" s="106">
        <v>4265.5580391698595</v>
      </c>
      <c r="AB60" s="106">
        <v>3.309748925434711</v>
      </c>
      <c r="AC60" s="106">
        <v>2156.632399813258</v>
      </c>
      <c r="AD60" s="106">
        <v>6.4153909642798324</v>
      </c>
      <c r="AE60" s="106">
        <v>4180.2687523247387</v>
      </c>
      <c r="AF60" s="106">
        <v>5.1088195450322091</v>
      </c>
      <c r="AG60" s="106">
        <v>3328.9068155429877</v>
      </c>
      <c r="AH60" s="106">
        <v>0</v>
      </c>
      <c r="AI60" s="106">
        <v>0</v>
      </c>
      <c r="AJ60" s="106">
        <v>8.1197766968740925</v>
      </c>
      <c r="AK60" s="106">
        <v>5290.8464956831585</v>
      </c>
      <c r="AL60" s="106">
        <v>0</v>
      </c>
      <c r="AM60" s="106">
        <v>0</v>
      </c>
      <c r="AN60" s="106">
        <v>6.589979563215449</v>
      </c>
      <c r="AO60" s="106">
        <v>4294.0306833911864</v>
      </c>
      <c r="AP60" s="106">
        <v>0</v>
      </c>
      <c r="AQ60" s="106">
        <v>0</v>
      </c>
      <c r="AR60" s="106">
        <v>4.8246815272063142</v>
      </c>
      <c r="AS60" s="106">
        <v>3143.7624831276344</v>
      </c>
      <c r="AT60" s="106">
        <v>0</v>
      </c>
      <c r="AU60" s="106">
        <v>0</v>
      </c>
      <c r="AV60" s="106">
        <v>2.280358881030538</v>
      </c>
      <c r="AW60" s="106">
        <v>1485.8818468794987</v>
      </c>
      <c r="AX60" s="106">
        <v>5.2585916180214785</v>
      </c>
      <c r="AY60" s="106">
        <v>3426.4982983027953</v>
      </c>
      <c r="AZ60" s="106">
        <v>15.645137982706082</v>
      </c>
      <c r="BA60" s="106">
        <v>10194.371909531283</v>
      </c>
      <c r="BB60" s="106">
        <v>15.221223792082997</v>
      </c>
      <c r="BC60" s="106">
        <v>9918.1494229212803</v>
      </c>
      <c r="BD60" s="106">
        <v>0</v>
      </c>
      <c r="BE60" s="106">
        <v>0</v>
      </c>
      <c r="BF60" s="106">
        <v>29.146267391457002</v>
      </c>
      <c r="BG60" s="106">
        <v>18991.707832273383</v>
      </c>
      <c r="BH60" s="106">
        <v>2.5026560620030018</v>
      </c>
      <c r="BI60" s="106">
        <v>1630.7306900011561</v>
      </c>
      <c r="BJ60" s="106">
        <v>2.4062859109007881</v>
      </c>
      <c r="BK60" s="106">
        <v>1567.9358995429536</v>
      </c>
      <c r="BL60" s="106">
        <v>2.0963636609320324</v>
      </c>
      <c r="BM60" s="106">
        <v>1365.9905614633124</v>
      </c>
      <c r="BN60" s="106">
        <v>0</v>
      </c>
      <c r="BO60" s="106">
        <v>0</v>
      </c>
      <c r="BP60" s="106">
        <v>1.7328420442014509</v>
      </c>
      <c r="BQ60" s="106">
        <v>1129.1198760016655</v>
      </c>
      <c r="BR60" s="106">
        <v>2.9425217435088058</v>
      </c>
      <c r="BS60" s="106">
        <v>1917.3471680703378</v>
      </c>
      <c r="BT60" s="106">
        <v>0</v>
      </c>
      <c r="BU60" s="106">
        <v>0</v>
      </c>
      <c r="BV60" s="106">
        <v>1.2279610244365471</v>
      </c>
      <c r="BW60" s="106">
        <v>800.13940352285408</v>
      </c>
      <c r="BX60" s="106">
        <v>40.761509489208258</v>
      </c>
      <c r="BY60" s="106">
        <v>26560.199583168102</v>
      </c>
      <c r="BZ60" s="106">
        <v>23.704832876536585</v>
      </c>
      <c r="CA60" s="106">
        <v>15446.069102351239</v>
      </c>
      <c r="CB60" s="106">
        <v>0</v>
      </c>
      <c r="CC60" s="106">
        <v>0</v>
      </c>
      <c r="CD60" s="106">
        <v>29.513945873785396</v>
      </c>
      <c r="CE60" s="106">
        <v>19231.287131358564</v>
      </c>
      <c r="CF60" s="106">
        <v>14.677576986090862</v>
      </c>
      <c r="CG60" s="106">
        <v>9563.9091641368068</v>
      </c>
      <c r="CH60" s="106">
        <v>9.0834008186797064</v>
      </c>
      <c r="CI60" s="106">
        <v>5918.7439734516965</v>
      </c>
      <c r="CJ60" s="106">
        <v>0</v>
      </c>
      <c r="CK60" s="106">
        <v>0</v>
      </c>
      <c r="CL60" s="106">
        <v>7.4172974165661216</v>
      </c>
      <c r="CM60" s="106">
        <v>4833.1109966344848</v>
      </c>
      <c r="CN60" s="106">
        <v>0</v>
      </c>
      <c r="CO60" s="106">
        <v>0</v>
      </c>
      <c r="CP60" s="106">
        <v>2.9820148098461958</v>
      </c>
      <c r="CQ60" s="106">
        <v>1943.0808500957812</v>
      </c>
      <c r="CR60" s="106">
        <v>3.1081478986905005</v>
      </c>
      <c r="CS60" s="106">
        <v>2025.2691707867302</v>
      </c>
      <c r="CT60" s="106">
        <v>4.84637622857844</v>
      </c>
      <c r="CU60" s="106">
        <v>3157.8987505417117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19.003046382277887</v>
      </c>
      <c r="M61" s="106">
        <v>18083.298937375635</v>
      </c>
      <c r="N61" s="106">
        <v>11.224111145313284</v>
      </c>
      <c r="O61" s="106">
        <v>10680.864165880121</v>
      </c>
      <c r="P61" s="106">
        <v>7.6534510302469814</v>
      </c>
      <c r="Q61" s="106">
        <v>7283.0240003830268</v>
      </c>
      <c r="R61" s="106">
        <v>12.407789452997481</v>
      </c>
      <c r="S61" s="106">
        <v>11807.252443472402</v>
      </c>
      <c r="T61" s="106">
        <v>0</v>
      </c>
      <c r="U61" s="106">
        <v>0</v>
      </c>
      <c r="V61" s="106">
        <v>5.2468147607091398</v>
      </c>
      <c r="W61" s="106">
        <v>4992.8689262908165</v>
      </c>
      <c r="X61" s="106">
        <v>0</v>
      </c>
      <c r="Y61" s="106">
        <v>0</v>
      </c>
      <c r="Z61" s="106">
        <v>6.5462830558162359</v>
      </c>
      <c r="AA61" s="106">
        <v>6229.4429559147293</v>
      </c>
      <c r="AB61" s="106">
        <v>2.9348431683288578</v>
      </c>
      <c r="AC61" s="106">
        <v>2792.7967589817408</v>
      </c>
      <c r="AD61" s="106">
        <v>6.2358970927979751</v>
      </c>
      <c r="AE61" s="106">
        <v>5934.0796735065524</v>
      </c>
      <c r="AF61" s="106">
        <v>5.2710801637052649</v>
      </c>
      <c r="AG61" s="106">
        <v>5015.9598837819294</v>
      </c>
      <c r="AH61" s="106">
        <v>0</v>
      </c>
      <c r="AI61" s="106">
        <v>0</v>
      </c>
      <c r="AJ61" s="106">
        <v>6.7278149774099631</v>
      </c>
      <c r="AK61" s="106">
        <v>6402.1887325033204</v>
      </c>
      <c r="AL61" s="106">
        <v>0</v>
      </c>
      <c r="AM61" s="106">
        <v>0</v>
      </c>
      <c r="AN61" s="106">
        <v>7.2077901472668966</v>
      </c>
      <c r="AO61" s="106">
        <v>6858.9331041391779</v>
      </c>
      <c r="AP61" s="106">
        <v>0</v>
      </c>
      <c r="AQ61" s="106">
        <v>0</v>
      </c>
      <c r="AR61" s="106">
        <v>4.8246815272063142</v>
      </c>
      <c r="AS61" s="106">
        <v>4591.166941289528</v>
      </c>
      <c r="AT61" s="106">
        <v>0</v>
      </c>
      <c r="AU61" s="106">
        <v>0</v>
      </c>
      <c r="AV61" s="106">
        <v>2.1989174924223041</v>
      </c>
      <c r="AW61" s="106">
        <v>2092.4898857890644</v>
      </c>
      <c r="AX61" s="106">
        <v>4.8672930195140696</v>
      </c>
      <c r="AY61" s="106">
        <v>4631.7160373695879</v>
      </c>
      <c r="AZ61" s="106">
        <v>14.10968520531569</v>
      </c>
      <c r="BA61" s="106">
        <v>13426.77644137841</v>
      </c>
      <c r="BB61" s="106">
        <v>13.627165353647314</v>
      </c>
      <c r="BC61" s="106">
        <v>12967.610550530782</v>
      </c>
      <c r="BD61" s="106">
        <v>0</v>
      </c>
      <c r="BE61" s="106">
        <v>0</v>
      </c>
      <c r="BF61" s="106">
        <v>28.468447219562652</v>
      </c>
      <c r="BG61" s="106">
        <v>27090.574374135816</v>
      </c>
      <c r="BH61" s="106">
        <v>2.2885200986378935</v>
      </c>
      <c r="BI61" s="106">
        <v>2177.7557258638194</v>
      </c>
      <c r="BJ61" s="106">
        <v>2.1191141605126069</v>
      </c>
      <c r="BK61" s="106">
        <v>2016.5490351437966</v>
      </c>
      <c r="BL61" s="106">
        <v>1.9271355955481562</v>
      </c>
      <c r="BM61" s="106">
        <v>1833.8622327236253</v>
      </c>
      <c r="BN61" s="106">
        <v>0</v>
      </c>
      <c r="BO61" s="106">
        <v>0</v>
      </c>
      <c r="BP61" s="106">
        <v>1.8978746198396843</v>
      </c>
      <c r="BQ61" s="106">
        <v>1806.0174882394433</v>
      </c>
      <c r="BR61" s="106">
        <v>2.6623071958560023</v>
      </c>
      <c r="BS61" s="106">
        <v>2533.4515275765716</v>
      </c>
      <c r="BT61" s="106">
        <v>0</v>
      </c>
      <c r="BU61" s="106">
        <v>0</v>
      </c>
      <c r="BV61" s="106">
        <v>1.1402495226910794</v>
      </c>
      <c r="BW61" s="106">
        <v>1085.0614457928311</v>
      </c>
      <c r="BX61" s="106">
        <v>38.237498726134056</v>
      </c>
      <c r="BY61" s="106">
        <v>36386.803787789162</v>
      </c>
      <c r="BZ61" s="106">
        <v>23.538565440748123</v>
      </c>
      <c r="CA61" s="106">
        <v>22399.298873415912</v>
      </c>
      <c r="CB61" s="106">
        <v>0</v>
      </c>
      <c r="CC61" s="106">
        <v>0</v>
      </c>
      <c r="CD61" s="106">
        <v>25.50954115724165</v>
      </c>
      <c r="CE61" s="106">
        <v>24274.879365231151</v>
      </c>
      <c r="CF61" s="106">
        <v>15.506967356502216</v>
      </c>
      <c r="CG61" s="106">
        <v>14756.430136447507</v>
      </c>
      <c r="CH61" s="106">
        <v>9.6401796772429957</v>
      </c>
      <c r="CI61" s="106">
        <v>9173.5949808644345</v>
      </c>
      <c r="CJ61" s="106">
        <v>0</v>
      </c>
      <c r="CK61" s="106">
        <v>0</v>
      </c>
      <c r="CL61" s="106">
        <v>6.6755676749095088</v>
      </c>
      <c r="CM61" s="106">
        <v>6352.4701994438883</v>
      </c>
      <c r="CN61" s="106">
        <v>0</v>
      </c>
      <c r="CO61" s="106">
        <v>0</v>
      </c>
      <c r="CP61" s="106">
        <v>2.4228870330000336</v>
      </c>
      <c r="CQ61" s="106">
        <v>2305.6193006028316</v>
      </c>
      <c r="CR61" s="106">
        <v>2.6970039970118216</v>
      </c>
      <c r="CS61" s="106">
        <v>2566.469003556449</v>
      </c>
      <c r="CT61" s="106">
        <v>4.5275296117576174</v>
      </c>
      <c r="CU61" s="106">
        <v>4308.3971785485483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15.35345469296624</v>
      </c>
      <c r="M62" s="106">
        <v>26180.710942446032</v>
      </c>
      <c r="N62" s="106">
        <v>9.2786421954625169</v>
      </c>
      <c r="O62" s="106">
        <v>15821.940671702685</v>
      </c>
      <c r="P62" s="106">
        <v>5.8740416743447144</v>
      </c>
      <c r="Q62" s="106">
        <v>10016.415863092607</v>
      </c>
      <c r="R62" s="106">
        <v>9.8391296415748322</v>
      </c>
      <c r="S62" s="106">
        <v>16777.683864813403</v>
      </c>
      <c r="T62" s="106">
        <v>0</v>
      </c>
      <c r="U62" s="106">
        <v>0</v>
      </c>
      <c r="V62" s="106">
        <v>4.8970271099951974</v>
      </c>
      <c r="W62" s="106">
        <v>8350.4106279638108</v>
      </c>
      <c r="X62" s="106">
        <v>0</v>
      </c>
      <c r="Y62" s="106">
        <v>0</v>
      </c>
      <c r="Z62" s="106">
        <v>5.5643405974438007</v>
      </c>
      <c r="AA62" s="106">
        <v>9488.3135867611691</v>
      </c>
      <c r="AB62" s="106">
        <v>2.6269322366812013</v>
      </c>
      <c r="AC62" s="106">
        <v>4479.4448499887849</v>
      </c>
      <c r="AD62" s="106">
        <v>5.4493470875827823</v>
      </c>
      <c r="AE62" s="106">
        <v>9292.2266537461601</v>
      </c>
      <c r="AF62" s="106">
        <v>4.0718554459971577</v>
      </c>
      <c r="AG62" s="106">
        <v>6943.3279065143533</v>
      </c>
      <c r="AH62" s="106">
        <v>0</v>
      </c>
      <c r="AI62" s="106">
        <v>0</v>
      </c>
      <c r="AJ62" s="106">
        <v>5.7998404977672093</v>
      </c>
      <c r="AK62" s="106">
        <v>9889.8880167926454</v>
      </c>
      <c r="AL62" s="106">
        <v>0</v>
      </c>
      <c r="AM62" s="106">
        <v>0</v>
      </c>
      <c r="AN62" s="106">
        <v>6.3840427018649661</v>
      </c>
      <c r="AO62" s="106">
        <v>10886.06961522014</v>
      </c>
      <c r="AP62" s="106">
        <v>0</v>
      </c>
      <c r="AQ62" s="106">
        <v>0</v>
      </c>
      <c r="AR62" s="106">
        <v>4.8246815272063142</v>
      </c>
      <c r="AS62" s="106">
        <v>8227.0469401922073</v>
      </c>
      <c r="AT62" s="106">
        <v>0</v>
      </c>
      <c r="AU62" s="106">
        <v>0</v>
      </c>
      <c r="AV62" s="106">
        <v>1.9545933265976039</v>
      </c>
      <c r="AW62" s="106">
        <v>3332.9725405142344</v>
      </c>
      <c r="AX62" s="106">
        <v>3.923388490730578</v>
      </c>
      <c r="AY62" s="106">
        <v>6690.1620543937815</v>
      </c>
      <c r="AZ62" s="106">
        <v>12.948448761699229</v>
      </c>
      <c r="BA62" s="106">
        <v>22079.694828449527</v>
      </c>
      <c r="BB62" s="106">
        <v>12.759600628112951</v>
      </c>
      <c r="BC62" s="106">
        <v>21757.670991058203</v>
      </c>
      <c r="BD62" s="106">
        <v>0</v>
      </c>
      <c r="BE62" s="106">
        <v>0</v>
      </c>
      <c r="BF62" s="106">
        <v>22.368065672513517</v>
      </c>
      <c r="BG62" s="106">
        <v>38142.025584770046</v>
      </c>
      <c r="BH62" s="106">
        <v>1.9847960693456632</v>
      </c>
      <c r="BI62" s="106">
        <v>3384.4742574482252</v>
      </c>
      <c r="BJ62" s="106">
        <v>2.1166953096712677</v>
      </c>
      <c r="BK62" s="106">
        <v>3609.3888420514459</v>
      </c>
      <c r="BL62" s="106">
        <v>1.8317496730234053</v>
      </c>
      <c r="BM62" s="106">
        <v>3123.4995424395106</v>
      </c>
      <c r="BN62" s="106">
        <v>0</v>
      </c>
      <c r="BO62" s="106">
        <v>0</v>
      </c>
      <c r="BP62" s="106">
        <v>1.5678094685632176</v>
      </c>
      <c r="BQ62" s="106">
        <v>2673.4287057939987</v>
      </c>
      <c r="BR62" s="106">
        <v>2.2339074159379892</v>
      </c>
      <c r="BS62" s="106">
        <v>3809.2589256574593</v>
      </c>
      <c r="BT62" s="106">
        <v>0</v>
      </c>
      <c r="BU62" s="106">
        <v>0</v>
      </c>
      <c r="BV62" s="106">
        <v>0.96482651920014428</v>
      </c>
      <c r="BW62" s="106">
        <v>1645.2221805400861</v>
      </c>
      <c r="BX62" s="106">
        <v>27.45336952135801</v>
      </c>
      <c r="BY62" s="106">
        <v>46813.48570781968</v>
      </c>
      <c r="BZ62" s="106">
        <v>17.864587873832416</v>
      </c>
      <c r="CA62" s="106">
        <v>30462.695242459038</v>
      </c>
      <c r="CB62" s="106">
        <v>0</v>
      </c>
      <c r="CC62" s="106">
        <v>0</v>
      </c>
      <c r="CD62" s="106">
        <v>18.316443796042694</v>
      </c>
      <c r="CE62" s="106">
        <v>31233.199961012004</v>
      </c>
      <c r="CF62" s="106">
        <v>10.631838231810008</v>
      </c>
      <c r="CG62" s="106">
        <v>18129.410552882426</v>
      </c>
      <c r="CH62" s="106">
        <v>6.9547535398583165</v>
      </c>
      <c r="CI62" s="106">
        <v>11859.245736166402</v>
      </c>
      <c r="CJ62" s="106">
        <v>0</v>
      </c>
      <c r="CK62" s="106">
        <v>0</v>
      </c>
      <c r="CL62" s="106">
        <v>4.9448649443774135</v>
      </c>
      <c r="CM62" s="106">
        <v>8431.9837031523657</v>
      </c>
      <c r="CN62" s="106">
        <v>0</v>
      </c>
      <c r="CO62" s="106">
        <v>0</v>
      </c>
      <c r="CP62" s="106">
        <v>2.2365111073846466</v>
      </c>
      <c r="CQ62" s="106">
        <v>3813.6987403122994</v>
      </c>
      <c r="CR62" s="106">
        <v>2.6891370150642002</v>
      </c>
      <c r="CS62" s="106">
        <v>4585.5164380874739</v>
      </c>
      <c r="CT62" s="106">
        <v>4.1164127053289636</v>
      </c>
      <c r="CU62" s="106">
        <v>7019.3069451269494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19.883982307284146</v>
      </c>
      <c r="M63" s="106">
        <v>15819.696323675267</v>
      </c>
      <c r="N63" s="106">
        <v>12.15302177771934</v>
      </c>
      <c r="O63" s="106">
        <v>9668.9441263535082</v>
      </c>
      <c r="P63" s="106">
        <v>8.1095034682095761</v>
      </c>
      <c r="Q63" s="106">
        <v>6451.9209593075393</v>
      </c>
      <c r="R63" s="106">
        <v>11.950535147117598</v>
      </c>
      <c r="S63" s="106">
        <v>9507.8457630467619</v>
      </c>
      <c r="T63" s="106">
        <v>0</v>
      </c>
      <c r="U63" s="106">
        <v>0</v>
      </c>
      <c r="V63" s="106">
        <v>5.9463900621370254</v>
      </c>
      <c r="W63" s="106">
        <v>4730.9479334362177</v>
      </c>
      <c r="X63" s="106">
        <v>0</v>
      </c>
      <c r="Y63" s="106">
        <v>0</v>
      </c>
      <c r="Z63" s="106">
        <v>5.891654750234613</v>
      </c>
      <c r="AA63" s="106">
        <v>4687.400519286658</v>
      </c>
      <c r="AB63" s="106">
        <v>3.465202306038905</v>
      </c>
      <c r="AC63" s="106">
        <v>2756.9149546845529</v>
      </c>
      <c r="AD63" s="106">
        <v>6.926675493972521</v>
      </c>
      <c r="AE63" s="106">
        <v>5510.8630230045383</v>
      </c>
      <c r="AF63" s="106">
        <v>5.1143660315593049</v>
      </c>
      <c r="AG63" s="106">
        <v>4068.9896147085833</v>
      </c>
      <c r="AH63" s="106">
        <v>0</v>
      </c>
      <c r="AI63" s="106">
        <v>0</v>
      </c>
      <c r="AJ63" s="106">
        <v>7.6557894570527161</v>
      </c>
      <c r="AK63" s="106">
        <v>6090.9460920311412</v>
      </c>
      <c r="AL63" s="106">
        <v>0</v>
      </c>
      <c r="AM63" s="106">
        <v>0</v>
      </c>
      <c r="AN63" s="106">
        <v>6.7959164245659318</v>
      </c>
      <c r="AO63" s="106">
        <v>5406.8311073846553</v>
      </c>
      <c r="AP63" s="106">
        <v>0</v>
      </c>
      <c r="AQ63" s="106">
        <v>0</v>
      </c>
      <c r="AR63" s="106">
        <v>4.8246815272063142</v>
      </c>
      <c r="AS63" s="106">
        <v>3838.5166230453437</v>
      </c>
      <c r="AT63" s="106">
        <v>0</v>
      </c>
      <c r="AU63" s="106">
        <v>0</v>
      </c>
      <c r="AV63" s="106">
        <v>2.3618002696387714</v>
      </c>
      <c r="AW63" s="106">
        <v>1879.0482945246067</v>
      </c>
      <c r="AX63" s="106">
        <v>4.7059856877453967</v>
      </c>
      <c r="AY63" s="106">
        <v>3744.0822131702375</v>
      </c>
      <c r="AZ63" s="106">
        <v>14.096822724550805</v>
      </c>
      <c r="BA63" s="106">
        <v>11215.432159652621</v>
      </c>
      <c r="BB63" s="106">
        <v>13.374746205529052</v>
      </c>
      <c r="BC63" s="106">
        <v>10640.948081118913</v>
      </c>
      <c r="BD63" s="106">
        <v>0</v>
      </c>
      <c r="BE63" s="106">
        <v>0</v>
      </c>
      <c r="BF63" s="106">
        <v>30.501907735245702</v>
      </c>
      <c r="BG63" s="106">
        <v>24267.317794161481</v>
      </c>
      <c r="BH63" s="106">
        <v>2.7015841809241987</v>
      </c>
      <c r="BI63" s="106">
        <v>2149.3803743432927</v>
      </c>
      <c r="BJ63" s="106">
        <v>2.4063251090615339</v>
      </c>
      <c r="BK63" s="106">
        <v>1914.4722567693564</v>
      </c>
      <c r="BL63" s="106">
        <v>2.0079427680356479</v>
      </c>
      <c r="BM63" s="106">
        <v>1597.5192662491615</v>
      </c>
      <c r="BN63" s="106">
        <v>0</v>
      </c>
      <c r="BO63" s="106">
        <v>0</v>
      </c>
      <c r="BP63" s="106">
        <v>1.7328420442014509</v>
      </c>
      <c r="BQ63" s="106">
        <v>1378.6491303666744</v>
      </c>
      <c r="BR63" s="106">
        <v>2.6944139572426491</v>
      </c>
      <c r="BS63" s="106">
        <v>2143.6757443822517</v>
      </c>
      <c r="BT63" s="106">
        <v>0</v>
      </c>
      <c r="BU63" s="106">
        <v>0</v>
      </c>
      <c r="BV63" s="106">
        <v>1.2279610244365471</v>
      </c>
      <c r="BW63" s="106">
        <v>976.9657910417169</v>
      </c>
      <c r="BX63" s="106">
        <v>36.514611202777786</v>
      </c>
      <c r="BY63" s="106">
        <v>29051.024672930009</v>
      </c>
      <c r="BZ63" s="106">
        <v>27.057857138899553</v>
      </c>
      <c r="CA63" s="106">
        <v>21527.231139708485</v>
      </c>
      <c r="CB63" s="106">
        <v>0</v>
      </c>
      <c r="CC63" s="106">
        <v>0</v>
      </c>
      <c r="CD63" s="106">
        <v>24.174739585060401</v>
      </c>
      <c r="CE63" s="106">
        <v>19233.422813874055</v>
      </c>
      <c r="CF63" s="106">
        <v>14.395818816365507</v>
      </c>
      <c r="CG63" s="106">
        <v>11453.313450300398</v>
      </c>
      <c r="CH63" s="106">
        <v>9.1494695869989933</v>
      </c>
      <c r="CI63" s="106">
        <v>7279.3180034163988</v>
      </c>
      <c r="CJ63" s="106">
        <v>0</v>
      </c>
      <c r="CK63" s="106">
        <v>0</v>
      </c>
      <c r="CL63" s="106">
        <v>7.5821262480453688</v>
      </c>
      <c r="CM63" s="106">
        <v>6032.3396429448958</v>
      </c>
      <c r="CN63" s="106">
        <v>0</v>
      </c>
      <c r="CO63" s="106">
        <v>0</v>
      </c>
      <c r="CP63" s="106">
        <v>2.7956388842308084</v>
      </c>
      <c r="CQ63" s="106">
        <v>2224.2102962940312</v>
      </c>
      <c r="CR63" s="106">
        <v>3.2438847022587902</v>
      </c>
      <c r="CS63" s="106">
        <v>2580.8346691170937</v>
      </c>
      <c r="CT63" s="106">
        <v>4.8001217189797893</v>
      </c>
      <c r="CU63" s="106">
        <v>3818.9768396203203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22.023398125156493</v>
      </c>
      <c r="M64" s="106">
        <v>22226.013387907929</v>
      </c>
      <c r="N64" s="106">
        <v>10.580888898900289</v>
      </c>
      <c r="O64" s="106">
        <v>10678.23307677017</v>
      </c>
      <c r="P64" s="106">
        <v>7.3554262348653321</v>
      </c>
      <c r="Q64" s="106">
        <v>7423.0961562260918</v>
      </c>
      <c r="R64" s="106">
        <v>11.140048448150933</v>
      </c>
      <c r="S64" s="106">
        <v>11242.536893873919</v>
      </c>
      <c r="T64" s="106">
        <v>0</v>
      </c>
      <c r="U64" s="106">
        <v>0</v>
      </c>
      <c r="V64" s="106">
        <v>4.8970271099951974</v>
      </c>
      <c r="W64" s="106">
        <v>4942.0797594071528</v>
      </c>
      <c r="X64" s="106">
        <v>0</v>
      </c>
      <c r="Y64" s="106">
        <v>0</v>
      </c>
      <c r="Z64" s="106">
        <v>5.891654750234613</v>
      </c>
      <c r="AA64" s="106">
        <v>5945.8579739367706</v>
      </c>
      <c r="AB64" s="106">
        <v>3.3745317837470634</v>
      </c>
      <c r="AC64" s="106">
        <v>3405.5774761575358</v>
      </c>
      <c r="AD64" s="106">
        <v>6.2104426526404906</v>
      </c>
      <c r="AE64" s="106">
        <v>6267.578725044782</v>
      </c>
      <c r="AF64" s="106">
        <v>5.0234076361386002</v>
      </c>
      <c r="AG64" s="106">
        <v>5069.6229863910748</v>
      </c>
      <c r="AH64" s="106">
        <v>0</v>
      </c>
      <c r="AI64" s="106">
        <v>0</v>
      </c>
      <c r="AJ64" s="106">
        <v>6.9598085973206505</v>
      </c>
      <c r="AK64" s="106">
        <v>7023.8388364159991</v>
      </c>
      <c r="AL64" s="106">
        <v>0</v>
      </c>
      <c r="AM64" s="106">
        <v>0</v>
      </c>
      <c r="AN64" s="106">
        <v>6.7959164245659318</v>
      </c>
      <c r="AO64" s="106">
        <v>6858.4388556719368</v>
      </c>
      <c r="AP64" s="106">
        <v>0</v>
      </c>
      <c r="AQ64" s="106">
        <v>0</v>
      </c>
      <c r="AR64" s="106">
        <v>4.8246815272063142</v>
      </c>
      <c r="AS64" s="106">
        <v>4869.0685972566116</v>
      </c>
      <c r="AT64" s="106">
        <v>0</v>
      </c>
      <c r="AU64" s="106">
        <v>0</v>
      </c>
      <c r="AV64" s="106">
        <v>2.1174761038140706</v>
      </c>
      <c r="AW64" s="106">
        <v>2136.9568839691597</v>
      </c>
      <c r="AX64" s="106">
        <v>4.6716437202603647</v>
      </c>
      <c r="AY64" s="106">
        <v>4714.6228424867595</v>
      </c>
      <c r="AZ64" s="106">
        <v>13.374115018532711</v>
      </c>
      <c r="BA64" s="106">
        <v>13497.156876703209</v>
      </c>
      <c r="BB64" s="106">
        <v>14.499731355822037</v>
      </c>
      <c r="BC64" s="106">
        <v>14633.128884295598</v>
      </c>
      <c r="BD64" s="106">
        <v>0</v>
      </c>
      <c r="BE64" s="106">
        <v>0</v>
      </c>
      <c r="BF64" s="106">
        <v>29.146267391457002</v>
      </c>
      <c r="BG64" s="106">
        <v>29414.413051458399</v>
      </c>
      <c r="BH64" s="106">
        <v>2.4965060113926314</v>
      </c>
      <c r="BI64" s="106">
        <v>2519.4738666974431</v>
      </c>
      <c r="BJ64" s="106">
        <v>2.3117303155105078</v>
      </c>
      <c r="BK64" s="106">
        <v>2332.998234413204</v>
      </c>
      <c r="BL64" s="106">
        <v>2.0048417844243924</v>
      </c>
      <c r="BM64" s="106">
        <v>2023.2863288410965</v>
      </c>
      <c r="BN64" s="106">
        <v>0</v>
      </c>
      <c r="BO64" s="106">
        <v>0</v>
      </c>
      <c r="BP64" s="106">
        <v>1.8153583320205675</v>
      </c>
      <c r="BQ64" s="106">
        <v>1832.0596286751563</v>
      </c>
      <c r="BR64" s="106">
        <v>2.5260552076086817</v>
      </c>
      <c r="BS64" s="106">
        <v>2549.2949155186811</v>
      </c>
      <c r="BT64" s="106">
        <v>0</v>
      </c>
      <c r="BU64" s="106">
        <v>0</v>
      </c>
      <c r="BV64" s="106">
        <v>1.2279610244365471</v>
      </c>
      <c r="BW64" s="106">
        <v>1239.258265861363</v>
      </c>
      <c r="BX64" s="106">
        <v>33.423155331144748</v>
      </c>
      <c r="BY64" s="106">
        <v>33730.648360191277</v>
      </c>
      <c r="BZ64" s="106">
        <v>21.315459246475488</v>
      </c>
      <c r="CA64" s="106">
        <v>21511.561471543057</v>
      </c>
      <c r="CB64" s="106">
        <v>0</v>
      </c>
      <c r="CC64" s="106">
        <v>0</v>
      </c>
      <c r="CD64" s="106">
        <v>24.767984728252067</v>
      </c>
      <c r="CE64" s="106">
        <v>24995.850187751981</v>
      </c>
      <c r="CF64" s="106">
        <v>14.949922965424095</v>
      </c>
      <c r="CG64" s="106">
        <v>15087.462256705994</v>
      </c>
      <c r="CH64" s="106">
        <v>9.7195340115485749</v>
      </c>
      <c r="CI64" s="106">
        <v>9808.9537244548192</v>
      </c>
      <c r="CJ64" s="106">
        <v>0</v>
      </c>
      <c r="CK64" s="106">
        <v>0</v>
      </c>
      <c r="CL64" s="106">
        <v>6.0162523489925208</v>
      </c>
      <c r="CM64" s="106">
        <v>6071.601870603251</v>
      </c>
      <c r="CN64" s="106">
        <v>0</v>
      </c>
      <c r="CO64" s="106">
        <v>0</v>
      </c>
      <c r="CP64" s="106">
        <v>2.4228870330000336</v>
      </c>
      <c r="CQ64" s="106">
        <v>2445.1775937036336</v>
      </c>
      <c r="CR64" s="106">
        <v>2.9704443496353057</v>
      </c>
      <c r="CS64" s="106">
        <v>2997.77243765195</v>
      </c>
      <c r="CT64" s="106">
        <v>4.4529494453850509</v>
      </c>
      <c r="CU64" s="106">
        <v>4493.9165802825928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21.645854157296665</v>
      </c>
      <c r="M65" s="106">
        <v>22208.646365386379</v>
      </c>
      <c r="N65" s="106">
        <v>10.640879791326334</v>
      </c>
      <c r="O65" s="106">
        <v>10917.542665900819</v>
      </c>
      <c r="P65" s="106">
        <v>6.642401672813766</v>
      </c>
      <c r="Q65" s="106">
        <v>6815.104116306924</v>
      </c>
      <c r="R65" s="106">
        <v>11.772747006581916</v>
      </c>
      <c r="S65" s="106">
        <v>12078.838428753046</v>
      </c>
      <c r="T65" s="106">
        <v>0</v>
      </c>
      <c r="U65" s="106">
        <v>0</v>
      </c>
      <c r="V65" s="106">
        <v>5.596602411423083</v>
      </c>
      <c r="W65" s="106">
        <v>5742.1140741200834</v>
      </c>
      <c r="X65" s="106">
        <v>0</v>
      </c>
      <c r="Y65" s="106">
        <v>0</v>
      </c>
      <c r="Z65" s="106">
        <v>5.5643405974438007</v>
      </c>
      <c r="AA65" s="106">
        <v>5709.0134529773395</v>
      </c>
      <c r="AB65" s="106">
        <v>2.9348431683288578</v>
      </c>
      <c r="AC65" s="106">
        <v>3011.1490907054081</v>
      </c>
      <c r="AD65" s="106">
        <v>7.1320541568112503</v>
      </c>
      <c r="AE65" s="106">
        <v>7317.4875648883426</v>
      </c>
      <c r="AF65" s="106">
        <v>4.9243501512325158</v>
      </c>
      <c r="AG65" s="106">
        <v>5052.383255164561</v>
      </c>
      <c r="AH65" s="106">
        <v>0</v>
      </c>
      <c r="AI65" s="106">
        <v>0</v>
      </c>
      <c r="AJ65" s="106">
        <v>7.1918022172313396</v>
      </c>
      <c r="AK65" s="106">
        <v>7378.7890748793543</v>
      </c>
      <c r="AL65" s="106">
        <v>0</v>
      </c>
      <c r="AM65" s="106">
        <v>0</v>
      </c>
      <c r="AN65" s="106">
        <v>7.2077901472668966</v>
      </c>
      <c r="AO65" s="106">
        <v>7395.1926910958355</v>
      </c>
      <c r="AP65" s="106">
        <v>0</v>
      </c>
      <c r="AQ65" s="106">
        <v>0</v>
      </c>
      <c r="AR65" s="106">
        <v>4.6149127651538642</v>
      </c>
      <c r="AS65" s="106">
        <v>4734.9004970478645</v>
      </c>
      <c r="AT65" s="106">
        <v>0</v>
      </c>
      <c r="AU65" s="106">
        <v>0</v>
      </c>
      <c r="AV65" s="106">
        <v>1.9545933265976039</v>
      </c>
      <c r="AW65" s="106">
        <v>2005.4127530891417</v>
      </c>
      <c r="AX65" s="106">
        <v>4.2631741380104398</v>
      </c>
      <c r="AY65" s="106">
        <v>4374.0166655987114</v>
      </c>
      <c r="AZ65" s="106">
        <v>12.967742482846564</v>
      </c>
      <c r="BA65" s="106">
        <v>13304.903787400575</v>
      </c>
      <c r="BB65" s="106">
        <v>13.275543105684985</v>
      </c>
      <c r="BC65" s="106">
        <v>13620.707226432794</v>
      </c>
      <c r="BD65" s="106">
        <v>0</v>
      </c>
      <c r="BE65" s="106">
        <v>0</v>
      </c>
      <c r="BF65" s="106">
        <v>27.112806875773956</v>
      </c>
      <c r="BG65" s="106">
        <v>27817.739854544077</v>
      </c>
      <c r="BH65" s="106">
        <v>2.3860953530736717</v>
      </c>
      <c r="BI65" s="106">
        <v>2448.1338322535871</v>
      </c>
      <c r="BJ65" s="106">
        <v>2.4064427035437697</v>
      </c>
      <c r="BK65" s="106">
        <v>2469.0102138359075</v>
      </c>
      <c r="BL65" s="106">
        <v>2.1769280408358429</v>
      </c>
      <c r="BM65" s="106">
        <v>2233.528169897575</v>
      </c>
      <c r="BN65" s="106">
        <v>0</v>
      </c>
      <c r="BO65" s="106">
        <v>0</v>
      </c>
      <c r="BP65" s="106">
        <v>1.6503257563823341</v>
      </c>
      <c r="BQ65" s="106">
        <v>1693.2342260482749</v>
      </c>
      <c r="BR65" s="106">
        <v>2.5263200587050356</v>
      </c>
      <c r="BS65" s="106">
        <v>2592.0043802313667</v>
      </c>
      <c r="BT65" s="106">
        <v>0</v>
      </c>
      <c r="BU65" s="106">
        <v>0</v>
      </c>
      <c r="BV65" s="106">
        <v>1.1402495226910794</v>
      </c>
      <c r="BW65" s="106">
        <v>1169.8960102810474</v>
      </c>
      <c r="BX65" s="106">
        <v>34.011152637383347</v>
      </c>
      <c r="BY65" s="106">
        <v>34895.442605955315</v>
      </c>
      <c r="BZ65" s="106">
        <v>24.185526393273225</v>
      </c>
      <c r="CA65" s="106">
        <v>24814.35007949833</v>
      </c>
      <c r="CB65" s="106">
        <v>0</v>
      </c>
      <c r="CC65" s="106">
        <v>0</v>
      </c>
      <c r="CD65" s="106">
        <v>22.617471084182277</v>
      </c>
      <c r="CE65" s="106">
        <v>23205.525332371017</v>
      </c>
      <c r="CF65" s="106">
        <v>14.120680461096132</v>
      </c>
      <c r="CG65" s="106">
        <v>14487.818153084632</v>
      </c>
      <c r="CH65" s="106">
        <v>9.5784989450310398</v>
      </c>
      <c r="CI65" s="106">
        <v>9827.5399176018473</v>
      </c>
      <c r="CJ65" s="106">
        <v>0</v>
      </c>
      <c r="CK65" s="106">
        <v>0</v>
      </c>
      <c r="CL65" s="106">
        <v>6.92281092212838</v>
      </c>
      <c r="CM65" s="106">
        <v>7102.8040061037182</v>
      </c>
      <c r="CN65" s="106">
        <v>0</v>
      </c>
      <c r="CO65" s="106">
        <v>0</v>
      </c>
      <c r="CP65" s="106">
        <v>2.7956388842308084</v>
      </c>
      <c r="CQ65" s="106">
        <v>2868.3254952208094</v>
      </c>
      <c r="CR65" s="106">
        <v>2.8248738186324895</v>
      </c>
      <c r="CS65" s="106">
        <v>2898.3205379169344</v>
      </c>
      <c r="CT65" s="106">
        <v>4.2091604541157341</v>
      </c>
      <c r="CU65" s="106">
        <v>4318.5986259227429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17.744566489411802</v>
      </c>
      <c r="M66" s="106">
        <v>21123.131948995808</v>
      </c>
      <c r="N66" s="106">
        <v>9.8641276663460271</v>
      </c>
      <c r="O66" s="106">
        <v>11742.257574018309</v>
      </c>
      <c r="P66" s="106">
        <v>6.6136272458766738</v>
      </c>
      <c r="Q66" s="106">
        <v>7872.8618734915917</v>
      </c>
      <c r="R66" s="106">
        <v>11.013756877005024</v>
      </c>
      <c r="S66" s="106">
        <v>13110.77618638678</v>
      </c>
      <c r="T66" s="106">
        <v>0</v>
      </c>
      <c r="U66" s="106">
        <v>0</v>
      </c>
      <c r="V66" s="106">
        <v>5.596602411423083</v>
      </c>
      <c r="W66" s="106">
        <v>6662.1955105580373</v>
      </c>
      <c r="X66" s="106">
        <v>0</v>
      </c>
      <c r="Y66" s="106">
        <v>0</v>
      </c>
      <c r="Z66" s="106">
        <v>6.2189689030254245</v>
      </c>
      <c r="AA66" s="106">
        <v>7403.0605821614645</v>
      </c>
      <c r="AB66" s="106">
        <v>3.0088082397541678</v>
      </c>
      <c r="AC66" s="106">
        <v>3581.6853286033611</v>
      </c>
      <c r="AD66" s="106">
        <v>5.8195452015284559</v>
      </c>
      <c r="AE66" s="106">
        <v>6927.5866078994732</v>
      </c>
      <c r="AF66" s="106">
        <v>4.5044614769922955</v>
      </c>
      <c r="AG66" s="106">
        <v>5362.1109422116278</v>
      </c>
      <c r="AH66" s="106">
        <v>0</v>
      </c>
      <c r="AI66" s="106">
        <v>0</v>
      </c>
      <c r="AJ66" s="106">
        <v>6.9598085973206505</v>
      </c>
      <c r="AK66" s="106">
        <v>8284.9561542505016</v>
      </c>
      <c r="AL66" s="106">
        <v>0</v>
      </c>
      <c r="AM66" s="106">
        <v>0</v>
      </c>
      <c r="AN66" s="106">
        <v>7.2077901472668966</v>
      </c>
      <c r="AO66" s="106">
        <v>8580.1533913065123</v>
      </c>
      <c r="AP66" s="106">
        <v>0</v>
      </c>
      <c r="AQ66" s="106">
        <v>0</v>
      </c>
      <c r="AR66" s="106">
        <v>4.8246815272063142</v>
      </c>
      <c r="AS66" s="106">
        <v>5743.3008899863953</v>
      </c>
      <c r="AT66" s="106">
        <v>0</v>
      </c>
      <c r="AU66" s="106">
        <v>0</v>
      </c>
      <c r="AV66" s="106">
        <v>2.1989174924223041</v>
      </c>
      <c r="AW66" s="106">
        <v>2617.5913829795104</v>
      </c>
      <c r="AX66" s="106">
        <v>4.2975161054954718</v>
      </c>
      <c r="AY66" s="106">
        <v>5115.7631719818091</v>
      </c>
      <c r="AZ66" s="106">
        <v>14.116116445698134</v>
      </c>
      <c r="BA66" s="106">
        <v>16803.825016959057</v>
      </c>
      <c r="BB66" s="106">
        <v>13.539725895595087</v>
      </c>
      <c r="BC66" s="106">
        <v>16117.689706116389</v>
      </c>
      <c r="BD66" s="106">
        <v>0</v>
      </c>
      <c r="BE66" s="106">
        <v>0</v>
      </c>
      <c r="BF66" s="106">
        <v>28.468447219562652</v>
      </c>
      <c r="BG66" s="106">
        <v>33888.83957016738</v>
      </c>
      <c r="BH66" s="106">
        <v>2.3862960915720879</v>
      </c>
      <c r="BI66" s="106">
        <v>2840.6468674074131</v>
      </c>
      <c r="BJ66" s="106">
        <v>2.1227367192121815</v>
      </c>
      <c r="BK66" s="106">
        <v>2526.9057905501804</v>
      </c>
      <c r="BL66" s="106">
        <v>2.091538762241091</v>
      </c>
      <c r="BM66" s="106">
        <v>2489.7677425717943</v>
      </c>
      <c r="BN66" s="106">
        <v>0</v>
      </c>
      <c r="BO66" s="106">
        <v>0</v>
      </c>
      <c r="BP66" s="106">
        <v>1.5678094685632176</v>
      </c>
      <c r="BQ66" s="106">
        <v>1866.320391377654</v>
      </c>
      <c r="BR66" s="106">
        <v>2.3760010729870489</v>
      </c>
      <c r="BS66" s="106">
        <v>2828.3916772837829</v>
      </c>
      <c r="BT66" s="106">
        <v>0</v>
      </c>
      <c r="BU66" s="106">
        <v>0</v>
      </c>
      <c r="BV66" s="106">
        <v>1.0525380209456119</v>
      </c>
      <c r="BW66" s="106">
        <v>1252.9412601336562</v>
      </c>
      <c r="BX66" s="106">
        <v>30.549963442410984</v>
      </c>
      <c r="BY66" s="106">
        <v>36366.676481846029</v>
      </c>
      <c r="BZ66" s="106">
        <v>22.793757377942917</v>
      </c>
      <c r="CA66" s="106">
        <v>27133.688782703244</v>
      </c>
      <c r="CB66" s="106">
        <v>0</v>
      </c>
      <c r="CC66" s="106">
        <v>0</v>
      </c>
      <c r="CD66" s="106">
        <v>21.801759012293736</v>
      </c>
      <c r="CE66" s="106">
        <v>25952.81392823446</v>
      </c>
      <c r="CF66" s="106">
        <v>12.305003417170987</v>
      </c>
      <c r="CG66" s="106">
        <v>14647.876067800342</v>
      </c>
      <c r="CH66" s="106">
        <v>7.6660352174218653</v>
      </c>
      <c r="CI66" s="106">
        <v>9125.6483228189882</v>
      </c>
      <c r="CJ66" s="106">
        <v>0</v>
      </c>
      <c r="CK66" s="106">
        <v>0</v>
      </c>
      <c r="CL66" s="106">
        <v>6.5107388434302624</v>
      </c>
      <c r="CM66" s="106">
        <v>7750.3835192193837</v>
      </c>
      <c r="CN66" s="106">
        <v>0</v>
      </c>
      <c r="CO66" s="106">
        <v>0</v>
      </c>
      <c r="CP66" s="106">
        <v>2.4228870330000336</v>
      </c>
      <c r="CQ66" s="106">
        <v>2884.2047240832399</v>
      </c>
      <c r="CR66" s="106">
        <v>2.6871702695772948</v>
      </c>
      <c r="CS66" s="106">
        <v>3198.8074889048112</v>
      </c>
      <c r="CT66" s="106">
        <v>4.1723478301083894</v>
      </c>
      <c r="CU66" s="106">
        <v>4966.762856961026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21.142462200150231</v>
      </c>
      <c r="M67" s="106">
        <v>23747.213543208742</v>
      </c>
      <c r="N67" s="106">
        <v>11.720255419443738</v>
      </c>
      <c r="O67" s="106">
        <v>13164.190887119208</v>
      </c>
      <c r="P67" s="106">
        <v>7.1314562810348026</v>
      </c>
      <c r="Q67" s="106">
        <v>8010.0516948582908</v>
      </c>
      <c r="R67" s="106">
        <v>10.782510065704946</v>
      </c>
      <c r="S67" s="106">
        <v>12110.915305799796</v>
      </c>
      <c r="T67" s="106">
        <v>0</v>
      </c>
      <c r="U67" s="106">
        <v>0</v>
      </c>
      <c r="V67" s="106">
        <v>5.9463900621370254</v>
      </c>
      <c r="W67" s="106">
        <v>6678.9853177923069</v>
      </c>
      <c r="X67" s="106">
        <v>0</v>
      </c>
      <c r="Y67" s="106">
        <v>0</v>
      </c>
      <c r="Z67" s="106">
        <v>5.5643405974438007</v>
      </c>
      <c r="AA67" s="106">
        <v>6249.867359048877</v>
      </c>
      <c r="AB67" s="106">
        <v>3.2919374909952586</v>
      </c>
      <c r="AC67" s="106">
        <v>3697.5041898858744</v>
      </c>
      <c r="AD67" s="106">
        <v>6.9417802655468241</v>
      </c>
      <c r="AE67" s="106">
        <v>7797.0075942621934</v>
      </c>
      <c r="AF67" s="106">
        <v>4.5178749981903819</v>
      </c>
      <c r="AG67" s="106">
        <v>5074.477197967437</v>
      </c>
      <c r="AH67" s="106">
        <v>0</v>
      </c>
      <c r="AI67" s="106">
        <v>0</v>
      </c>
      <c r="AJ67" s="106">
        <v>6.7278149774099631</v>
      </c>
      <c r="AK67" s="106">
        <v>7556.6817826268707</v>
      </c>
      <c r="AL67" s="106">
        <v>0</v>
      </c>
      <c r="AM67" s="106">
        <v>0</v>
      </c>
      <c r="AN67" s="106">
        <v>7.2077901472668966</v>
      </c>
      <c r="AO67" s="106">
        <v>8095.7898934101786</v>
      </c>
      <c r="AP67" s="106">
        <v>0</v>
      </c>
      <c r="AQ67" s="106">
        <v>0</v>
      </c>
      <c r="AR67" s="106">
        <v>4.405144003101416</v>
      </c>
      <c r="AS67" s="106">
        <v>4947.8577442835103</v>
      </c>
      <c r="AT67" s="106">
        <v>0</v>
      </c>
      <c r="AU67" s="106">
        <v>0</v>
      </c>
      <c r="AV67" s="106">
        <v>2.1989174924223041</v>
      </c>
      <c r="AW67" s="106">
        <v>2469.8241274887318</v>
      </c>
      <c r="AX67" s="106">
        <v>4.527507372234207</v>
      </c>
      <c r="AY67" s="106">
        <v>5085.2962804934614</v>
      </c>
      <c r="AZ67" s="106">
        <v>14.464607817942293</v>
      </c>
      <c r="BA67" s="106">
        <v>16246.647501112784</v>
      </c>
      <c r="BB67" s="106">
        <v>13.292493401855193</v>
      </c>
      <c r="BC67" s="106">
        <v>14930.128588963753</v>
      </c>
      <c r="BD67" s="106">
        <v>0</v>
      </c>
      <c r="BE67" s="106">
        <v>0</v>
      </c>
      <c r="BF67" s="106">
        <v>25.079346360090909</v>
      </c>
      <c r="BG67" s="106">
        <v>28169.121831654109</v>
      </c>
      <c r="BH67" s="106">
        <v>2.2881186216410612</v>
      </c>
      <c r="BI67" s="106">
        <v>2570.0148358272399</v>
      </c>
      <c r="BJ67" s="106">
        <v>2.1209058407820218</v>
      </c>
      <c r="BK67" s="106">
        <v>2382.201440366367</v>
      </c>
      <c r="BL67" s="106">
        <v>1.9207948897063987</v>
      </c>
      <c r="BM67" s="106">
        <v>2157.4368201182269</v>
      </c>
      <c r="BN67" s="106">
        <v>0</v>
      </c>
      <c r="BO67" s="106">
        <v>0</v>
      </c>
      <c r="BP67" s="106">
        <v>1.6503257563823341</v>
      </c>
      <c r="BQ67" s="106">
        <v>1853.6458895686378</v>
      </c>
      <c r="BR67" s="106">
        <v>2.6702676734285755</v>
      </c>
      <c r="BS67" s="106">
        <v>2999.2446507949762</v>
      </c>
      <c r="BT67" s="106">
        <v>0</v>
      </c>
      <c r="BU67" s="106">
        <v>0</v>
      </c>
      <c r="BV67" s="106">
        <v>1.2279610244365471</v>
      </c>
      <c r="BW67" s="106">
        <v>1379.2458226471297</v>
      </c>
      <c r="BX67" s="106">
        <v>31.684853659528656</v>
      </c>
      <c r="BY67" s="106">
        <v>35588.42763038259</v>
      </c>
      <c r="BZ67" s="106">
        <v>19.925953829973778</v>
      </c>
      <c r="CA67" s="106">
        <v>22380.83134182655</v>
      </c>
      <c r="CB67" s="106">
        <v>0</v>
      </c>
      <c r="CC67" s="106">
        <v>0</v>
      </c>
      <c r="CD67" s="106">
        <v>23.136560584474985</v>
      </c>
      <c r="CE67" s="106">
        <v>25986.984848482305</v>
      </c>
      <c r="CF67" s="106">
        <v>14.816852870468733</v>
      </c>
      <c r="CG67" s="106">
        <v>16642.28914411048</v>
      </c>
      <c r="CH67" s="106">
        <v>8.7289126570208975</v>
      </c>
      <c r="CI67" s="106">
        <v>9804.3146963658728</v>
      </c>
      <c r="CJ67" s="106">
        <v>0</v>
      </c>
      <c r="CK67" s="106">
        <v>0</v>
      </c>
      <c r="CL67" s="106">
        <v>6.840396506388756</v>
      </c>
      <c r="CM67" s="106">
        <v>7683.1333559758514</v>
      </c>
      <c r="CN67" s="106">
        <v>0</v>
      </c>
      <c r="CO67" s="106">
        <v>0</v>
      </c>
      <c r="CP67" s="106">
        <v>2.7956388842308084</v>
      </c>
      <c r="CQ67" s="106">
        <v>3140.061594768044</v>
      </c>
      <c r="CR67" s="106">
        <v>2.8327408005801109</v>
      </c>
      <c r="CS67" s="106">
        <v>3181.7344672115805</v>
      </c>
      <c r="CT67" s="106">
        <v>4.1902766829331224</v>
      </c>
      <c r="CU67" s="106">
        <v>4706.5187702704834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18.499654425131453</v>
      </c>
      <c r="M68" s="106">
        <v>19113.842952045819</v>
      </c>
      <c r="N68" s="106">
        <v>10.569034316899469</v>
      </c>
      <c r="O68" s="106">
        <v>10919.926256220531</v>
      </c>
      <c r="P68" s="106">
        <v>6.9282265600976336</v>
      </c>
      <c r="Q68" s="106">
        <v>7158.2436818928754</v>
      </c>
      <c r="R68" s="106">
        <v>11.951587782794276</v>
      </c>
      <c r="S68" s="106">
        <v>12348.380497183047</v>
      </c>
      <c r="T68" s="106">
        <v>0</v>
      </c>
      <c r="U68" s="106">
        <v>0</v>
      </c>
      <c r="V68" s="106">
        <v>5.596602411423083</v>
      </c>
      <c r="W68" s="106">
        <v>5782.4096114823296</v>
      </c>
      <c r="X68" s="106">
        <v>0</v>
      </c>
      <c r="Y68" s="106">
        <v>0</v>
      </c>
      <c r="Z68" s="106">
        <v>6.2189689030254245</v>
      </c>
      <c r="AA68" s="106">
        <v>6425.4386706058685</v>
      </c>
      <c r="AB68" s="106">
        <v>3.2997372246420626</v>
      </c>
      <c r="AC68" s="106">
        <v>3409.2885005001795</v>
      </c>
      <c r="AD68" s="106">
        <v>6.9521299341300056</v>
      </c>
      <c r="AE68" s="106">
        <v>7182.9406479431218</v>
      </c>
      <c r="AF68" s="106">
        <v>4.9305928022027796</v>
      </c>
      <c r="AG68" s="106">
        <v>5094.2884832359123</v>
      </c>
      <c r="AH68" s="106">
        <v>0</v>
      </c>
      <c r="AI68" s="106">
        <v>0</v>
      </c>
      <c r="AJ68" s="106">
        <v>7.4237958371420278</v>
      </c>
      <c r="AK68" s="106">
        <v>7670.2658589351431</v>
      </c>
      <c r="AL68" s="106">
        <v>0</v>
      </c>
      <c r="AM68" s="106">
        <v>0</v>
      </c>
      <c r="AN68" s="106">
        <v>7.6196638699678632</v>
      </c>
      <c r="AO68" s="106">
        <v>7872.6367104507963</v>
      </c>
      <c r="AP68" s="106">
        <v>0</v>
      </c>
      <c r="AQ68" s="106">
        <v>0</v>
      </c>
      <c r="AR68" s="106">
        <v>4.8246815272063142</v>
      </c>
      <c r="AS68" s="106">
        <v>4984.8609539095642</v>
      </c>
      <c r="AT68" s="106">
        <v>0</v>
      </c>
      <c r="AU68" s="106">
        <v>0</v>
      </c>
      <c r="AV68" s="106">
        <v>2.1989174924223041</v>
      </c>
      <c r="AW68" s="106">
        <v>2271.9215531707246</v>
      </c>
      <c r="AX68" s="106">
        <v>4.6544727365178495</v>
      </c>
      <c r="AY68" s="106">
        <v>4809.0012313702427</v>
      </c>
      <c r="AZ68" s="106">
        <v>12.625682350984846</v>
      </c>
      <c r="BA68" s="106">
        <v>13044.855005037543</v>
      </c>
      <c r="BB68" s="106">
        <v>12.865844159715518</v>
      </c>
      <c r="BC68" s="106">
        <v>13292.990185818075</v>
      </c>
      <c r="BD68" s="106">
        <v>0</v>
      </c>
      <c r="BE68" s="106">
        <v>0</v>
      </c>
      <c r="BF68" s="106">
        <v>29.146267391457002</v>
      </c>
      <c r="BG68" s="106">
        <v>30113.923468853376</v>
      </c>
      <c r="BH68" s="106">
        <v>2.6957686944778554</v>
      </c>
      <c r="BI68" s="106">
        <v>2785.2682151345202</v>
      </c>
      <c r="BJ68" s="106">
        <v>2.4082735819739298</v>
      </c>
      <c r="BK68" s="106">
        <v>2488.2282648954642</v>
      </c>
      <c r="BL68" s="106">
        <v>1.8399877172189063</v>
      </c>
      <c r="BM68" s="106">
        <v>1901.0753094305742</v>
      </c>
      <c r="BN68" s="106">
        <v>0</v>
      </c>
      <c r="BO68" s="106">
        <v>0</v>
      </c>
      <c r="BP68" s="106">
        <v>1.8153583320205675</v>
      </c>
      <c r="BQ68" s="106">
        <v>1875.6282286436503</v>
      </c>
      <c r="BR68" s="106">
        <v>2.5178298789397537</v>
      </c>
      <c r="BS68" s="106">
        <v>2601.4218309205535</v>
      </c>
      <c r="BT68" s="106">
        <v>0</v>
      </c>
      <c r="BU68" s="106">
        <v>0</v>
      </c>
      <c r="BV68" s="106">
        <v>1.1402495226910794</v>
      </c>
      <c r="BW68" s="106">
        <v>1178.1058068444233</v>
      </c>
      <c r="BX68" s="106">
        <v>35.926613896539195</v>
      </c>
      <c r="BY68" s="106">
        <v>37119.377477904294</v>
      </c>
      <c r="BZ68" s="106">
        <v>22.634280738640239</v>
      </c>
      <c r="CA68" s="106">
        <v>23385.738859163095</v>
      </c>
      <c r="CB68" s="106">
        <v>0</v>
      </c>
      <c r="CC68" s="106">
        <v>0</v>
      </c>
      <c r="CD68" s="106">
        <v>24.100583942161443</v>
      </c>
      <c r="CE68" s="106">
        <v>24900.723329041204</v>
      </c>
      <c r="CF68" s="106">
        <v>12.862018235032426</v>
      </c>
      <c r="CG68" s="106">
        <v>13289.037240435504</v>
      </c>
      <c r="CH68" s="106">
        <v>9.565719452645947</v>
      </c>
      <c r="CI68" s="106">
        <v>9883.3013384737933</v>
      </c>
      <c r="CJ68" s="106">
        <v>0</v>
      </c>
      <c r="CK68" s="106">
        <v>0</v>
      </c>
      <c r="CL68" s="106">
        <v>6.840396506388756</v>
      </c>
      <c r="CM68" s="106">
        <v>7067.4976704008632</v>
      </c>
      <c r="CN68" s="106">
        <v>0</v>
      </c>
      <c r="CO68" s="106">
        <v>0</v>
      </c>
      <c r="CP68" s="106">
        <v>2.7956388842308084</v>
      </c>
      <c r="CQ68" s="106">
        <v>2888.4540951872714</v>
      </c>
      <c r="CR68" s="106">
        <v>3.1081478986905005</v>
      </c>
      <c r="CS68" s="106">
        <v>3211.3384089270253</v>
      </c>
      <c r="CT68" s="106">
        <v>4.5376876861173319</v>
      </c>
      <c r="CU68" s="106">
        <v>4688.3389172964271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22.526790082302927</v>
      </c>
      <c r="M69" s="106">
        <v>17084.31759841854</v>
      </c>
      <c r="N69" s="106">
        <v>12.599336229710168</v>
      </c>
      <c r="O69" s="106">
        <v>9555.336596612191</v>
      </c>
      <c r="P69" s="106">
        <v>8.2805766067573057</v>
      </c>
      <c r="Q69" s="106">
        <v>6279.9892985647402</v>
      </c>
      <c r="R69" s="106">
        <v>11.714648283174604</v>
      </c>
      <c r="S69" s="106">
        <v>8884.3892579596195</v>
      </c>
      <c r="T69" s="106">
        <v>0</v>
      </c>
      <c r="U69" s="106">
        <v>0</v>
      </c>
      <c r="V69" s="106">
        <v>6.2961777128509677</v>
      </c>
      <c r="W69" s="106">
        <v>4775.0211774261734</v>
      </c>
      <c r="X69" s="106">
        <v>0</v>
      </c>
      <c r="Y69" s="106">
        <v>0</v>
      </c>
      <c r="Z69" s="106">
        <v>6.2189689030254245</v>
      </c>
      <c r="AA69" s="106">
        <v>4716.4660160544818</v>
      </c>
      <c r="AB69" s="106">
        <v>3.5653315373369323</v>
      </c>
      <c r="AC69" s="106">
        <v>2703.9474379163294</v>
      </c>
      <c r="AD69" s="106">
        <v>6.5810711177855543</v>
      </c>
      <c r="AE69" s="106">
        <v>4991.0843357285639</v>
      </c>
      <c r="AF69" s="106">
        <v>5.2064847010519557</v>
      </c>
      <c r="AG69" s="106">
        <v>3948.5979972778032</v>
      </c>
      <c r="AH69" s="106">
        <v>0</v>
      </c>
      <c r="AI69" s="106">
        <v>0</v>
      </c>
      <c r="AJ69" s="106">
        <v>7.4237958371420278</v>
      </c>
      <c r="AK69" s="106">
        <v>5630.2067628885134</v>
      </c>
      <c r="AL69" s="106">
        <v>0</v>
      </c>
      <c r="AM69" s="106">
        <v>0</v>
      </c>
      <c r="AN69" s="106">
        <v>7.4137270086173794</v>
      </c>
      <c r="AO69" s="106">
        <v>5622.57056333542</v>
      </c>
      <c r="AP69" s="106">
        <v>0</v>
      </c>
      <c r="AQ69" s="106">
        <v>0</v>
      </c>
      <c r="AR69" s="106">
        <v>5.0344502892587624</v>
      </c>
      <c r="AS69" s="106">
        <v>3818.1270993738453</v>
      </c>
      <c r="AT69" s="106">
        <v>0</v>
      </c>
      <c r="AU69" s="106">
        <v>0</v>
      </c>
      <c r="AV69" s="106">
        <v>2.0360347152058376</v>
      </c>
      <c r="AW69" s="106">
        <v>1544.1287280121071</v>
      </c>
      <c r="AX69" s="106">
        <v>4.6373017527753344</v>
      </c>
      <c r="AY69" s="106">
        <v>3516.9296493048137</v>
      </c>
      <c r="AZ69" s="106">
        <v>13.006329925141223</v>
      </c>
      <c r="BA69" s="106">
        <v>9864.0006152271035</v>
      </c>
      <c r="BB69" s="106">
        <v>15.174539980391669</v>
      </c>
      <c r="BC69" s="106">
        <v>11508.371121129041</v>
      </c>
      <c r="BD69" s="106">
        <v>0</v>
      </c>
      <c r="BE69" s="106">
        <v>0</v>
      </c>
      <c r="BF69" s="106">
        <v>27.112806875773956</v>
      </c>
      <c r="BG69" s="106">
        <v>20562.352734586966</v>
      </c>
      <c r="BH69" s="106">
        <v>2.496439098559827</v>
      </c>
      <c r="BI69" s="106">
        <v>1893.2994123477727</v>
      </c>
      <c r="BJ69" s="106">
        <v>2.4046510232743552</v>
      </c>
      <c r="BK69" s="106">
        <v>1823.6873360512709</v>
      </c>
      <c r="BL69" s="106">
        <v>2.2703472556972271</v>
      </c>
      <c r="BM69" s="106">
        <v>1721.831358720777</v>
      </c>
      <c r="BN69" s="106">
        <v>0</v>
      </c>
      <c r="BO69" s="106">
        <v>0</v>
      </c>
      <c r="BP69" s="106">
        <v>1.8153583320205675</v>
      </c>
      <c r="BQ69" s="106">
        <v>1376.7677590043984</v>
      </c>
      <c r="BR69" s="106">
        <v>2.9695813893827769</v>
      </c>
      <c r="BS69" s="106">
        <v>2252.130525707898</v>
      </c>
      <c r="BT69" s="106">
        <v>0</v>
      </c>
      <c r="BU69" s="106">
        <v>0</v>
      </c>
      <c r="BV69" s="106">
        <v>1.1402495226910794</v>
      </c>
      <c r="BW69" s="106">
        <v>864.76523800891459</v>
      </c>
      <c r="BX69" s="106">
        <v>36.904896723796874</v>
      </c>
      <c r="BY69" s="106">
        <v>27988.673675327547</v>
      </c>
      <c r="BZ69" s="106">
        <v>25.579559007432124</v>
      </c>
      <c r="CA69" s="106">
        <v>19399.537551236521</v>
      </c>
      <c r="CB69" s="106">
        <v>0</v>
      </c>
      <c r="CC69" s="106">
        <v>0</v>
      </c>
      <c r="CD69" s="106">
        <v>27.808366087109356</v>
      </c>
      <c r="CE69" s="106">
        <v>21089.864840463735</v>
      </c>
      <c r="CF69" s="106">
        <v>16.909256683539727</v>
      </c>
      <c r="CG69" s="106">
        <v>12823.980268796529</v>
      </c>
      <c r="CH69" s="106">
        <v>8.9449140217366789</v>
      </c>
      <c r="CI69" s="106">
        <v>6783.8227940850975</v>
      </c>
      <c r="CJ69" s="106">
        <v>0</v>
      </c>
      <c r="CK69" s="106">
        <v>0</v>
      </c>
      <c r="CL69" s="106">
        <v>7.4997118323057448</v>
      </c>
      <c r="CM69" s="106">
        <v>5687.781453620677</v>
      </c>
      <c r="CN69" s="106">
        <v>0</v>
      </c>
      <c r="CO69" s="106">
        <v>0</v>
      </c>
      <c r="CP69" s="106">
        <v>2.6092629586154215</v>
      </c>
      <c r="CQ69" s="106">
        <v>1978.8650278139355</v>
      </c>
      <c r="CR69" s="106">
        <v>2.978311331582927</v>
      </c>
      <c r="CS69" s="106">
        <v>2258.7513138724917</v>
      </c>
      <c r="CT69" s="106">
        <v>4.8192442197518703</v>
      </c>
      <c r="CU69" s="106">
        <v>3654.9148162598185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24.540357910888662</v>
      </c>
      <c r="M70" s="106">
        <v>13133.99955390761</v>
      </c>
      <c r="N70" s="106">
        <v>14.171469108529218</v>
      </c>
      <c r="O70" s="106">
        <v>7584.5702668848362</v>
      </c>
      <c r="P70" s="106">
        <v>8.1140608635526501</v>
      </c>
      <c r="Q70" s="106">
        <v>4342.6453741733776</v>
      </c>
      <c r="R70" s="106">
        <v>12.768700497441605</v>
      </c>
      <c r="S70" s="106">
        <v>6833.8085062307464</v>
      </c>
      <c r="T70" s="106">
        <v>0</v>
      </c>
      <c r="U70" s="106">
        <v>0</v>
      </c>
      <c r="V70" s="106">
        <v>5.9463900621370254</v>
      </c>
      <c r="W70" s="106">
        <v>3182.5079612557356</v>
      </c>
      <c r="X70" s="106">
        <v>0</v>
      </c>
      <c r="Y70" s="106">
        <v>0</v>
      </c>
      <c r="Z70" s="106">
        <v>7.528225514188672</v>
      </c>
      <c r="AA70" s="106">
        <v>4029.1062951937765</v>
      </c>
      <c r="AB70" s="106">
        <v>3.4663082896118258</v>
      </c>
      <c r="AC70" s="106">
        <v>1855.1681966002488</v>
      </c>
      <c r="AD70" s="106">
        <v>7.4772281817988295</v>
      </c>
      <c r="AE70" s="106">
        <v>4001.8125228987333</v>
      </c>
      <c r="AF70" s="106">
        <v>5.5479002818120007</v>
      </c>
      <c r="AG70" s="106">
        <v>2969.2362308257825</v>
      </c>
      <c r="AH70" s="106">
        <v>0</v>
      </c>
      <c r="AI70" s="106">
        <v>0</v>
      </c>
      <c r="AJ70" s="106">
        <v>7.1918022172313396</v>
      </c>
      <c r="AK70" s="106">
        <v>3849.0525466622125</v>
      </c>
      <c r="AL70" s="106">
        <v>0</v>
      </c>
      <c r="AM70" s="106">
        <v>0</v>
      </c>
      <c r="AN70" s="106">
        <v>7.6196638699678632</v>
      </c>
      <c r="AO70" s="106">
        <v>4078.0441032067997</v>
      </c>
      <c r="AP70" s="106">
        <v>0</v>
      </c>
      <c r="AQ70" s="106">
        <v>0</v>
      </c>
      <c r="AR70" s="106">
        <v>5.663756575416107</v>
      </c>
      <c r="AS70" s="106">
        <v>3031.2425191626999</v>
      </c>
      <c r="AT70" s="106">
        <v>0</v>
      </c>
      <c r="AU70" s="106">
        <v>0</v>
      </c>
      <c r="AV70" s="106">
        <v>2.5246830468552384</v>
      </c>
      <c r="AW70" s="106">
        <v>1351.2103666769235</v>
      </c>
      <c r="AX70" s="106">
        <v>4.8501220357715535</v>
      </c>
      <c r="AY70" s="106">
        <v>2595.785313544935</v>
      </c>
      <c r="AZ70" s="106">
        <v>14.85168663248111</v>
      </c>
      <c r="BA70" s="106">
        <v>7948.6226857038891</v>
      </c>
      <c r="BB70" s="106">
        <v>15.033087573909309</v>
      </c>
      <c r="BC70" s="106">
        <v>8045.7084695562617</v>
      </c>
      <c r="BD70" s="106">
        <v>0</v>
      </c>
      <c r="BE70" s="106">
        <v>0</v>
      </c>
      <c r="BF70" s="106">
        <v>31.857548079034398</v>
      </c>
      <c r="BG70" s="106">
        <v>17050.159731899206</v>
      </c>
      <c r="BH70" s="106">
        <v>2.9046244740590632</v>
      </c>
      <c r="BI70" s="106">
        <v>1554.5550185164104</v>
      </c>
      <c r="BJ70" s="106">
        <v>2.5990588585416701</v>
      </c>
      <c r="BK70" s="106">
        <v>1391.0163010915016</v>
      </c>
      <c r="BL70" s="106">
        <v>2.3561874348045295</v>
      </c>
      <c r="BM70" s="106">
        <v>1261.0315151073839</v>
      </c>
      <c r="BN70" s="106">
        <v>0</v>
      </c>
      <c r="BO70" s="106">
        <v>0</v>
      </c>
      <c r="BP70" s="106">
        <v>1.7328420442014509</v>
      </c>
      <c r="BQ70" s="106">
        <v>927.41706205661637</v>
      </c>
      <c r="BR70" s="106">
        <v>3.1228137371606621</v>
      </c>
      <c r="BS70" s="106">
        <v>1671.3299121283862</v>
      </c>
      <c r="BT70" s="106">
        <v>0</v>
      </c>
      <c r="BU70" s="106">
        <v>0</v>
      </c>
      <c r="BV70" s="106">
        <v>1.4033840279274825</v>
      </c>
      <c r="BW70" s="106">
        <v>751.09113174678851</v>
      </c>
      <c r="BX70" s="106">
        <v>45.575852884197566</v>
      </c>
      <c r="BY70" s="106">
        <v>24392.196463622535</v>
      </c>
      <c r="BZ70" s="106">
        <v>25.415555170472253</v>
      </c>
      <c r="CA70" s="106">
        <v>13602.405127236749</v>
      </c>
      <c r="CB70" s="106">
        <v>0</v>
      </c>
      <c r="CC70" s="106">
        <v>0</v>
      </c>
      <c r="CD70" s="106">
        <v>31.145370017562481</v>
      </c>
      <c r="CE70" s="106">
        <v>16669.002033399436</v>
      </c>
      <c r="CF70" s="106">
        <v>16.488459215169918</v>
      </c>
      <c r="CG70" s="106">
        <v>8824.6233719589382</v>
      </c>
      <c r="CH70" s="106">
        <v>9.3718606979073211</v>
      </c>
      <c r="CI70" s="106">
        <v>5015.8198455199972</v>
      </c>
      <c r="CJ70" s="106">
        <v>0</v>
      </c>
      <c r="CK70" s="106">
        <v>0</v>
      </c>
      <c r="CL70" s="106">
        <v>8.2414415739623568</v>
      </c>
      <c r="CM70" s="106">
        <v>4410.8195303846524</v>
      </c>
      <c r="CN70" s="106">
        <v>0</v>
      </c>
      <c r="CO70" s="106">
        <v>0</v>
      </c>
      <c r="CP70" s="106">
        <v>2.9820148098461958</v>
      </c>
      <c r="CQ70" s="106">
        <v>1595.9743262296838</v>
      </c>
      <c r="CR70" s="106">
        <v>3.3796215058270795</v>
      </c>
      <c r="CS70" s="106">
        <v>1808.7734299186527</v>
      </c>
      <c r="CT70" s="106">
        <v>4.864543810992644</v>
      </c>
      <c r="CU70" s="106">
        <v>2603.5038476432628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23.788742925298155</v>
      </c>
      <c r="M71" s="106">
        <v>13416.85100986816</v>
      </c>
      <c r="N71" s="106">
        <v>23.5099004413036</v>
      </c>
      <c r="O71" s="106">
        <v>13259.58384889523</v>
      </c>
      <c r="P71" s="106">
        <v>22.570867606947349</v>
      </c>
      <c r="Q71" s="106">
        <v>12729.969330318305</v>
      </c>
      <c r="R71" s="106">
        <v>40.042304159453963</v>
      </c>
      <c r="S71" s="106">
        <v>22583.859545932035</v>
      </c>
      <c r="T71" s="106">
        <v>0</v>
      </c>
      <c r="U71" s="106">
        <v>0</v>
      </c>
      <c r="V71" s="106">
        <v>18.225706018110078</v>
      </c>
      <c r="W71" s="106">
        <v>10279.298194214083</v>
      </c>
      <c r="X71" s="106">
        <v>14.964707409865476</v>
      </c>
      <c r="Y71" s="106">
        <v>8440.0949791641287</v>
      </c>
      <c r="Z71" s="106">
        <v>18.841275101530361</v>
      </c>
      <c r="AA71" s="106">
        <v>10626.479157263124</v>
      </c>
      <c r="AB71" s="106">
        <v>13.427464185826384</v>
      </c>
      <c r="AC71" s="106">
        <v>7573.0898008060803</v>
      </c>
      <c r="AD71" s="106">
        <v>0</v>
      </c>
      <c r="AE71" s="106">
        <v>0</v>
      </c>
      <c r="AF71" s="106">
        <v>25.09979827089337</v>
      </c>
      <c r="AG71" s="106">
        <v>14156.28622478386</v>
      </c>
      <c r="AH71" s="106">
        <v>13.220731359141006</v>
      </c>
      <c r="AI71" s="106">
        <v>7456.4924865555267</v>
      </c>
      <c r="AJ71" s="106">
        <v>0</v>
      </c>
      <c r="AK71" s="106">
        <v>0</v>
      </c>
      <c r="AL71" s="106">
        <v>8.105523899704103</v>
      </c>
      <c r="AM71" s="106">
        <v>4571.5154794331138</v>
      </c>
      <c r="AN71" s="106">
        <v>6.7158269478204442</v>
      </c>
      <c r="AO71" s="106">
        <v>3787.7263985707305</v>
      </c>
      <c r="AP71" s="106">
        <v>8.015599138238338</v>
      </c>
      <c r="AQ71" s="106">
        <v>4520.797913966423</v>
      </c>
      <c r="AR71" s="106">
        <v>0</v>
      </c>
      <c r="AS71" s="106">
        <v>0</v>
      </c>
      <c r="AT71" s="106">
        <v>50.08538119648869</v>
      </c>
      <c r="AU71" s="106">
        <v>28248.154994819623</v>
      </c>
      <c r="AV71" s="106">
        <v>31.301100100193334</v>
      </c>
      <c r="AW71" s="106">
        <v>17653.820456509042</v>
      </c>
      <c r="AX71" s="106">
        <v>36.163400967464426</v>
      </c>
      <c r="AY71" s="106">
        <v>20396.158145649937</v>
      </c>
      <c r="AZ71" s="106">
        <v>51.465602428418663</v>
      </c>
      <c r="BA71" s="106">
        <v>29026.599769628127</v>
      </c>
      <c r="BB71" s="106">
        <v>30.190468572875997</v>
      </c>
      <c r="BC71" s="106">
        <v>17027.424275102061</v>
      </c>
      <c r="BD71" s="106">
        <v>20.745037780211753</v>
      </c>
      <c r="BE71" s="106">
        <v>11700.201308039428</v>
      </c>
      <c r="BF71" s="106">
        <v>21.304784847538617</v>
      </c>
      <c r="BG71" s="106">
        <v>12015.89865401178</v>
      </c>
      <c r="BH71" s="106">
        <v>10.342848263899045</v>
      </c>
      <c r="BI71" s="106">
        <v>5833.366420839061</v>
      </c>
      <c r="BJ71" s="106">
        <v>0</v>
      </c>
      <c r="BK71" s="106">
        <v>0</v>
      </c>
      <c r="BL71" s="106">
        <v>12.395393000383233</v>
      </c>
      <c r="BM71" s="106">
        <v>6991.0016522161432</v>
      </c>
      <c r="BN71" s="106">
        <v>16.134490132215969</v>
      </c>
      <c r="BO71" s="106">
        <v>9099.8524345698061</v>
      </c>
      <c r="BP71" s="106">
        <v>29.348790194452871</v>
      </c>
      <c r="BQ71" s="106">
        <v>16552.71766967142</v>
      </c>
      <c r="BR71" s="106">
        <v>10.492479525057236</v>
      </c>
      <c r="BS71" s="106">
        <v>5917.7584521322815</v>
      </c>
      <c r="BT71" s="106">
        <v>0</v>
      </c>
      <c r="BU71" s="106">
        <v>0</v>
      </c>
      <c r="BV71" s="106">
        <v>30.807536802090564</v>
      </c>
      <c r="BW71" s="106">
        <v>17375.450756379079</v>
      </c>
      <c r="BX71" s="106">
        <v>5.2290704593580104</v>
      </c>
      <c r="BY71" s="106">
        <v>2949.195739077918</v>
      </c>
      <c r="BZ71" s="106">
        <v>0</v>
      </c>
      <c r="CA71" s="106">
        <v>0</v>
      </c>
      <c r="CB71" s="106">
        <v>13.683679464479106</v>
      </c>
      <c r="CC71" s="106">
        <v>7717.5952179662154</v>
      </c>
      <c r="CD71" s="106">
        <v>6.5027619815708411</v>
      </c>
      <c r="CE71" s="106">
        <v>3667.5577576059545</v>
      </c>
      <c r="CF71" s="106">
        <v>29.597268842589365</v>
      </c>
      <c r="CG71" s="106">
        <v>16692.859627220401</v>
      </c>
      <c r="CH71" s="106">
        <v>23.988542239554903</v>
      </c>
      <c r="CI71" s="106">
        <v>13529.537823108965</v>
      </c>
      <c r="CJ71" s="106">
        <v>26.231210760029718</v>
      </c>
      <c r="CK71" s="106">
        <v>14794.402868656762</v>
      </c>
      <c r="CL71" s="106">
        <v>0</v>
      </c>
      <c r="CM71" s="106">
        <v>0</v>
      </c>
      <c r="CN71" s="106">
        <v>8.3860370406641565</v>
      </c>
      <c r="CO71" s="106">
        <v>4729.7248909345844</v>
      </c>
      <c r="CP71" s="106">
        <v>7.2419183679784265</v>
      </c>
      <c r="CQ71" s="106">
        <v>4084.4419595398326</v>
      </c>
      <c r="CR71" s="106">
        <v>8.7990132530110845</v>
      </c>
      <c r="CS71" s="106">
        <v>4962.6434746982513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24.998340023194672</v>
      </c>
      <c r="M72" s="106">
        <v>1859.8764977256833</v>
      </c>
      <c r="N72" s="106">
        <v>27.868239189410165</v>
      </c>
      <c r="O72" s="106">
        <v>2073.396995692116</v>
      </c>
      <c r="P72" s="106">
        <v>26.946917667645923</v>
      </c>
      <c r="Q72" s="106">
        <v>2004.8506744728566</v>
      </c>
      <c r="R72" s="106">
        <v>46.192598762037299</v>
      </c>
      <c r="S72" s="106">
        <v>3436.7293478955748</v>
      </c>
      <c r="T72" s="106">
        <v>0</v>
      </c>
      <c r="U72" s="106">
        <v>0</v>
      </c>
      <c r="V72" s="106">
        <v>20.369906726123027</v>
      </c>
      <c r="W72" s="106">
        <v>1515.5210604235531</v>
      </c>
      <c r="X72" s="106">
        <v>15.662615174526588</v>
      </c>
      <c r="Y72" s="106">
        <v>1165.2985689847781</v>
      </c>
      <c r="Z72" s="106">
        <v>20.61542507290353</v>
      </c>
      <c r="AA72" s="106">
        <v>1533.7876254240225</v>
      </c>
      <c r="AB72" s="106">
        <v>14.254498458473039</v>
      </c>
      <c r="AC72" s="106">
        <v>1060.534685310394</v>
      </c>
      <c r="AD72" s="106">
        <v>0</v>
      </c>
      <c r="AE72" s="106">
        <v>0</v>
      </c>
      <c r="AF72" s="106">
        <v>29.385129682997114</v>
      </c>
      <c r="AG72" s="106">
        <v>2186.253648414985</v>
      </c>
      <c r="AH72" s="106">
        <v>13.275196998680254</v>
      </c>
      <c r="AI72" s="106">
        <v>987.67465670181082</v>
      </c>
      <c r="AJ72" s="106">
        <v>0</v>
      </c>
      <c r="AK72" s="106">
        <v>0</v>
      </c>
      <c r="AL72" s="106">
        <v>9.2634558853761177</v>
      </c>
      <c r="AM72" s="106">
        <v>689.20111787198312</v>
      </c>
      <c r="AN72" s="106">
        <v>7.5606172502277875</v>
      </c>
      <c r="AO72" s="106">
        <v>562.50992341694734</v>
      </c>
      <c r="AP72" s="106">
        <v>8.6335908666684507</v>
      </c>
      <c r="AQ72" s="106">
        <v>642.3391604801327</v>
      </c>
      <c r="AR72" s="106">
        <v>0</v>
      </c>
      <c r="AS72" s="106">
        <v>0</v>
      </c>
      <c r="AT72" s="106">
        <v>65.814674464807453</v>
      </c>
      <c r="AU72" s="106">
        <v>4896.6117801816736</v>
      </c>
      <c r="AV72" s="106">
        <v>39.023001385462699</v>
      </c>
      <c r="AW72" s="106">
        <v>2903.3113030784243</v>
      </c>
      <c r="AX72" s="106">
        <v>39.873907251874968</v>
      </c>
      <c r="AY72" s="106">
        <v>2966.6186995394974</v>
      </c>
      <c r="AZ72" s="106">
        <v>70.202551826562171</v>
      </c>
      <c r="BA72" s="106">
        <v>5223.0698558962249</v>
      </c>
      <c r="BB72" s="106">
        <v>37.802076908273996</v>
      </c>
      <c r="BC72" s="106">
        <v>2812.474521975585</v>
      </c>
      <c r="BD72" s="106">
        <v>24.035094595184965</v>
      </c>
      <c r="BE72" s="106">
        <v>1788.2110378817613</v>
      </c>
      <c r="BF72" s="106">
        <v>27.17905518091569</v>
      </c>
      <c r="BG72" s="106">
        <v>2022.121705460127</v>
      </c>
      <c r="BH72" s="106">
        <v>12.939546039448107</v>
      </c>
      <c r="BI72" s="106">
        <v>962.70222533493904</v>
      </c>
      <c r="BJ72" s="106">
        <v>0</v>
      </c>
      <c r="BK72" s="106">
        <v>0</v>
      </c>
      <c r="BL72" s="106">
        <v>12.934323130834677</v>
      </c>
      <c r="BM72" s="106">
        <v>962.31364093409991</v>
      </c>
      <c r="BN72" s="106">
        <v>17.660300056295895</v>
      </c>
      <c r="BO72" s="106">
        <v>1313.9263241884144</v>
      </c>
      <c r="BP72" s="106">
        <v>31.208672620951312</v>
      </c>
      <c r="BQ72" s="106">
        <v>2321.9252429987773</v>
      </c>
      <c r="BR72" s="106">
        <v>11.51015569499514</v>
      </c>
      <c r="BS72" s="106">
        <v>856.35558370763829</v>
      </c>
      <c r="BT72" s="106">
        <v>0</v>
      </c>
      <c r="BU72" s="106">
        <v>0</v>
      </c>
      <c r="BV72" s="106">
        <v>37.764077370304562</v>
      </c>
      <c r="BW72" s="106">
        <v>2809.6473563506593</v>
      </c>
      <c r="BX72" s="106">
        <v>6.1023841352935397</v>
      </c>
      <c r="BY72" s="106">
        <v>454.01737966583931</v>
      </c>
      <c r="BZ72" s="106">
        <v>0</v>
      </c>
      <c r="CA72" s="106">
        <v>0</v>
      </c>
      <c r="CB72" s="106">
        <v>14.074641734892793</v>
      </c>
      <c r="CC72" s="106">
        <v>1047.1533450760237</v>
      </c>
      <c r="CD72" s="106">
        <v>7.0275783300673647</v>
      </c>
      <c r="CE72" s="106">
        <v>522.85182775701185</v>
      </c>
      <c r="CF72" s="106">
        <v>35.880883317846042</v>
      </c>
      <c r="CG72" s="106">
        <v>2669.5377188477451</v>
      </c>
      <c r="CH72" s="106">
        <v>26.425331580253367</v>
      </c>
      <c r="CI72" s="106">
        <v>1966.0446695708504</v>
      </c>
      <c r="CJ72" s="106">
        <v>29.812452358471813</v>
      </c>
      <c r="CK72" s="106">
        <v>2218.0464554703026</v>
      </c>
      <c r="CL72" s="106">
        <v>0</v>
      </c>
      <c r="CM72" s="106">
        <v>0</v>
      </c>
      <c r="CN72" s="106">
        <v>9.7837098807748486</v>
      </c>
      <c r="CO72" s="106">
        <v>727.90801512964867</v>
      </c>
      <c r="CP72" s="106">
        <v>8.2674833804099581</v>
      </c>
      <c r="CQ72" s="106">
        <v>615.10076350250085</v>
      </c>
      <c r="CR72" s="106">
        <v>10.398502075981837</v>
      </c>
      <c r="CS72" s="106">
        <v>773.64855445304852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21.974347278453383</v>
      </c>
      <c r="M73" s="106">
        <v>12288.054998111131</v>
      </c>
      <c r="N73" s="106">
        <v>25.768923229207768</v>
      </c>
      <c r="O73" s="106">
        <v>14409.981869772982</v>
      </c>
      <c r="P73" s="106">
        <v>21.683437647899929</v>
      </c>
      <c r="Q73" s="106">
        <v>12125.378332705639</v>
      </c>
      <c r="R73" s="106">
        <v>39.583333319381438</v>
      </c>
      <c r="S73" s="106">
        <v>22134.999992198096</v>
      </c>
      <c r="T73" s="106">
        <v>0</v>
      </c>
      <c r="U73" s="106">
        <v>0</v>
      </c>
      <c r="V73" s="106">
        <v>17.689655841106838</v>
      </c>
      <c r="W73" s="106">
        <v>9892.0555463469427</v>
      </c>
      <c r="X73" s="106">
        <v>14.388568315525024</v>
      </c>
      <c r="Y73" s="106">
        <v>8046.0874020415922</v>
      </c>
      <c r="Z73" s="106">
        <v>19.074771790778541</v>
      </c>
      <c r="AA73" s="106">
        <v>10666.612385403359</v>
      </c>
      <c r="AB73" s="106">
        <v>13.112876700216525</v>
      </c>
      <c r="AC73" s="106">
        <v>7332.7206507610799</v>
      </c>
      <c r="AD73" s="106">
        <v>0</v>
      </c>
      <c r="AE73" s="106">
        <v>0</v>
      </c>
      <c r="AF73" s="106">
        <v>28.160749279538901</v>
      </c>
      <c r="AG73" s="106">
        <v>15747.490997118151</v>
      </c>
      <c r="AH73" s="106">
        <v>12.74532508299157</v>
      </c>
      <c r="AI73" s="106">
        <v>7127.1857864088852</v>
      </c>
      <c r="AJ73" s="106">
        <v>0</v>
      </c>
      <c r="AK73" s="106">
        <v>0</v>
      </c>
      <c r="AL73" s="106">
        <v>7.1791783111664911</v>
      </c>
      <c r="AM73" s="106">
        <v>4014.5965116043012</v>
      </c>
      <c r="AN73" s="106">
        <v>6.6945720103087396</v>
      </c>
      <c r="AO73" s="106">
        <v>3743.6046681646467</v>
      </c>
      <c r="AP73" s="106">
        <v>8.2280507536513525</v>
      </c>
      <c r="AQ73" s="106">
        <v>4601.1259814418354</v>
      </c>
      <c r="AR73" s="106">
        <v>0</v>
      </c>
      <c r="AS73" s="106">
        <v>0</v>
      </c>
      <c r="AT73" s="106">
        <v>57.536099060429152</v>
      </c>
      <c r="AU73" s="106">
        <v>32174.186594591978</v>
      </c>
      <c r="AV73" s="106">
        <v>32.767364250567937</v>
      </c>
      <c r="AW73" s="106">
        <v>18323.510088917588</v>
      </c>
      <c r="AX73" s="106">
        <v>31.320592918372714</v>
      </c>
      <c r="AY73" s="106">
        <v>17514.475559954019</v>
      </c>
      <c r="AZ73" s="106">
        <v>55.942572638594541</v>
      </c>
      <c r="BA73" s="106">
        <v>31283.086619502064</v>
      </c>
      <c r="BB73" s="106">
        <v>29.892327573089865</v>
      </c>
      <c r="BC73" s="106">
        <v>16715.789578871849</v>
      </c>
      <c r="BD73" s="106">
        <v>21.00593835392829</v>
      </c>
      <c r="BE73" s="106">
        <v>11746.520727516698</v>
      </c>
      <c r="BF73" s="106">
        <v>21.867418754415937</v>
      </c>
      <c r="BG73" s="106">
        <v>12228.26056746939</v>
      </c>
      <c r="BH73" s="106">
        <v>10.39868592884782</v>
      </c>
      <c r="BI73" s="106">
        <v>5814.9451714117004</v>
      </c>
      <c r="BJ73" s="106">
        <v>0</v>
      </c>
      <c r="BK73" s="106">
        <v>0</v>
      </c>
      <c r="BL73" s="106">
        <v>11.856462869931788</v>
      </c>
      <c r="BM73" s="106">
        <v>6630.1340368658548</v>
      </c>
      <c r="BN73" s="106">
        <v>16.259826838366244</v>
      </c>
      <c r="BO73" s="106">
        <v>9092.4951680144022</v>
      </c>
      <c r="BP73" s="106">
        <v>29.407265712956029</v>
      </c>
      <c r="BQ73" s="106">
        <v>16444.54298668501</v>
      </c>
      <c r="BR73" s="106">
        <v>10.16638147127788</v>
      </c>
      <c r="BS73" s="106">
        <v>5685.0405187385895</v>
      </c>
      <c r="BT73" s="106">
        <v>0</v>
      </c>
      <c r="BU73" s="106">
        <v>0</v>
      </c>
      <c r="BV73" s="106">
        <v>28.819953782600852</v>
      </c>
      <c r="BW73" s="106">
        <v>16116.118155230395</v>
      </c>
      <c r="BX73" s="106">
        <v>5.5024882159103612</v>
      </c>
      <c r="BY73" s="106">
        <v>3076.9914103370734</v>
      </c>
      <c r="BZ73" s="106">
        <v>0</v>
      </c>
      <c r="CA73" s="106">
        <v>0</v>
      </c>
      <c r="CB73" s="106">
        <v>11.728868112410662</v>
      </c>
      <c r="CC73" s="106">
        <v>6558.7830484600418</v>
      </c>
      <c r="CD73" s="106">
        <v>6.7711068389289686</v>
      </c>
      <c r="CE73" s="106">
        <v>3786.4029443290788</v>
      </c>
      <c r="CF73" s="106">
        <v>26.403819958821991</v>
      </c>
      <c r="CG73" s="106">
        <v>14765.016120973256</v>
      </c>
      <c r="CH73" s="106">
        <v>25.550225711894406</v>
      </c>
      <c r="CI73" s="106">
        <v>14287.68621809135</v>
      </c>
      <c r="CJ73" s="106">
        <v>25.154495980423253</v>
      </c>
      <c r="CK73" s="106">
        <v>14066.394152252682</v>
      </c>
      <c r="CL73" s="106">
        <v>0</v>
      </c>
      <c r="CM73" s="106">
        <v>0</v>
      </c>
      <c r="CN73" s="106">
        <v>8.3860370406641565</v>
      </c>
      <c r="CO73" s="106">
        <v>4689.4719131393958</v>
      </c>
      <c r="CP73" s="106">
        <v>7.234224566405774</v>
      </c>
      <c r="CQ73" s="106">
        <v>4045.3783775341085</v>
      </c>
      <c r="CR73" s="106">
        <v>8.8030159112189175</v>
      </c>
      <c r="CS73" s="106">
        <v>4922.6464975536182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22.377546311085556</v>
      </c>
      <c r="M74" s="106">
        <v>9022.6266726296963</v>
      </c>
      <c r="N74" s="106">
        <v>24.432320119580709</v>
      </c>
      <c r="O74" s="106">
        <v>9851.1114722149414</v>
      </c>
      <c r="P74" s="106">
        <v>23.433669571349714</v>
      </c>
      <c r="Q74" s="106">
        <v>9448.4555711682042</v>
      </c>
      <c r="R74" s="106">
        <v>37.144838210451333</v>
      </c>
      <c r="S74" s="106">
        <v>14976.798766453978</v>
      </c>
      <c r="T74" s="106">
        <v>0</v>
      </c>
      <c r="U74" s="106">
        <v>0</v>
      </c>
      <c r="V74" s="106">
        <v>20.369906726123027</v>
      </c>
      <c r="W74" s="106">
        <v>8213.1463919728048</v>
      </c>
      <c r="X74" s="106">
        <v>15.28660550291611</v>
      </c>
      <c r="Y74" s="106">
        <v>6163.5593387757754</v>
      </c>
      <c r="Z74" s="106">
        <v>18.681850671881332</v>
      </c>
      <c r="AA74" s="106">
        <v>7532.5221909025531</v>
      </c>
      <c r="AB74" s="106">
        <v>15.039880882728097</v>
      </c>
      <c r="AC74" s="106">
        <v>6064.0799719159686</v>
      </c>
      <c r="AD74" s="106">
        <v>0</v>
      </c>
      <c r="AE74" s="106">
        <v>0</v>
      </c>
      <c r="AF74" s="106">
        <v>24.48760806916426</v>
      </c>
      <c r="AG74" s="106">
        <v>9873.4035734870286</v>
      </c>
      <c r="AH74" s="106">
        <v>12.216826486949206</v>
      </c>
      <c r="AI74" s="106">
        <v>4925.8244395379197</v>
      </c>
      <c r="AJ74" s="106">
        <v>0</v>
      </c>
      <c r="AK74" s="106">
        <v>0</v>
      </c>
      <c r="AL74" s="106">
        <v>8.3371102968385049</v>
      </c>
      <c r="AM74" s="106">
        <v>3361.5228716852853</v>
      </c>
      <c r="AN74" s="106">
        <v>6.9960994694390415</v>
      </c>
      <c r="AO74" s="106">
        <v>2820.8273060778215</v>
      </c>
      <c r="AP74" s="106">
        <v>8.5046178341992071</v>
      </c>
      <c r="AQ74" s="106">
        <v>3429.0619107491202</v>
      </c>
      <c r="AR74" s="106">
        <v>0</v>
      </c>
      <c r="AS74" s="106">
        <v>0</v>
      </c>
      <c r="AT74" s="106">
        <v>53.810740128458917</v>
      </c>
      <c r="AU74" s="106">
        <v>21696.490419794634</v>
      </c>
      <c r="AV74" s="106">
        <v>32.625459653858556</v>
      </c>
      <c r="AW74" s="106">
        <v>13154.585332435769</v>
      </c>
      <c r="AX74" s="106">
        <v>35.514275602921039</v>
      </c>
      <c r="AY74" s="106">
        <v>14319.355923097763</v>
      </c>
      <c r="AZ74" s="106">
        <v>50.812764199677048</v>
      </c>
      <c r="BA74" s="106">
        <v>20487.706525309786</v>
      </c>
      <c r="BB74" s="106">
        <v>27.46872539281458</v>
      </c>
      <c r="BC74" s="106">
        <v>11075.390078382838</v>
      </c>
      <c r="BD74" s="106">
        <v>19.665034460873251</v>
      </c>
      <c r="BE74" s="106">
        <v>7928.9418946240949</v>
      </c>
      <c r="BF74" s="106">
        <v>20.357491216121925</v>
      </c>
      <c r="BG74" s="106">
        <v>8208.1404583403601</v>
      </c>
      <c r="BH74" s="106">
        <v>10.426604761322206</v>
      </c>
      <c r="BI74" s="106">
        <v>4204.0070397651134</v>
      </c>
      <c r="BJ74" s="106">
        <v>0</v>
      </c>
      <c r="BK74" s="106">
        <v>0</v>
      </c>
      <c r="BL74" s="106">
        <v>11.317532739480344</v>
      </c>
      <c r="BM74" s="106">
        <v>4563.2292005584741</v>
      </c>
      <c r="BN74" s="106">
        <v>16.816821497445041</v>
      </c>
      <c r="BO74" s="106">
        <v>6780.5424277698403</v>
      </c>
      <c r="BP74" s="106">
        <v>28.717074112370575</v>
      </c>
      <c r="BQ74" s="106">
        <v>11578.724282107816</v>
      </c>
      <c r="BR74" s="106">
        <v>10.69020384613958</v>
      </c>
      <c r="BS74" s="106">
        <v>4310.2901907634787</v>
      </c>
      <c r="BT74" s="106">
        <v>0</v>
      </c>
      <c r="BU74" s="106">
        <v>0</v>
      </c>
      <c r="BV74" s="106">
        <v>34.782702841069991</v>
      </c>
      <c r="BW74" s="106">
        <v>14024.38578551942</v>
      </c>
      <c r="BX74" s="106">
        <v>5.4455083062297609</v>
      </c>
      <c r="BY74" s="106">
        <v>2195.6289490718395</v>
      </c>
      <c r="BZ74" s="106">
        <v>0</v>
      </c>
      <c r="CA74" s="106">
        <v>0</v>
      </c>
      <c r="CB74" s="106">
        <v>14.074641734892793</v>
      </c>
      <c r="CC74" s="106">
        <v>5674.8955475087741</v>
      </c>
      <c r="CD74" s="106">
        <v>6.5490869808128007</v>
      </c>
      <c r="CE74" s="106">
        <v>2640.5918706637212</v>
      </c>
      <c r="CF74" s="106">
        <v>28.095387843359749</v>
      </c>
      <c r="CG74" s="106">
        <v>11328.060378442651</v>
      </c>
      <c r="CH74" s="106">
        <v>27.058836049816975</v>
      </c>
      <c r="CI74" s="106">
        <v>10910.122695286203</v>
      </c>
      <c r="CJ74" s="106">
        <v>24.329337545288841</v>
      </c>
      <c r="CK74" s="106">
        <v>9809.5888982604611</v>
      </c>
      <c r="CL74" s="106">
        <v>0</v>
      </c>
      <c r="CM74" s="106">
        <v>0</v>
      </c>
      <c r="CN74" s="106">
        <v>8.8519279873677199</v>
      </c>
      <c r="CO74" s="106">
        <v>3569.0973645066647</v>
      </c>
      <c r="CP74" s="106">
        <v>8.2472661996939891</v>
      </c>
      <c r="CQ74" s="106">
        <v>3325.2977317166165</v>
      </c>
      <c r="CR74" s="106">
        <v>9.1966485840258105</v>
      </c>
      <c r="CS74" s="106">
        <v>3708.0887090792066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21.772747762137296</v>
      </c>
      <c r="M75" s="106">
        <v>14004.231360606707</v>
      </c>
      <c r="N75" s="106">
        <v>26.220656090751675</v>
      </c>
      <c r="O75" s="106">
        <v>16865.125997571475</v>
      </c>
      <c r="P75" s="106">
        <v>22.957759759938924</v>
      </c>
      <c r="Q75" s="106">
        <v>14766.431077592713</v>
      </c>
      <c r="R75" s="106">
        <v>34.995936504785263</v>
      </c>
      <c r="S75" s="106">
        <v>22509.386359877877</v>
      </c>
      <c r="T75" s="106">
        <v>0</v>
      </c>
      <c r="U75" s="106">
        <v>0</v>
      </c>
      <c r="V75" s="106">
        <v>16.617555487100365</v>
      </c>
      <c r="W75" s="106">
        <v>10688.411689302953</v>
      </c>
      <c r="X75" s="106">
        <v>14.825989339458827</v>
      </c>
      <c r="Y75" s="106">
        <v>9536.0763431399173</v>
      </c>
      <c r="Z75" s="106">
        <v>16.563383987890973</v>
      </c>
      <c r="AA75" s="106">
        <v>10653.568581011472</v>
      </c>
      <c r="AB75" s="106">
        <v>11.832659391890468</v>
      </c>
      <c r="AC75" s="106">
        <v>7610.7665208639482</v>
      </c>
      <c r="AD75" s="106">
        <v>0</v>
      </c>
      <c r="AE75" s="106">
        <v>0</v>
      </c>
      <c r="AF75" s="106">
        <v>27.548559077809795</v>
      </c>
      <c r="AG75" s="106">
        <v>17719.233198847258</v>
      </c>
      <c r="AH75" s="106">
        <v>12.639468898334533</v>
      </c>
      <c r="AI75" s="106">
        <v>8129.7063954087707</v>
      </c>
      <c r="AJ75" s="106">
        <v>0</v>
      </c>
      <c r="AK75" s="106">
        <v>0</v>
      </c>
      <c r="AL75" s="106">
        <v>7.1791783111664911</v>
      </c>
      <c r="AM75" s="106">
        <v>4617.6474897422868</v>
      </c>
      <c r="AN75" s="106">
        <v>6.6913168264296106</v>
      </c>
      <c r="AO75" s="106">
        <v>4303.8549827595252</v>
      </c>
      <c r="AP75" s="106">
        <v>7.8269859731093607</v>
      </c>
      <c r="AQ75" s="106">
        <v>5034.3173779039407</v>
      </c>
      <c r="AR75" s="106">
        <v>0</v>
      </c>
      <c r="AS75" s="106">
        <v>0</v>
      </c>
      <c r="AT75" s="106">
        <v>49.671452426269774</v>
      </c>
      <c r="AU75" s="106">
        <v>31948.678200576716</v>
      </c>
      <c r="AV75" s="106">
        <v>29.022973518022884</v>
      </c>
      <c r="AW75" s="106">
        <v>18667.576566792315</v>
      </c>
      <c r="AX75" s="106">
        <v>29.686893241334488</v>
      </c>
      <c r="AY75" s="106">
        <v>19094.609732826342</v>
      </c>
      <c r="AZ75" s="106">
        <v>47.009465452663513</v>
      </c>
      <c r="BA75" s="106">
        <v>30236.48817915317</v>
      </c>
      <c r="BB75" s="106">
        <v>28.785085163517355</v>
      </c>
      <c r="BC75" s="106">
        <v>18514.566777174361</v>
      </c>
      <c r="BD75" s="106">
        <v>19.901742326119091</v>
      </c>
      <c r="BE75" s="106">
        <v>12800.800664159799</v>
      </c>
      <c r="BF75" s="106">
        <v>18.662372302531136</v>
      </c>
      <c r="BG75" s="106">
        <v>12003.637864988024</v>
      </c>
      <c r="BH75" s="106">
        <v>10.622036588642915</v>
      </c>
      <c r="BI75" s="106">
        <v>6832.093933815122</v>
      </c>
      <c r="BJ75" s="106">
        <v>0</v>
      </c>
      <c r="BK75" s="106">
        <v>0</v>
      </c>
      <c r="BL75" s="106">
        <v>11.856462869931788</v>
      </c>
      <c r="BM75" s="106">
        <v>7626.076917940125</v>
      </c>
      <c r="BN75" s="106">
        <v>14.339135500464524</v>
      </c>
      <c r="BO75" s="106">
        <v>9222.9319538987802</v>
      </c>
      <c r="BP75" s="106">
        <v>27.026770702730495</v>
      </c>
      <c r="BQ75" s="106">
        <v>17383.618915996252</v>
      </c>
      <c r="BR75" s="106">
        <v>11.10359987214985</v>
      </c>
      <c r="BS75" s="106">
        <v>7141.8354377667829</v>
      </c>
      <c r="BT75" s="106">
        <v>0</v>
      </c>
      <c r="BU75" s="106">
        <v>0</v>
      </c>
      <c r="BV75" s="106">
        <v>30.807536802090564</v>
      </c>
      <c r="BW75" s="106">
        <v>19815.407671104647</v>
      </c>
      <c r="BX75" s="106">
        <v>5.425311738289385</v>
      </c>
      <c r="BY75" s="106">
        <v>3489.5605100677321</v>
      </c>
      <c r="BZ75" s="106">
        <v>0</v>
      </c>
      <c r="CA75" s="106">
        <v>0</v>
      </c>
      <c r="CB75" s="106">
        <v>12.11983038282435</v>
      </c>
      <c r="CC75" s="106">
        <v>7795.4749022326214</v>
      </c>
      <c r="CD75" s="106">
        <v>6.9229751315115333</v>
      </c>
      <c r="CE75" s="106">
        <v>4452.8576045882173</v>
      </c>
      <c r="CF75" s="106">
        <v>28.541014794955487</v>
      </c>
      <c r="CG75" s="106">
        <v>18357.580716115368</v>
      </c>
      <c r="CH75" s="106">
        <v>23.517283175746062</v>
      </c>
      <c r="CI75" s="106">
        <v>15126.316538639865</v>
      </c>
      <c r="CJ75" s="106">
        <v>23.009174032338354</v>
      </c>
      <c r="CK75" s="106">
        <v>14799.500737600029</v>
      </c>
      <c r="CL75" s="106">
        <v>0</v>
      </c>
      <c r="CM75" s="106">
        <v>0</v>
      </c>
      <c r="CN75" s="106">
        <v>8.8519279873677199</v>
      </c>
      <c r="CO75" s="106">
        <v>5693.5600814749168</v>
      </c>
      <c r="CP75" s="106">
        <v>7.7432539076034459</v>
      </c>
      <c r="CQ75" s="106">
        <v>4980.4609133705362</v>
      </c>
      <c r="CR75" s="106">
        <v>9.1764208665282521</v>
      </c>
      <c r="CS75" s="106">
        <v>5902.2739013509708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23.385543892665982</v>
      </c>
      <c r="M76" s="106">
        <v>18212.661583608267</v>
      </c>
      <c r="N76" s="106">
        <v>21.952860874272297</v>
      </c>
      <c r="O76" s="106">
        <v>17096.888048883262</v>
      </c>
      <c r="P76" s="106">
        <v>20.767431779124667</v>
      </c>
      <c r="Q76" s="106">
        <v>16173.67586958229</v>
      </c>
      <c r="R76" s="106">
        <v>35.414665143110135</v>
      </c>
      <c r="S76" s="106">
        <v>27580.941213454171</v>
      </c>
      <c r="T76" s="106">
        <v>0</v>
      </c>
      <c r="U76" s="106">
        <v>0</v>
      </c>
      <c r="V76" s="106">
        <v>18.761756195113314</v>
      </c>
      <c r="W76" s="106">
        <v>14611.655724754248</v>
      </c>
      <c r="X76" s="106">
        <v>14.23290084503239</v>
      </c>
      <c r="Y76" s="106">
        <v>11084.583178111225</v>
      </c>
      <c r="Z76" s="106">
        <v>16.78946289027952</v>
      </c>
      <c r="AA76" s="106">
        <v>13075.633698949689</v>
      </c>
      <c r="AB76" s="106">
        <v>12.075898773001002</v>
      </c>
      <c r="AC76" s="106">
        <v>9404.7099644131795</v>
      </c>
      <c r="AD76" s="106">
        <v>0</v>
      </c>
      <c r="AE76" s="106">
        <v>0</v>
      </c>
      <c r="AF76" s="106">
        <v>26.936368876080689</v>
      </c>
      <c r="AG76" s="106">
        <v>20978.044080691638</v>
      </c>
      <c r="AH76" s="106">
        <v>10.748720199379955</v>
      </c>
      <c r="AI76" s="106">
        <v>8371.1032912771079</v>
      </c>
      <c r="AJ76" s="106">
        <v>0</v>
      </c>
      <c r="AK76" s="106">
        <v>0</v>
      </c>
      <c r="AL76" s="106">
        <v>7.1791783111664911</v>
      </c>
      <c r="AM76" s="106">
        <v>5591.1440687364629</v>
      </c>
      <c r="AN76" s="106">
        <v>6.3154452071570262</v>
      </c>
      <c r="AO76" s="106">
        <v>4918.4687273338914</v>
      </c>
      <c r="AP76" s="106">
        <v>7.8765842152975862</v>
      </c>
      <c r="AQ76" s="106">
        <v>6134.2837868737597</v>
      </c>
      <c r="AR76" s="106">
        <v>0</v>
      </c>
      <c r="AS76" s="106">
        <v>0</v>
      </c>
      <c r="AT76" s="106">
        <v>52.155025047583258</v>
      </c>
      <c r="AU76" s="106">
        <v>40618.33350705784</v>
      </c>
      <c r="AV76" s="106">
        <v>30.525627106119092</v>
      </c>
      <c r="AW76" s="106">
        <v>23773.358390245547</v>
      </c>
      <c r="AX76" s="106">
        <v>29.983302050803783</v>
      </c>
      <c r="AY76" s="106">
        <v>23350.995637165983</v>
      </c>
      <c r="AZ76" s="106">
        <v>45.506725432061188</v>
      </c>
      <c r="BA76" s="106">
        <v>35440.63776648925</v>
      </c>
      <c r="BB76" s="106">
        <v>24.2281331408693</v>
      </c>
      <c r="BC76" s="106">
        <v>18868.870090109009</v>
      </c>
      <c r="BD76" s="106">
        <v>17.040912887677678</v>
      </c>
      <c r="BE76" s="106">
        <v>13271.462956923375</v>
      </c>
      <c r="BF76" s="106">
        <v>18.928518642480654</v>
      </c>
      <c r="BG76" s="106">
        <v>14741.530318763933</v>
      </c>
      <c r="BH76" s="106">
        <v>11.59531290150629</v>
      </c>
      <c r="BI76" s="106">
        <v>9030.4296876930985</v>
      </c>
      <c r="BJ76" s="106">
        <v>0</v>
      </c>
      <c r="BK76" s="106">
        <v>0</v>
      </c>
      <c r="BL76" s="106">
        <v>12.395393000383233</v>
      </c>
      <c r="BM76" s="106">
        <v>9653.5320686984614</v>
      </c>
      <c r="BN76" s="106">
        <v>15.973342938594188</v>
      </c>
      <c r="BO76" s="106">
        <v>12440.039480577152</v>
      </c>
      <c r="BP76" s="106">
        <v>26.974142722878458</v>
      </c>
      <c r="BQ76" s="106">
        <v>21007.462352577742</v>
      </c>
      <c r="BR76" s="106">
        <v>10.495899626639726</v>
      </c>
      <c r="BS76" s="106">
        <v>8174.2066292270183</v>
      </c>
      <c r="BT76" s="106">
        <v>0</v>
      </c>
      <c r="BU76" s="106">
        <v>0</v>
      </c>
      <c r="BV76" s="106">
        <v>27.826162272855992</v>
      </c>
      <c r="BW76" s="106">
        <v>21671.015178100246</v>
      </c>
      <c r="BX76" s="106">
        <v>5.8135828696548515</v>
      </c>
      <c r="BY76" s="106">
        <v>4527.6183388871978</v>
      </c>
      <c r="BZ76" s="106">
        <v>0</v>
      </c>
      <c r="CA76" s="106">
        <v>0</v>
      </c>
      <c r="CB76" s="106">
        <v>12.901754923651728</v>
      </c>
      <c r="CC76" s="106">
        <v>10047.886734539965</v>
      </c>
      <c r="CD76" s="106">
        <v>6.7267740396989932</v>
      </c>
      <c r="CE76" s="106">
        <v>5238.811622117576</v>
      </c>
      <c r="CF76" s="106">
        <v>28.248044617369285</v>
      </c>
      <c r="CG76" s="106">
        <v>21999.577148007196</v>
      </c>
      <c r="CH76" s="106">
        <v>24.773531026248175</v>
      </c>
      <c r="CI76" s="106">
        <v>19293.625963242077</v>
      </c>
      <c r="CJ76" s="106">
        <v>22.245947471471307</v>
      </c>
      <c r="CK76" s="106">
        <v>17325.143890781852</v>
      </c>
      <c r="CL76" s="106">
        <v>0</v>
      </c>
      <c r="CM76" s="106">
        <v>0</v>
      </c>
      <c r="CN76" s="106">
        <v>9.7837098807748486</v>
      </c>
      <c r="CO76" s="106">
        <v>7619.5532551474516</v>
      </c>
      <c r="CP76" s="106">
        <v>7.7070196640519564</v>
      </c>
      <c r="CQ76" s="106">
        <v>6002.2269143636631</v>
      </c>
      <c r="CR76" s="106">
        <v>8.7695813718119791</v>
      </c>
      <c r="CS76" s="106">
        <v>6829.749972367169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23.587143408982069</v>
      </c>
      <c r="M77" s="106">
        <v>6566.6607250606075</v>
      </c>
      <c r="N77" s="106">
        <v>25.548128291618905</v>
      </c>
      <c r="O77" s="106">
        <v>7112.5989163867025</v>
      </c>
      <c r="P77" s="106">
        <v>21.441722560884756</v>
      </c>
      <c r="Q77" s="106">
        <v>5969.375560950316</v>
      </c>
      <c r="R77" s="106">
        <v>39.175115468328897</v>
      </c>
      <c r="S77" s="106">
        <v>10906.352146382764</v>
      </c>
      <c r="T77" s="106">
        <v>0</v>
      </c>
      <c r="U77" s="106">
        <v>0</v>
      </c>
      <c r="V77" s="106">
        <v>19.297806372116554</v>
      </c>
      <c r="W77" s="106">
        <v>5372.5092939972483</v>
      </c>
      <c r="X77" s="106">
        <v>13.684781703376673</v>
      </c>
      <c r="Y77" s="106">
        <v>3809.8432262200654</v>
      </c>
      <c r="Z77" s="106">
        <v>19.132036249177951</v>
      </c>
      <c r="AA77" s="106">
        <v>5326.3588917711413</v>
      </c>
      <c r="AB77" s="106">
        <v>15.502448460381412</v>
      </c>
      <c r="AC77" s="106">
        <v>4315.881651370185</v>
      </c>
      <c r="AD77" s="106">
        <v>0</v>
      </c>
      <c r="AE77" s="106">
        <v>0</v>
      </c>
      <c r="AF77" s="106">
        <v>29.385129682997114</v>
      </c>
      <c r="AG77" s="106">
        <v>8180.8201037463959</v>
      </c>
      <c r="AH77" s="106">
        <v>13.415055719913092</v>
      </c>
      <c r="AI77" s="106">
        <v>3734.7515124238043</v>
      </c>
      <c r="AJ77" s="106">
        <v>0</v>
      </c>
      <c r="AK77" s="106">
        <v>0</v>
      </c>
      <c r="AL77" s="106">
        <v>7.8739375025696994</v>
      </c>
      <c r="AM77" s="106">
        <v>2192.1042007154042</v>
      </c>
      <c r="AN77" s="106">
        <v>7.3284405295386081</v>
      </c>
      <c r="AO77" s="106">
        <v>2040.2378434235484</v>
      </c>
      <c r="AP77" s="106">
        <v>8.9597561894045299</v>
      </c>
      <c r="AQ77" s="106">
        <v>2494.396123130221</v>
      </c>
      <c r="AR77" s="106">
        <v>0</v>
      </c>
      <c r="AS77" s="106">
        <v>0</v>
      </c>
      <c r="AT77" s="106">
        <v>60.019671681742636</v>
      </c>
      <c r="AU77" s="106">
        <v>16709.47659619715</v>
      </c>
      <c r="AV77" s="106">
        <v>37.316681084692483</v>
      </c>
      <c r="AW77" s="106">
        <v>10388.964013978386</v>
      </c>
      <c r="AX77" s="106">
        <v>35.788219233325115</v>
      </c>
      <c r="AY77" s="106">
        <v>9963.4402345577109</v>
      </c>
      <c r="AZ77" s="106">
        <v>63.238375944066355</v>
      </c>
      <c r="BA77" s="106">
        <v>17605.563862828072</v>
      </c>
      <c r="BB77" s="106">
        <v>30.554451789383059</v>
      </c>
      <c r="BC77" s="106">
        <v>8506.359378164243</v>
      </c>
      <c r="BD77" s="106">
        <v>24.035094595184965</v>
      </c>
      <c r="BE77" s="106">
        <v>6691.3703352994935</v>
      </c>
      <c r="BF77" s="106">
        <v>23.294626382810456</v>
      </c>
      <c r="BG77" s="106">
        <v>6485.2239849744301</v>
      </c>
      <c r="BH77" s="106">
        <v>12.420983049086328</v>
      </c>
      <c r="BI77" s="106">
        <v>3458.0016808656333</v>
      </c>
      <c r="BJ77" s="106">
        <v>0</v>
      </c>
      <c r="BK77" s="106">
        <v>0</v>
      </c>
      <c r="BL77" s="106">
        <v>14.012183391737567</v>
      </c>
      <c r="BM77" s="106">
        <v>3900.9918562597381</v>
      </c>
      <c r="BN77" s="106">
        <v>15.829134937072942</v>
      </c>
      <c r="BO77" s="106">
        <v>4406.8311664811063</v>
      </c>
      <c r="BP77" s="106">
        <v>28.658598593867413</v>
      </c>
      <c r="BQ77" s="106">
        <v>7978.553848532687</v>
      </c>
      <c r="BR77" s="106">
        <v>11.071921241573106</v>
      </c>
      <c r="BS77" s="106">
        <v>3082.4228736539526</v>
      </c>
      <c r="BT77" s="106">
        <v>0</v>
      </c>
      <c r="BU77" s="106">
        <v>0</v>
      </c>
      <c r="BV77" s="106">
        <v>31.801328311835423</v>
      </c>
      <c r="BW77" s="106">
        <v>8853.4898020149813</v>
      </c>
      <c r="BX77" s="106">
        <v>5.6577347266042279</v>
      </c>
      <c r="BY77" s="106">
        <v>1575.113347886617</v>
      </c>
      <c r="BZ77" s="106">
        <v>0</v>
      </c>
      <c r="CA77" s="106">
        <v>0</v>
      </c>
      <c r="CB77" s="106">
        <v>14.856566275720171</v>
      </c>
      <c r="CC77" s="106">
        <v>4136.0680511604951</v>
      </c>
      <c r="CD77" s="106">
        <v>6.9481298311444988</v>
      </c>
      <c r="CE77" s="106">
        <v>1934.3593449906284</v>
      </c>
      <c r="CF77" s="106">
        <v>28.450074873110296</v>
      </c>
      <c r="CG77" s="106">
        <v>7920.5008446739057</v>
      </c>
      <c r="CH77" s="106">
        <v>24.507776891537652</v>
      </c>
      <c r="CI77" s="106">
        <v>6822.965086604082</v>
      </c>
      <c r="CJ77" s="106">
        <v>25.835296681041431</v>
      </c>
      <c r="CK77" s="106">
        <v>7192.5465960019337</v>
      </c>
      <c r="CL77" s="106">
        <v>0</v>
      </c>
      <c r="CM77" s="106">
        <v>0</v>
      </c>
      <c r="CN77" s="106">
        <v>9.3178189340712851</v>
      </c>
      <c r="CO77" s="106">
        <v>2594.0807912454457</v>
      </c>
      <c r="CP77" s="106">
        <v>7.2554461498848903</v>
      </c>
      <c r="CQ77" s="106">
        <v>2019.9162081279533</v>
      </c>
      <c r="CR77" s="106">
        <v>9.6016686886476119</v>
      </c>
      <c r="CS77" s="106">
        <v>2673.104562919495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22.377546311085556</v>
      </c>
      <c r="M78" s="106">
        <v>12352.405563719227</v>
      </c>
      <c r="N78" s="106">
        <v>24.017649919551523</v>
      </c>
      <c r="O78" s="106">
        <v>13257.742755592441</v>
      </c>
      <c r="P78" s="106">
        <v>23.430379642114048</v>
      </c>
      <c r="Q78" s="106">
        <v>12933.569562446954</v>
      </c>
      <c r="R78" s="106">
        <v>39.978938225707175</v>
      </c>
      <c r="S78" s="106">
        <v>22068.373900590359</v>
      </c>
      <c r="T78" s="106">
        <v>0</v>
      </c>
      <c r="U78" s="106">
        <v>0</v>
      </c>
      <c r="V78" s="106">
        <v>20.369906726123027</v>
      </c>
      <c r="W78" s="106">
        <v>11244.18851281991</v>
      </c>
      <c r="X78" s="106">
        <v>14.790529104427479</v>
      </c>
      <c r="Y78" s="106">
        <v>8164.3720656439682</v>
      </c>
      <c r="Z78" s="106">
        <v>16.462336684670301</v>
      </c>
      <c r="AA78" s="106">
        <v>9087.2098499380063</v>
      </c>
      <c r="AB78" s="106">
        <v>14.469070003599839</v>
      </c>
      <c r="AC78" s="106">
        <v>7986.926641987111</v>
      </c>
      <c r="AD78" s="106">
        <v>0</v>
      </c>
      <c r="AE78" s="106">
        <v>0</v>
      </c>
      <c r="AF78" s="106">
        <v>24.48760806916426</v>
      </c>
      <c r="AG78" s="106">
        <v>13517.159654178671</v>
      </c>
      <c r="AH78" s="106">
        <v>11.36842476409536</v>
      </c>
      <c r="AI78" s="106">
        <v>6275.3704697806388</v>
      </c>
      <c r="AJ78" s="106">
        <v>0</v>
      </c>
      <c r="AK78" s="106">
        <v>0</v>
      </c>
      <c r="AL78" s="106">
        <v>7.1791783111664911</v>
      </c>
      <c r="AM78" s="106">
        <v>3962.9064277639031</v>
      </c>
      <c r="AN78" s="106">
        <v>6.897962741578346</v>
      </c>
      <c r="AO78" s="106">
        <v>3807.6754333512472</v>
      </c>
      <c r="AP78" s="106">
        <v>8.2791117611732314</v>
      </c>
      <c r="AQ78" s="106">
        <v>4570.0696921676235</v>
      </c>
      <c r="AR78" s="106">
        <v>0</v>
      </c>
      <c r="AS78" s="106">
        <v>0</v>
      </c>
      <c r="AT78" s="106">
        <v>53.810740128458917</v>
      </c>
      <c r="AU78" s="106">
        <v>29703.528550909323</v>
      </c>
      <c r="AV78" s="106">
        <v>30.934110560857466</v>
      </c>
      <c r="AW78" s="106">
        <v>17075.629029593321</v>
      </c>
      <c r="AX78" s="106">
        <v>32.710751448581604</v>
      </c>
      <c r="AY78" s="106">
        <v>18056.334799617045</v>
      </c>
      <c r="AZ78" s="106">
        <v>51.807646468605022</v>
      </c>
      <c r="BA78" s="106">
        <v>28597.82085066997</v>
      </c>
      <c r="BB78" s="106">
        <v>30.655066139006387</v>
      </c>
      <c r="BC78" s="106">
        <v>16921.596508731527</v>
      </c>
      <c r="BD78" s="106">
        <v>22.002607650689406</v>
      </c>
      <c r="BE78" s="106">
        <v>12145.439423180553</v>
      </c>
      <c r="BF78" s="106">
        <v>22.575377382367904</v>
      </c>
      <c r="BG78" s="106">
        <v>12461.608315067084</v>
      </c>
      <c r="BH78" s="106">
        <v>11.679069398929451</v>
      </c>
      <c r="BI78" s="106">
        <v>6446.8463082090575</v>
      </c>
      <c r="BJ78" s="106">
        <v>0</v>
      </c>
      <c r="BK78" s="106">
        <v>0</v>
      </c>
      <c r="BL78" s="106">
        <v>11.856462869931788</v>
      </c>
      <c r="BM78" s="106">
        <v>6544.7675042023466</v>
      </c>
      <c r="BN78" s="106">
        <v>15.075182596900856</v>
      </c>
      <c r="BO78" s="106">
        <v>8321.5007934892728</v>
      </c>
      <c r="BP78" s="106">
        <v>29.401418174304911</v>
      </c>
      <c r="BQ78" s="106">
        <v>16229.582832216311</v>
      </c>
      <c r="BR78" s="106">
        <v>10.005465933146015</v>
      </c>
      <c r="BS78" s="106">
        <v>5523.0171950966005</v>
      </c>
      <c r="BT78" s="106">
        <v>0</v>
      </c>
      <c r="BU78" s="106">
        <v>0</v>
      </c>
      <c r="BV78" s="106">
        <v>28.819953782600852</v>
      </c>
      <c r="BW78" s="106">
        <v>15908.61448799567</v>
      </c>
      <c r="BX78" s="106">
        <v>5.8491629466815649</v>
      </c>
      <c r="BY78" s="106">
        <v>3228.7379465682238</v>
      </c>
      <c r="BZ78" s="106">
        <v>0</v>
      </c>
      <c r="CA78" s="106">
        <v>0</v>
      </c>
      <c r="CB78" s="106">
        <v>14.074641734892793</v>
      </c>
      <c r="CC78" s="106">
        <v>7769.202237660822</v>
      </c>
      <c r="CD78" s="106">
        <v>6.2807421234546732</v>
      </c>
      <c r="CE78" s="106">
        <v>3466.9696521469796</v>
      </c>
      <c r="CF78" s="106">
        <v>27.905700958051611</v>
      </c>
      <c r="CG78" s="106">
        <v>15403.946928844489</v>
      </c>
      <c r="CH78" s="106">
        <v>25.60813990202114</v>
      </c>
      <c r="CI78" s="106">
        <v>14135.693225915669</v>
      </c>
      <c r="CJ78" s="106">
        <v>26.812920461820109</v>
      </c>
      <c r="CK78" s="106">
        <v>14800.732094924701</v>
      </c>
      <c r="CL78" s="106">
        <v>0</v>
      </c>
      <c r="CM78" s="106">
        <v>0</v>
      </c>
      <c r="CN78" s="106">
        <v>9.3178189340712851</v>
      </c>
      <c r="CO78" s="106">
        <v>5143.4360516073493</v>
      </c>
      <c r="CP78" s="106">
        <v>8.2861771957110015</v>
      </c>
      <c r="CQ78" s="106">
        <v>4573.9698120324729</v>
      </c>
      <c r="CR78" s="106">
        <v>9.582532605206735</v>
      </c>
      <c r="CS78" s="106">
        <v>5289.5579980741177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20.159951631608607</v>
      </c>
      <c r="M79" s="106">
        <v>15265.115375454036</v>
      </c>
      <c r="N79" s="106">
        <v>23.318560925454825</v>
      </c>
      <c r="O79" s="106">
        <v>17656.814332754391</v>
      </c>
      <c r="P79" s="106">
        <v>21.455822781975655</v>
      </c>
      <c r="Q79" s="106">
        <v>16246.349010511965</v>
      </c>
      <c r="R79" s="106">
        <v>35.454907344857794</v>
      </c>
      <c r="S79" s="106">
        <v>26846.45584152632</v>
      </c>
      <c r="T79" s="106">
        <v>0</v>
      </c>
      <c r="U79" s="106">
        <v>0</v>
      </c>
      <c r="V79" s="106">
        <v>16.617555487100365</v>
      </c>
      <c r="W79" s="106">
        <v>12582.813014832394</v>
      </c>
      <c r="X79" s="106">
        <v>13.052069147627224</v>
      </c>
      <c r="Y79" s="106">
        <v>9883.0267585833335</v>
      </c>
      <c r="Z79" s="106">
        <v>17.707024551880721</v>
      </c>
      <c r="AA79" s="106">
        <v>13407.75899068408</v>
      </c>
      <c r="AB79" s="106">
        <v>12.199825898051815</v>
      </c>
      <c r="AC79" s="106">
        <v>9237.7081700048329</v>
      </c>
      <c r="AD79" s="106">
        <v>0</v>
      </c>
      <c r="AE79" s="106">
        <v>0</v>
      </c>
      <c r="AF79" s="106">
        <v>25.711988472622476</v>
      </c>
      <c r="AG79" s="106">
        <v>19469.117671469736</v>
      </c>
      <c r="AH79" s="106">
        <v>11.962931162312437</v>
      </c>
      <c r="AI79" s="106">
        <v>9058.331476102976</v>
      </c>
      <c r="AJ79" s="106">
        <v>0</v>
      </c>
      <c r="AK79" s="106">
        <v>0</v>
      </c>
      <c r="AL79" s="106">
        <v>7.6423511054352966</v>
      </c>
      <c r="AM79" s="106">
        <v>5786.788257035606</v>
      </c>
      <c r="AN79" s="106">
        <v>6.2573769664103907</v>
      </c>
      <c r="AO79" s="106">
        <v>4738.085838965947</v>
      </c>
      <c r="AP79" s="106">
        <v>8.3347351376443619</v>
      </c>
      <c r="AQ79" s="106">
        <v>6311.0614462243102</v>
      </c>
      <c r="AR79" s="106">
        <v>0</v>
      </c>
      <c r="AS79" s="106">
        <v>0</v>
      </c>
      <c r="AT79" s="106">
        <v>53.396811358240008</v>
      </c>
      <c r="AU79" s="106">
        <v>40432.065560459334</v>
      </c>
      <c r="AV79" s="106">
        <v>28.801517959098025</v>
      </c>
      <c r="AW79" s="106">
        <v>21808.509398629023</v>
      </c>
      <c r="AX79" s="106">
        <v>28.915155594336841</v>
      </c>
      <c r="AY79" s="106">
        <v>21894.555816031854</v>
      </c>
      <c r="AZ79" s="106">
        <v>44.843470586109198</v>
      </c>
      <c r="BA79" s="106">
        <v>33955.475927801883</v>
      </c>
      <c r="BB79" s="106">
        <v>26.272459344586203</v>
      </c>
      <c r="BC79" s="106">
        <v>19893.50621572067</v>
      </c>
      <c r="BD79" s="106">
        <v>17.241693453748656</v>
      </c>
      <c r="BE79" s="106">
        <v>13055.410283178482</v>
      </c>
      <c r="BF79" s="106">
        <v>17.924072447600889</v>
      </c>
      <c r="BG79" s="106">
        <v>13572.107657323391</v>
      </c>
      <c r="BH79" s="106">
        <v>11.623231733980681</v>
      </c>
      <c r="BI79" s="106">
        <v>8801.1110689701709</v>
      </c>
      <c r="BJ79" s="106">
        <v>0</v>
      </c>
      <c r="BK79" s="106">
        <v>0</v>
      </c>
      <c r="BL79" s="106">
        <v>12.395393000383233</v>
      </c>
      <c r="BM79" s="106">
        <v>9385.7915798901831</v>
      </c>
      <c r="BN79" s="106">
        <v>15.63217725597965</v>
      </c>
      <c r="BO79" s="106">
        <v>11836.68461822779</v>
      </c>
      <c r="BP79" s="106">
        <v>25.927250472622919</v>
      </c>
      <c r="BQ79" s="106">
        <v>19632.114057870072</v>
      </c>
      <c r="BR79" s="106">
        <v>10.618296331029869</v>
      </c>
      <c r="BS79" s="106">
        <v>8040.1739818558162</v>
      </c>
      <c r="BT79" s="106">
        <v>0</v>
      </c>
      <c r="BU79" s="106">
        <v>0</v>
      </c>
      <c r="BV79" s="106">
        <v>28.819953782600852</v>
      </c>
      <c r="BW79" s="106">
        <v>21822.469004185365</v>
      </c>
      <c r="BX79" s="106">
        <v>5.6043646110641587</v>
      </c>
      <c r="BY79" s="106">
        <v>4243.6248834977805</v>
      </c>
      <c r="BZ79" s="106">
        <v>0</v>
      </c>
      <c r="CA79" s="106">
        <v>0</v>
      </c>
      <c r="CB79" s="106">
        <v>13.683679464479106</v>
      </c>
      <c r="CC79" s="106">
        <v>10361.282090503577</v>
      </c>
      <c r="CD79" s="106">
        <v>6.1295378975427708</v>
      </c>
      <c r="CE79" s="106">
        <v>4641.2860960193857</v>
      </c>
      <c r="CF79" s="106">
        <v>27.319760602879203</v>
      </c>
      <c r="CG79" s="106">
        <v>20686.522728500131</v>
      </c>
      <c r="CH79" s="106">
        <v>23.84150400673483</v>
      </c>
      <c r="CI79" s="106">
        <v>18052.786833899612</v>
      </c>
      <c r="CJ79" s="106">
        <v>22.283106596031729</v>
      </c>
      <c r="CK79" s="106">
        <v>16872.768314515222</v>
      </c>
      <c r="CL79" s="106">
        <v>0</v>
      </c>
      <c r="CM79" s="106">
        <v>0</v>
      </c>
      <c r="CN79" s="106">
        <v>8.8519279873677199</v>
      </c>
      <c r="CO79" s="106">
        <v>6702.679872034837</v>
      </c>
      <c r="CP79" s="106">
        <v>7.2419183679784265</v>
      </c>
      <c r="CQ79" s="106">
        <v>5483.5805882332643</v>
      </c>
      <c r="CR79" s="106">
        <v>8.7894452112906443</v>
      </c>
      <c r="CS79" s="106">
        <v>6655.3679139892756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19.95835211529252</v>
      </c>
      <c r="M80" s="106">
        <v>16070.465123233536</v>
      </c>
      <c r="N80" s="106">
        <v>25.098931176666539</v>
      </c>
      <c r="O80" s="106">
        <v>20209.659383451897</v>
      </c>
      <c r="P80" s="106">
        <v>18.521643418095021</v>
      </c>
      <c r="Q80" s="106">
        <v>14913.62728025011</v>
      </c>
      <c r="R80" s="106">
        <v>32.59978575505729</v>
      </c>
      <c r="S80" s="106">
        <v>26249.34748997213</v>
      </c>
      <c r="T80" s="106">
        <v>0</v>
      </c>
      <c r="U80" s="106">
        <v>0</v>
      </c>
      <c r="V80" s="106">
        <v>18.761756195113314</v>
      </c>
      <c r="W80" s="106">
        <v>15106.966088305238</v>
      </c>
      <c r="X80" s="106">
        <v>12.275800630556802</v>
      </c>
      <c r="Y80" s="106">
        <v>9884.4746677243365</v>
      </c>
      <c r="Z80" s="106">
        <v>18.218183481006569</v>
      </c>
      <c r="AA80" s="106">
        <v>14669.281338906489</v>
      </c>
      <c r="AB80" s="106">
        <v>11.555095864114275</v>
      </c>
      <c r="AC80" s="106">
        <v>9304.1631897848129</v>
      </c>
      <c r="AD80" s="106">
        <v>0</v>
      </c>
      <c r="AE80" s="106">
        <v>0</v>
      </c>
      <c r="AF80" s="106">
        <v>24.48760806916426</v>
      </c>
      <c r="AG80" s="106">
        <v>19717.422017291061</v>
      </c>
      <c r="AH80" s="106">
        <v>11.909173085427206</v>
      </c>
      <c r="AI80" s="106">
        <v>9589.266168385986</v>
      </c>
      <c r="AJ80" s="106">
        <v>0</v>
      </c>
      <c r="AK80" s="106">
        <v>0</v>
      </c>
      <c r="AL80" s="106">
        <v>6.7160055168976847</v>
      </c>
      <c r="AM80" s="106">
        <v>5407.7276422060149</v>
      </c>
      <c r="AN80" s="106">
        <v>6.5417184678779003</v>
      </c>
      <c r="AO80" s="106">
        <v>5267.3917103352851</v>
      </c>
      <c r="AP80" s="106">
        <v>8.6275657323855448</v>
      </c>
      <c r="AQ80" s="106">
        <v>6946.9159277168401</v>
      </c>
      <c r="AR80" s="106">
        <v>0</v>
      </c>
      <c r="AS80" s="106">
        <v>0</v>
      </c>
      <c r="AT80" s="106">
        <v>51.327167507145425</v>
      </c>
      <c r="AU80" s="106">
        <v>41328.635276753492</v>
      </c>
      <c r="AV80" s="106">
        <v>30.983290518748408</v>
      </c>
      <c r="AW80" s="106">
        <v>24947.745525696217</v>
      </c>
      <c r="AX80" s="106">
        <v>30.115656480094771</v>
      </c>
      <c r="AY80" s="106">
        <v>24249.126597772309</v>
      </c>
      <c r="AZ80" s="106">
        <v>47.330676258429143</v>
      </c>
      <c r="BA80" s="106">
        <v>38110.660523287144</v>
      </c>
      <c r="BB80" s="106">
        <v>27.00412782668419</v>
      </c>
      <c r="BC80" s="106">
        <v>21743.723726046108</v>
      </c>
      <c r="BD80" s="106">
        <v>19.402472447140401</v>
      </c>
      <c r="BE80" s="106">
        <v>15622.870814437449</v>
      </c>
      <c r="BF80" s="106">
        <v>19.540001341785683</v>
      </c>
      <c r="BG80" s="106">
        <v>15733.609080405829</v>
      </c>
      <c r="BH80" s="106">
        <v>10.22316093109009</v>
      </c>
      <c r="BI80" s="106">
        <v>8231.6891817137403</v>
      </c>
      <c r="BJ80" s="106">
        <v>0</v>
      </c>
      <c r="BK80" s="106">
        <v>0</v>
      </c>
      <c r="BL80" s="106">
        <v>11.856462869931788</v>
      </c>
      <c r="BM80" s="106">
        <v>9546.823902869075</v>
      </c>
      <c r="BN80" s="106">
        <v>15.237295842157854</v>
      </c>
      <c r="BO80" s="106">
        <v>12269.070612105503</v>
      </c>
      <c r="BP80" s="106">
        <v>30.328435618228568</v>
      </c>
      <c r="BQ80" s="106">
        <v>24420.456359797641</v>
      </c>
      <c r="BR80" s="106">
        <v>10.037144563722759</v>
      </c>
      <c r="BS80" s="106">
        <v>8081.908802709565</v>
      </c>
      <c r="BT80" s="106">
        <v>0</v>
      </c>
      <c r="BU80" s="106">
        <v>0</v>
      </c>
      <c r="BV80" s="106">
        <v>29.813745292345708</v>
      </c>
      <c r="BW80" s="106">
        <v>24006.027709396763</v>
      </c>
      <c r="BX80" s="106">
        <v>5.809371443157568</v>
      </c>
      <c r="BY80" s="106">
        <v>4677.7058860304733</v>
      </c>
      <c r="BZ80" s="106">
        <v>0</v>
      </c>
      <c r="CA80" s="106">
        <v>0</v>
      </c>
      <c r="CB80" s="106">
        <v>13.292717194065418</v>
      </c>
      <c r="CC80" s="106">
        <v>10703.295884661473</v>
      </c>
      <c r="CD80" s="106">
        <v>6.3237467893433257</v>
      </c>
      <c r="CE80" s="106">
        <v>5091.8809147792454</v>
      </c>
      <c r="CF80" s="106">
        <v>24.571938670707571</v>
      </c>
      <c r="CG80" s="106">
        <v>19785.325017653733</v>
      </c>
      <c r="CH80" s="106">
        <v>24.060821589620922</v>
      </c>
      <c r="CI80" s="106">
        <v>19373.773543962765</v>
      </c>
      <c r="CJ80" s="106">
        <v>23.784786968058874</v>
      </c>
      <c r="CK80" s="106">
        <v>19151.510466681004</v>
      </c>
      <c r="CL80" s="106">
        <v>0</v>
      </c>
      <c r="CM80" s="106">
        <v>0</v>
      </c>
      <c r="CN80" s="106">
        <v>8.3860370406641565</v>
      </c>
      <c r="CO80" s="106">
        <v>6752.4370251427781</v>
      </c>
      <c r="CP80" s="106">
        <v>7.2148628041655005</v>
      </c>
      <c r="CQ80" s="106">
        <v>5809.4075299140604</v>
      </c>
      <c r="CR80" s="106">
        <v>8.3483362079004522</v>
      </c>
      <c r="CS80" s="106">
        <v>6722.0803146014432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22.17594679476947</v>
      </c>
      <c r="M81" s="106">
        <v>16711.793504538273</v>
      </c>
      <c r="N81" s="106">
        <v>21.494852790496829</v>
      </c>
      <c r="O81" s="106">
        <v>16198.521062918411</v>
      </c>
      <c r="P81" s="106">
        <v>20.123032878786695</v>
      </c>
      <c r="Q81" s="106">
        <v>15164.717577453654</v>
      </c>
      <c r="R81" s="106">
        <v>32.147121387348164</v>
      </c>
      <c r="S81" s="106">
        <v>24226.070677505577</v>
      </c>
      <c r="T81" s="106">
        <v>0</v>
      </c>
      <c r="U81" s="106">
        <v>0</v>
      </c>
      <c r="V81" s="106">
        <v>17.689655841106838</v>
      </c>
      <c r="W81" s="106">
        <v>13330.924641858113</v>
      </c>
      <c r="X81" s="106">
        <v>13.106560695890391</v>
      </c>
      <c r="Y81" s="106">
        <v>9877.1041404229982</v>
      </c>
      <c r="Z81" s="106">
        <v>15.675010889503952</v>
      </c>
      <c r="AA81" s="106">
        <v>11812.688206330178</v>
      </c>
      <c r="AB81" s="106">
        <v>12.83479896237834</v>
      </c>
      <c r="AC81" s="106">
        <v>9672.3044980483173</v>
      </c>
      <c r="AD81" s="106">
        <v>0</v>
      </c>
      <c r="AE81" s="106">
        <v>0</v>
      </c>
      <c r="AF81" s="106">
        <v>25.711988472622476</v>
      </c>
      <c r="AG81" s="106">
        <v>19376.554512968298</v>
      </c>
      <c r="AH81" s="106">
        <v>11.728800224719741</v>
      </c>
      <c r="AI81" s="106">
        <v>8838.823849348797</v>
      </c>
      <c r="AJ81" s="106">
        <v>0</v>
      </c>
      <c r="AK81" s="106">
        <v>0</v>
      </c>
      <c r="AL81" s="106">
        <v>6.7160055168976847</v>
      </c>
      <c r="AM81" s="106">
        <v>5061.1817575340956</v>
      </c>
      <c r="AN81" s="106">
        <v>6.4632090855893445</v>
      </c>
      <c r="AO81" s="106">
        <v>4870.6743669001298</v>
      </c>
      <c r="AP81" s="106">
        <v>7.6130715923626946</v>
      </c>
      <c r="AQ81" s="106">
        <v>5737.2107520045265</v>
      </c>
      <c r="AR81" s="106">
        <v>0</v>
      </c>
      <c r="AS81" s="106">
        <v>0</v>
      </c>
      <c r="AT81" s="106">
        <v>49.671452426269774</v>
      </c>
      <c r="AU81" s="106">
        <v>37432.406548436906</v>
      </c>
      <c r="AV81" s="106">
        <v>31.640772347360574</v>
      </c>
      <c r="AW81" s="106">
        <v>23844.486040970929</v>
      </c>
      <c r="AX81" s="106">
        <v>31.708861351522582</v>
      </c>
      <c r="AY81" s="106">
        <v>23895.797914507421</v>
      </c>
      <c r="AZ81" s="106">
        <v>46.646588178056426</v>
      </c>
      <c r="BA81" s="106">
        <v>35152.868850983323</v>
      </c>
      <c r="BB81" s="106">
        <v>26.593781766307263</v>
      </c>
      <c r="BC81" s="106">
        <v>20041.073939089154</v>
      </c>
      <c r="BD81" s="106">
        <v>19.703407774776025</v>
      </c>
      <c r="BE81" s="106">
        <v>14848.488099071214</v>
      </c>
      <c r="BF81" s="106">
        <v>20.170534895578403</v>
      </c>
      <c r="BG81" s="106">
        <v>15200.515097307885</v>
      </c>
      <c r="BH81" s="106">
        <v>10.139404433666932</v>
      </c>
      <c r="BI81" s="106">
        <v>7641.0551812114008</v>
      </c>
      <c r="BJ81" s="106">
        <v>0</v>
      </c>
      <c r="BK81" s="106">
        <v>0</v>
      </c>
      <c r="BL81" s="106">
        <v>11.317532739480344</v>
      </c>
      <c r="BM81" s="106">
        <v>8528.8926724723879</v>
      </c>
      <c r="BN81" s="106">
        <v>15.075182596900856</v>
      </c>
      <c r="BO81" s="106">
        <v>11360.657605024486</v>
      </c>
      <c r="BP81" s="106">
        <v>26.968295184227333</v>
      </c>
      <c r="BQ81" s="106">
        <v>20323.307250833717</v>
      </c>
      <c r="BR81" s="106">
        <v>10.855386361787073</v>
      </c>
      <c r="BS81" s="106">
        <v>8180.6191622427377</v>
      </c>
      <c r="BT81" s="106">
        <v>0</v>
      </c>
      <c r="BU81" s="106">
        <v>0</v>
      </c>
      <c r="BV81" s="106">
        <v>32.795119821580279</v>
      </c>
      <c r="BW81" s="106">
        <v>24714.4022975429</v>
      </c>
      <c r="BX81" s="106">
        <v>5.2166951120554472</v>
      </c>
      <c r="BY81" s="106">
        <v>3931.301436444985</v>
      </c>
      <c r="BZ81" s="106">
        <v>0</v>
      </c>
      <c r="CA81" s="106">
        <v>0</v>
      </c>
      <c r="CB81" s="106">
        <v>11.337905841996973</v>
      </c>
      <c r="CC81" s="106">
        <v>8544.2458425289187</v>
      </c>
      <c r="CD81" s="106">
        <v>7.1734700226139747</v>
      </c>
      <c r="CE81" s="106">
        <v>5405.9270090418913</v>
      </c>
      <c r="CF81" s="106">
        <v>27.167103828869671</v>
      </c>
      <c r="CG81" s="106">
        <v>20473.129445436185</v>
      </c>
      <c r="CH81" s="106">
        <v>24.403294649932683</v>
      </c>
      <c r="CI81" s="106">
        <v>18390.322848189269</v>
      </c>
      <c r="CJ81" s="106">
        <v>21.408402661483422</v>
      </c>
      <c r="CK81" s="106">
        <v>16133.372245693907</v>
      </c>
      <c r="CL81" s="106">
        <v>0</v>
      </c>
      <c r="CM81" s="106">
        <v>0</v>
      </c>
      <c r="CN81" s="106">
        <v>8.8519279873677199</v>
      </c>
      <c r="CO81" s="106">
        <v>6670.8129312803139</v>
      </c>
      <c r="CP81" s="106">
        <v>7.7387943083971091</v>
      </c>
      <c r="CQ81" s="106">
        <v>5831.9553908080616</v>
      </c>
      <c r="CR81" s="106">
        <v>7.9907924338619498</v>
      </c>
      <c r="CS81" s="106">
        <v>6021.8611781583659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24.191941957930329</v>
      </c>
      <c r="M82" s="106">
        <v>12308.860068194948</v>
      </c>
      <c r="N82" s="106">
        <v>26.706915867218761</v>
      </c>
      <c r="O82" s="106">
        <v>13588.478793240904</v>
      </c>
      <c r="P82" s="106">
        <v>22.125507662805802</v>
      </c>
      <c r="Q82" s="106">
        <v>11257.458298835591</v>
      </c>
      <c r="R82" s="106">
        <v>37.571975478594076</v>
      </c>
      <c r="S82" s="106">
        <v>19116.621123508663</v>
      </c>
      <c r="T82" s="106">
        <v>0</v>
      </c>
      <c r="U82" s="106">
        <v>0</v>
      </c>
      <c r="V82" s="106">
        <v>19.297806372116554</v>
      </c>
      <c r="W82" s="106">
        <v>9818.7238821329011</v>
      </c>
      <c r="X82" s="106">
        <v>13.444887710740556</v>
      </c>
      <c r="Y82" s="106">
        <v>6840.758867224793</v>
      </c>
      <c r="Z82" s="106">
        <v>16.588863657675333</v>
      </c>
      <c r="AA82" s="106">
        <v>8440.4138290252067</v>
      </c>
      <c r="AB82" s="106">
        <v>12.898305155089723</v>
      </c>
      <c r="AC82" s="106">
        <v>6562.6576629096498</v>
      </c>
      <c r="AD82" s="106">
        <v>0</v>
      </c>
      <c r="AE82" s="106">
        <v>0</v>
      </c>
      <c r="AF82" s="106">
        <v>25.09979827089337</v>
      </c>
      <c r="AG82" s="106">
        <v>12770.777360230544</v>
      </c>
      <c r="AH82" s="106">
        <v>12.453324956309338</v>
      </c>
      <c r="AI82" s="106">
        <v>6336.2517377701897</v>
      </c>
      <c r="AJ82" s="106">
        <v>0</v>
      </c>
      <c r="AK82" s="106">
        <v>0</v>
      </c>
      <c r="AL82" s="106">
        <v>7.6423511054352966</v>
      </c>
      <c r="AM82" s="106">
        <v>3888.4282424454782</v>
      </c>
      <c r="AN82" s="106">
        <v>6.9615206659336311</v>
      </c>
      <c r="AO82" s="106">
        <v>3542.0217148270308</v>
      </c>
      <c r="AP82" s="106">
        <v>8.6335908666684507</v>
      </c>
      <c r="AQ82" s="106">
        <v>4392.7710329609072</v>
      </c>
      <c r="AR82" s="106">
        <v>0</v>
      </c>
      <c r="AS82" s="106">
        <v>0</v>
      </c>
      <c r="AT82" s="106">
        <v>57.950027830648068</v>
      </c>
      <c r="AU82" s="106">
        <v>29484.974160233731</v>
      </c>
      <c r="AV82" s="106">
        <v>35.742171814062075</v>
      </c>
      <c r="AW82" s="106">
        <v>18185.617018994781</v>
      </c>
      <c r="AX82" s="106">
        <v>31.331928741388531</v>
      </c>
      <c r="AY82" s="106">
        <v>15941.685343618481</v>
      </c>
      <c r="AZ82" s="106">
        <v>48.8229996618211</v>
      </c>
      <c r="BA82" s="106">
        <v>24841.142227934572</v>
      </c>
      <c r="BB82" s="106">
        <v>27.313859537437786</v>
      </c>
      <c r="BC82" s="106">
        <v>13897.291732648342</v>
      </c>
      <c r="BD82" s="106">
        <v>19.226358314837615</v>
      </c>
      <c r="BE82" s="106">
        <v>9782.3711105893763</v>
      </c>
      <c r="BF82" s="106">
        <v>22.752808275667583</v>
      </c>
      <c r="BG82" s="106">
        <v>11576.628850659665</v>
      </c>
      <c r="BH82" s="106">
        <v>12.225551221765619</v>
      </c>
      <c r="BI82" s="106">
        <v>6220.3604616343455</v>
      </c>
      <c r="BJ82" s="106">
        <v>0</v>
      </c>
      <c r="BK82" s="106">
        <v>0</v>
      </c>
      <c r="BL82" s="106">
        <v>12.934323130834677</v>
      </c>
      <c r="BM82" s="106">
        <v>6580.9836089686823</v>
      </c>
      <c r="BN82" s="106">
        <v>15.703798230922665</v>
      </c>
      <c r="BO82" s="106">
        <v>7990.0925398934505</v>
      </c>
      <c r="BP82" s="106">
        <v>27.839760878973397</v>
      </c>
      <c r="BQ82" s="106">
        <v>14164.870335221662</v>
      </c>
      <c r="BR82" s="106">
        <v>10.087633753003193</v>
      </c>
      <c r="BS82" s="106">
        <v>5132.588053528023</v>
      </c>
      <c r="BT82" s="106">
        <v>0</v>
      </c>
      <c r="BU82" s="106">
        <v>0</v>
      </c>
      <c r="BV82" s="106">
        <v>28.819953782600852</v>
      </c>
      <c r="BW82" s="106">
        <v>14663.592484587311</v>
      </c>
      <c r="BX82" s="106">
        <v>5.6357332615935887</v>
      </c>
      <c r="BY82" s="106">
        <v>2867.4610834988175</v>
      </c>
      <c r="BZ82" s="106">
        <v>0</v>
      </c>
      <c r="CA82" s="106">
        <v>0</v>
      </c>
      <c r="CB82" s="106">
        <v>12.901754923651728</v>
      </c>
      <c r="CC82" s="106">
        <v>6564.4129051539976</v>
      </c>
      <c r="CD82" s="106">
        <v>7.1291372233839994</v>
      </c>
      <c r="CE82" s="106">
        <v>3627.305019257778</v>
      </c>
      <c r="CF82" s="106">
        <v>27.216477310601146</v>
      </c>
      <c r="CG82" s="106">
        <v>13847.74365563386</v>
      </c>
      <c r="CH82" s="106">
        <v>24.226112051763987</v>
      </c>
      <c r="CI82" s="106">
        <v>12326.245811937515</v>
      </c>
      <c r="CJ82" s="106">
        <v>23.677588358103058</v>
      </c>
      <c r="CK82" s="106">
        <v>12047.156956602834</v>
      </c>
      <c r="CL82" s="106">
        <v>0</v>
      </c>
      <c r="CM82" s="106">
        <v>0</v>
      </c>
      <c r="CN82" s="106">
        <v>8.3860370406641565</v>
      </c>
      <c r="CO82" s="106">
        <v>4266.8156462899224</v>
      </c>
      <c r="CP82" s="106">
        <v>8.1991765239384122</v>
      </c>
      <c r="CQ82" s="106">
        <v>4171.7410153798637</v>
      </c>
      <c r="CR82" s="106">
        <v>8.812947830958251</v>
      </c>
      <c r="CS82" s="106">
        <v>4484.0278563915572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20.764750180556867</v>
      </c>
      <c r="M83" s="106">
        <v>17865.991055351129</v>
      </c>
      <c r="N83" s="106">
        <v>21.534451198603101</v>
      </c>
      <c r="O83" s="106">
        <v>18528.241811278109</v>
      </c>
      <c r="P83" s="106">
        <v>20.995046645048941</v>
      </c>
      <c r="Q83" s="106">
        <v>18064.138133400109</v>
      </c>
      <c r="R83" s="106">
        <v>34.65769226995571</v>
      </c>
      <c r="S83" s="106">
        <v>29819.478429069892</v>
      </c>
      <c r="T83" s="106">
        <v>0</v>
      </c>
      <c r="U83" s="106">
        <v>0</v>
      </c>
      <c r="V83" s="106">
        <v>16.617555487100365</v>
      </c>
      <c r="W83" s="106">
        <v>14297.744741101153</v>
      </c>
      <c r="X83" s="106">
        <v>12.663414410805554</v>
      </c>
      <c r="Y83" s="106">
        <v>10895.601759057099</v>
      </c>
      <c r="Z83" s="106">
        <v>15.180300688700104</v>
      </c>
      <c r="AA83" s="106">
        <v>13061.130712557569</v>
      </c>
      <c r="AB83" s="106">
        <v>11.555610074176268</v>
      </c>
      <c r="AC83" s="106">
        <v>9942.4469078212605</v>
      </c>
      <c r="AD83" s="106">
        <v>0</v>
      </c>
      <c r="AE83" s="106">
        <v>0</v>
      </c>
      <c r="AF83" s="106">
        <v>24.48760806916426</v>
      </c>
      <c r="AG83" s="106">
        <v>21069.137982708929</v>
      </c>
      <c r="AH83" s="106">
        <v>11.879905612386288</v>
      </c>
      <c r="AI83" s="106">
        <v>10221.470788897162</v>
      </c>
      <c r="AJ83" s="106">
        <v>0</v>
      </c>
      <c r="AK83" s="106">
        <v>0</v>
      </c>
      <c r="AL83" s="106">
        <v>7.8739375025696994</v>
      </c>
      <c r="AM83" s="106">
        <v>6774.7358272109695</v>
      </c>
      <c r="AN83" s="106">
        <v>6.768805524568557</v>
      </c>
      <c r="AO83" s="106">
        <v>5823.8802733387865</v>
      </c>
      <c r="AP83" s="106">
        <v>8.5446327622024238</v>
      </c>
      <c r="AQ83" s="106">
        <v>7351.8020285989651</v>
      </c>
      <c r="AR83" s="106">
        <v>0</v>
      </c>
      <c r="AS83" s="106">
        <v>0</v>
      </c>
      <c r="AT83" s="106">
        <v>46.773951034737372</v>
      </c>
      <c r="AU83" s="106">
        <v>40244.307470288033</v>
      </c>
      <c r="AV83" s="106">
        <v>30.101064659082311</v>
      </c>
      <c r="AW83" s="106">
        <v>25898.956032674421</v>
      </c>
      <c r="AX83" s="106">
        <v>27.76067715676475</v>
      </c>
      <c r="AY83" s="106">
        <v>23885.28662568039</v>
      </c>
      <c r="AZ83" s="106">
        <v>48.636352715912373</v>
      </c>
      <c r="BA83" s="106">
        <v>41846.717876771007</v>
      </c>
      <c r="BB83" s="106">
        <v>24.305566068557699</v>
      </c>
      <c r="BC83" s="106">
        <v>20912.509045387043</v>
      </c>
      <c r="BD83" s="106">
        <v>16.861891235346345</v>
      </c>
      <c r="BE83" s="106">
        <v>14507.971218891995</v>
      </c>
      <c r="BF83" s="106">
        <v>18.022313321494572</v>
      </c>
      <c r="BG83" s="106">
        <v>15506.39838181393</v>
      </c>
      <c r="BH83" s="106">
        <v>10.538280091219756</v>
      </c>
      <c r="BI83" s="106">
        <v>9067.1361904854766</v>
      </c>
      <c r="BJ83" s="106">
        <v>0</v>
      </c>
      <c r="BK83" s="106">
        <v>0</v>
      </c>
      <c r="BL83" s="106">
        <v>11.856462869931788</v>
      </c>
      <c r="BM83" s="106">
        <v>10201.300653289311</v>
      </c>
      <c r="BN83" s="106">
        <v>13.35241499172764</v>
      </c>
      <c r="BO83" s="106">
        <v>11488.417858882462</v>
      </c>
      <c r="BP83" s="106">
        <v>27.728657380618195</v>
      </c>
      <c r="BQ83" s="106">
        <v>23857.736810283895</v>
      </c>
      <c r="BR83" s="106">
        <v>9.91303780854137</v>
      </c>
      <c r="BS83" s="106">
        <v>8529.1777304689949</v>
      </c>
      <c r="BT83" s="106">
        <v>0</v>
      </c>
      <c r="BU83" s="106">
        <v>0</v>
      </c>
      <c r="BV83" s="106">
        <v>31.801328311835423</v>
      </c>
      <c r="BW83" s="106">
        <v>27361.862879503198</v>
      </c>
      <c r="BX83" s="106">
        <v>5.2362900476390681</v>
      </c>
      <c r="BY83" s="106">
        <v>4505.3039569886541</v>
      </c>
      <c r="BZ83" s="106">
        <v>0</v>
      </c>
      <c r="CA83" s="106">
        <v>0</v>
      </c>
      <c r="CB83" s="106">
        <v>11.337905841996973</v>
      </c>
      <c r="CC83" s="106">
        <v>9755.1341864541955</v>
      </c>
      <c r="CD83" s="106">
        <v>6.1275456975307856</v>
      </c>
      <c r="CE83" s="106">
        <v>5272.1403181554879</v>
      </c>
      <c r="CF83" s="106">
        <v>27.551013928301064</v>
      </c>
      <c r="CG83" s="106">
        <v>23704.892383910235</v>
      </c>
      <c r="CH83" s="106">
        <v>21.137033032350537</v>
      </c>
      <c r="CI83" s="106">
        <v>18186.303221034403</v>
      </c>
      <c r="CJ83" s="106">
        <v>24.354110294995788</v>
      </c>
      <c r="CK83" s="106">
        <v>20954.276497814375</v>
      </c>
      <c r="CL83" s="106">
        <v>0</v>
      </c>
      <c r="CM83" s="106">
        <v>0</v>
      </c>
      <c r="CN83" s="106">
        <v>9.3178189340712851</v>
      </c>
      <c r="CO83" s="106">
        <v>8017.0514108749339</v>
      </c>
      <c r="CP83" s="106">
        <v>7.1878072403525746</v>
      </c>
      <c r="CQ83" s="106">
        <v>6184.3893495993552</v>
      </c>
      <c r="CR83" s="106">
        <v>8.7537201905411486</v>
      </c>
      <c r="CS83" s="106">
        <v>7531.700851941604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22.982344860033816</v>
      </c>
      <c r="M84" s="106">
        <v>17953.807804658416</v>
      </c>
      <c r="N84" s="106">
        <v>23.546117853954478</v>
      </c>
      <c r="O84" s="106">
        <v>18394.227267509235</v>
      </c>
      <c r="P84" s="106">
        <v>19.475719516759099</v>
      </c>
      <c r="Q84" s="106">
        <v>15214.432086492207</v>
      </c>
      <c r="R84" s="106">
        <v>32.157632174620502</v>
      </c>
      <c r="S84" s="106">
        <v>25121.542254813536</v>
      </c>
      <c r="T84" s="106">
        <v>0</v>
      </c>
      <c r="U84" s="106">
        <v>0</v>
      </c>
      <c r="V84" s="106">
        <v>16.081505310097128</v>
      </c>
      <c r="W84" s="106">
        <v>12562.871948247875</v>
      </c>
      <c r="X84" s="106">
        <v>13.764703890645357</v>
      </c>
      <c r="Y84" s="106">
        <v>10752.986679372152</v>
      </c>
      <c r="Z84" s="106">
        <v>15.556031300589353</v>
      </c>
      <c r="AA84" s="106">
        <v>12152.371652020402</v>
      </c>
      <c r="AB84" s="106">
        <v>12.32595164577549</v>
      </c>
      <c r="AC84" s="106">
        <v>9629.0334256798124</v>
      </c>
      <c r="AD84" s="106">
        <v>0</v>
      </c>
      <c r="AE84" s="106">
        <v>0</v>
      </c>
      <c r="AF84" s="106">
        <v>26.936368876080689</v>
      </c>
      <c r="AG84" s="106">
        <v>21042.691365994233</v>
      </c>
      <c r="AH84" s="106">
        <v>12.50131195187684</v>
      </c>
      <c r="AI84" s="106">
        <v>9766.024896806186</v>
      </c>
      <c r="AJ84" s="106">
        <v>0</v>
      </c>
      <c r="AK84" s="106">
        <v>0</v>
      </c>
      <c r="AL84" s="106">
        <v>6.7160055168976847</v>
      </c>
      <c r="AM84" s="106">
        <v>5246.5435098004709</v>
      </c>
      <c r="AN84" s="106">
        <v>6.4844640231010482</v>
      </c>
      <c r="AO84" s="106">
        <v>5065.6632948465385</v>
      </c>
      <c r="AP84" s="106">
        <v>8.0115823820497347</v>
      </c>
      <c r="AQ84" s="106">
        <v>6258.6481568572526</v>
      </c>
      <c r="AR84" s="106">
        <v>0</v>
      </c>
      <c r="AS84" s="106">
        <v>0</v>
      </c>
      <c r="AT84" s="106">
        <v>46.360022264518456</v>
      </c>
      <c r="AU84" s="106">
        <v>36216.449393041818</v>
      </c>
      <c r="AV84" s="106">
        <v>29.622314690880238</v>
      </c>
      <c r="AW84" s="106">
        <v>23140.952236515641</v>
      </c>
      <c r="AX84" s="106">
        <v>27.834609297674128</v>
      </c>
      <c r="AY84" s="106">
        <v>21744.396783343025</v>
      </c>
      <c r="AZ84" s="106">
        <v>46.346210606711537</v>
      </c>
      <c r="BA84" s="106">
        <v>36205.659725963051</v>
      </c>
      <c r="BB84" s="106">
        <v>24.305566068557699</v>
      </c>
      <c r="BC84" s="106">
        <v>18987.508212757271</v>
      </c>
      <c r="BD84" s="106">
        <v>19.13991043340755</v>
      </c>
      <c r="BE84" s="106">
        <v>14952.098030577978</v>
      </c>
      <c r="BF84" s="106">
        <v>20.614112128827596</v>
      </c>
      <c r="BG84" s="106">
        <v>16103.744395040118</v>
      </c>
      <c r="BH84" s="106">
        <v>11.084761914055919</v>
      </c>
      <c r="BI84" s="106">
        <v>8659.4160072604827</v>
      </c>
      <c r="BJ84" s="106">
        <v>0</v>
      </c>
      <c r="BK84" s="106">
        <v>0</v>
      </c>
      <c r="BL84" s="106">
        <v>11.317532739480344</v>
      </c>
      <c r="BM84" s="106">
        <v>8841.2565760820435</v>
      </c>
      <c r="BN84" s="106">
        <v>14.662395939343304</v>
      </c>
      <c r="BO84" s="106">
        <v>11454.263707814987</v>
      </c>
      <c r="BP84" s="106">
        <v>30.44831042456045</v>
      </c>
      <c r="BQ84" s="106">
        <v>23786.220103666623</v>
      </c>
      <c r="BR84" s="106">
        <v>9.6374289440424459</v>
      </c>
      <c r="BS84" s="106">
        <v>7528.759491085958</v>
      </c>
      <c r="BT84" s="106">
        <v>0</v>
      </c>
      <c r="BU84" s="106">
        <v>0</v>
      </c>
      <c r="BV84" s="106">
        <v>29.813745292345708</v>
      </c>
      <c r="BW84" s="106">
        <v>23290.497822380465</v>
      </c>
      <c r="BX84" s="106">
        <v>5.830169643454699</v>
      </c>
      <c r="BY84" s="106">
        <v>4554.5285254668106</v>
      </c>
      <c r="BZ84" s="106">
        <v>0</v>
      </c>
      <c r="CA84" s="106">
        <v>0</v>
      </c>
      <c r="CB84" s="106">
        <v>13.292717194065418</v>
      </c>
      <c r="CC84" s="106">
        <v>10384.270672003904</v>
      </c>
      <c r="CD84" s="106">
        <v>6.7267740396989932</v>
      </c>
      <c r="CE84" s="106">
        <v>5254.9558798128528</v>
      </c>
      <c r="CF84" s="106">
        <v>23.668341397083228</v>
      </c>
      <c r="CG84" s="106">
        <v>18489.708299401416</v>
      </c>
      <c r="CH84" s="106">
        <v>22.613019472236449</v>
      </c>
      <c r="CI84" s="106">
        <v>17665.290811711111</v>
      </c>
      <c r="CJ84" s="106">
        <v>23.652815608396111</v>
      </c>
      <c r="CK84" s="106">
        <v>18477.57955327904</v>
      </c>
      <c r="CL84" s="106">
        <v>0</v>
      </c>
      <c r="CM84" s="106">
        <v>0</v>
      </c>
      <c r="CN84" s="106">
        <v>8.3860370406641565</v>
      </c>
      <c r="CO84" s="106">
        <v>6551.1721361668388</v>
      </c>
      <c r="CP84" s="106">
        <v>7.7205474459584194</v>
      </c>
      <c r="CQ84" s="106">
        <v>6031.2916647827169</v>
      </c>
      <c r="CR84" s="106">
        <v>9.1664889467889186</v>
      </c>
      <c r="CS84" s="106">
        <v>7160.8611652315021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26.207937121091192</v>
      </c>
      <c r="M85" s="106">
        <v>3931.1905681636786</v>
      </c>
      <c r="N85" s="106">
        <v>25.592798192908266</v>
      </c>
      <c r="O85" s="106">
        <v>3838.9197289362396</v>
      </c>
      <c r="P85" s="106">
        <v>25.881786817811456</v>
      </c>
      <c r="Q85" s="106">
        <v>3882.2680226717184</v>
      </c>
      <c r="R85" s="106">
        <v>45.450340991064131</v>
      </c>
      <c r="S85" s="106">
        <v>6817.5511486596197</v>
      </c>
      <c r="T85" s="106">
        <v>0</v>
      </c>
      <c r="U85" s="106">
        <v>0</v>
      </c>
      <c r="V85" s="106">
        <v>20.369906726123027</v>
      </c>
      <c r="W85" s="106">
        <v>3055.486008918454</v>
      </c>
      <c r="X85" s="106">
        <v>14.330279832920448</v>
      </c>
      <c r="Y85" s="106">
        <v>2149.5419749380671</v>
      </c>
      <c r="Z85" s="106">
        <v>19.756240537730683</v>
      </c>
      <c r="AA85" s="106">
        <v>2963.4360806596023</v>
      </c>
      <c r="AB85" s="106">
        <v>15.518003523099239</v>
      </c>
      <c r="AC85" s="106">
        <v>2327.7005284648858</v>
      </c>
      <c r="AD85" s="106">
        <v>0</v>
      </c>
      <c r="AE85" s="106">
        <v>0</v>
      </c>
      <c r="AF85" s="106">
        <v>27.548559077809795</v>
      </c>
      <c r="AG85" s="106">
        <v>4132.2838616714689</v>
      </c>
      <c r="AH85" s="106">
        <v>14.169176379672434</v>
      </c>
      <c r="AI85" s="106">
        <v>2125.3764569508653</v>
      </c>
      <c r="AJ85" s="106">
        <v>0</v>
      </c>
      <c r="AK85" s="106">
        <v>0</v>
      </c>
      <c r="AL85" s="106">
        <v>8.8002830911073104</v>
      </c>
      <c r="AM85" s="106">
        <v>1320.0424636660966</v>
      </c>
      <c r="AN85" s="106">
        <v>7.5211556709036822</v>
      </c>
      <c r="AO85" s="106">
        <v>1128.1733506355524</v>
      </c>
      <c r="AP85" s="106">
        <v>8.4540154029638295</v>
      </c>
      <c r="AQ85" s="106">
        <v>1268.1023104445744</v>
      </c>
      <c r="AR85" s="106">
        <v>0</v>
      </c>
      <c r="AS85" s="106">
        <v>0</v>
      </c>
      <c r="AT85" s="106">
        <v>65.400745694588522</v>
      </c>
      <c r="AU85" s="106">
        <v>9810.1118541882788</v>
      </c>
      <c r="AV85" s="106">
        <v>41.331262898283484</v>
      </c>
      <c r="AW85" s="106">
        <v>6199.6894347425223</v>
      </c>
      <c r="AX85" s="106">
        <v>37.272598871707132</v>
      </c>
      <c r="AY85" s="106">
        <v>5590.8898307560694</v>
      </c>
      <c r="AZ85" s="106">
        <v>66.409669696758996</v>
      </c>
      <c r="BA85" s="106">
        <v>9961.4504545138498</v>
      </c>
      <c r="BB85" s="106">
        <v>31.286120271481046</v>
      </c>
      <c r="BC85" s="106">
        <v>4692.9180407221565</v>
      </c>
      <c r="BD85" s="106">
        <v>21.993574241189659</v>
      </c>
      <c r="BE85" s="106">
        <v>3299.0361361784489</v>
      </c>
      <c r="BF85" s="106">
        <v>24.783738121370035</v>
      </c>
      <c r="BG85" s="106">
        <v>3717.5607182055055</v>
      </c>
      <c r="BH85" s="106">
        <v>12.56858921436967</v>
      </c>
      <c r="BI85" s="106">
        <v>1885.2883821554506</v>
      </c>
      <c r="BJ85" s="106">
        <v>0</v>
      </c>
      <c r="BK85" s="106">
        <v>0</v>
      </c>
      <c r="BL85" s="106">
        <v>13.473253261286121</v>
      </c>
      <c r="BM85" s="106">
        <v>2020.9879891929181</v>
      </c>
      <c r="BN85" s="106">
        <v>17.337039617417116</v>
      </c>
      <c r="BO85" s="106">
        <v>2600.5559426125674</v>
      </c>
      <c r="BP85" s="106">
        <v>29.532988057939033</v>
      </c>
      <c r="BQ85" s="106">
        <v>4429.9482086908547</v>
      </c>
      <c r="BR85" s="106">
        <v>11.113860176897315</v>
      </c>
      <c r="BS85" s="106">
        <v>1667.0790265345972</v>
      </c>
      <c r="BT85" s="106">
        <v>0</v>
      </c>
      <c r="BU85" s="106">
        <v>0</v>
      </c>
      <c r="BV85" s="106">
        <v>34.782702841069991</v>
      </c>
      <c r="BW85" s="106">
        <v>5217.4054261604988</v>
      </c>
      <c r="BX85" s="106">
        <v>5.7397242630792418</v>
      </c>
      <c r="BY85" s="106">
        <v>860.95863946188626</v>
      </c>
      <c r="BZ85" s="106">
        <v>0</v>
      </c>
      <c r="CA85" s="106">
        <v>0</v>
      </c>
      <c r="CB85" s="106">
        <v>14.856566275720171</v>
      </c>
      <c r="CC85" s="106">
        <v>2228.4849413580255</v>
      </c>
      <c r="CD85" s="106">
        <v>6.7565772060265905</v>
      </c>
      <c r="CE85" s="106">
        <v>1013.4865809039886</v>
      </c>
      <c r="CF85" s="106">
        <v>30.446956305667118</v>
      </c>
      <c r="CG85" s="106">
        <v>4567.0434458500677</v>
      </c>
      <c r="CH85" s="106">
        <v>28.695712428956991</v>
      </c>
      <c r="CI85" s="106">
        <v>4304.3568643435483</v>
      </c>
      <c r="CJ85" s="106">
        <v>29.808173594746364</v>
      </c>
      <c r="CK85" s="106">
        <v>4471.2260392119542</v>
      </c>
      <c r="CL85" s="106">
        <v>0</v>
      </c>
      <c r="CM85" s="106">
        <v>0</v>
      </c>
      <c r="CN85" s="106">
        <v>10.249600827478414</v>
      </c>
      <c r="CO85" s="106">
        <v>1537.440124121762</v>
      </c>
      <c r="CP85" s="106">
        <v>8.2348533175891099</v>
      </c>
      <c r="CQ85" s="106">
        <v>1235.2279976383666</v>
      </c>
      <c r="CR85" s="106">
        <v>8.8037436672567058</v>
      </c>
      <c r="CS85" s="106">
        <v>1320.5615500885058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23.990342441614242</v>
      </c>
      <c r="M86" s="106">
        <v>12954.784918471691</v>
      </c>
      <c r="N86" s="106">
        <v>26.482739934174504</v>
      </c>
      <c r="O86" s="106">
        <v>14300.679564454233</v>
      </c>
      <c r="P86" s="106">
        <v>23.1994748469541</v>
      </c>
      <c r="Q86" s="106">
        <v>12527.716417355214</v>
      </c>
      <c r="R86" s="106">
        <v>37.866074406879825</v>
      </c>
      <c r="S86" s="106">
        <v>20447.680179715106</v>
      </c>
      <c r="T86" s="106">
        <v>0</v>
      </c>
      <c r="U86" s="106">
        <v>0</v>
      </c>
      <c r="V86" s="106">
        <v>18.761756195113314</v>
      </c>
      <c r="W86" s="106">
        <v>10131.34834536119</v>
      </c>
      <c r="X86" s="106">
        <v>14.341363463272266</v>
      </c>
      <c r="Y86" s="106">
        <v>7744.3362701670239</v>
      </c>
      <c r="Z86" s="106">
        <v>18.362271850362543</v>
      </c>
      <c r="AA86" s="106">
        <v>9915.6267991957739</v>
      </c>
      <c r="AB86" s="106">
        <v>12.91334600774556</v>
      </c>
      <c r="AC86" s="106">
        <v>6973.2068441826023</v>
      </c>
      <c r="AD86" s="106">
        <v>0</v>
      </c>
      <c r="AE86" s="106">
        <v>0</v>
      </c>
      <c r="AF86" s="106">
        <v>28.160749279538901</v>
      </c>
      <c r="AG86" s="106">
        <v>15206.804610951007</v>
      </c>
      <c r="AH86" s="106">
        <v>12.536350506235486</v>
      </c>
      <c r="AI86" s="106">
        <v>6769.6292733671626</v>
      </c>
      <c r="AJ86" s="106">
        <v>0</v>
      </c>
      <c r="AK86" s="106">
        <v>0</v>
      </c>
      <c r="AL86" s="106">
        <v>8.105523899704103</v>
      </c>
      <c r="AM86" s="106">
        <v>4376.9829058402156</v>
      </c>
      <c r="AN86" s="106">
        <v>7.5326450567779961</v>
      </c>
      <c r="AO86" s="106">
        <v>4067.6283306601181</v>
      </c>
      <c r="AP86" s="106">
        <v>8.4156597297331803</v>
      </c>
      <c r="AQ86" s="106">
        <v>4544.4562540559173</v>
      </c>
      <c r="AR86" s="106">
        <v>0</v>
      </c>
      <c r="AS86" s="106">
        <v>0</v>
      </c>
      <c r="AT86" s="106">
        <v>49.257523656050864</v>
      </c>
      <c r="AU86" s="106">
        <v>26599.062774267466</v>
      </c>
      <c r="AV86" s="106">
        <v>33.913228017497261</v>
      </c>
      <c r="AW86" s="106">
        <v>18313.143129448519</v>
      </c>
      <c r="AX86" s="106">
        <v>33.381031033294498</v>
      </c>
      <c r="AY86" s="106">
        <v>18025.75675797903</v>
      </c>
      <c r="AZ86" s="106">
        <v>51.786813234184287</v>
      </c>
      <c r="BA86" s="106">
        <v>27964.879146459516</v>
      </c>
      <c r="BB86" s="106">
        <v>26.671214693995658</v>
      </c>
      <c r="BC86" s="106">
        <v>14402.455934757656</v>
      </c>
      <c r="BD86" s="106">
        <v>20.416586864072801</v>
      </c>
      <c r="BE86" s="106">
        <v>11024.956906599313</v>
      </c>
      <c r="BF86" s="106">
        <v>19.923439410116575</v>
      </c>
      <c r="BG86" s="106">
        <v>10758.657281462951</v>
      </c>
      <c r="BH86" s="106">
        <v>11.59531290150629</v>
      </c>
      <c r="BI86" s="106">
        <v>6261.4689668133969</v>
      </c>
      <c r="BJ86" s="106">
        <v>0</v>
      </c>
      <c r="BK86" s="106">
        <v>0</v>
      </c>
      <c r="BL86" s="106">
        <v>11.317532739480344</v>
      </c>
      <c r="BM86" s="106">
        <v>6111.4676793193858</v>
      </c>
      <c r="BN86" s="106">
        <v>14.357040744200278</v>
      </c>
      <c r="BO86" s="106">
        <v>7752.80200186815</v>
      </c>
      <c r="BP86" s="106">
        <v>27.953788146654155</v>
      </c>
      <c r="BQ86" s="106">
        <v>15095.045599193243</v>
      </c>
      <c r="BR86" s="106">
        <v>10.907585601858752</v>
      </c>
      <c r="BS86" s="106">
        <v>5890.0962250037264</v>
      </c>
      <c r="BT86" s="106">
        <v>0</v>
      </c>
      <c r="BU86" s="106">
        <v>0</v>
      </c>
      <c r="BV86" s="106">
        <v>33.788911331325139</v>
      </c>
      <c r="BW86" s="106">
        <v>18246.012118915576</v>
      </c>
      <c r="BX86" s="106">
        <v>6.3275875353273241</v>
      </c>
      <c r="BY86" s="106">
        <v>3416.897269076755</v>
      </c>
      <c r="BZ86" s="106">
        <v>0</v>
      </c>
      <c r="CA86" s="106">
        <v>0</v>
      </c>
      <c r="CB86" s="106">
        <v>12.901754923651728</v>
      </c>
      <c r="CC86" s="106">
        <v>6966.9476587719328</v>
      </c>
      <c r="CD86" s="106">
        <v>6.3257389893553118</v>
      </c>
      <c r="CE86" s="106">
        <v>3415.8990542518682</v>
      </c>
      <c r="CF86" s="106">
        <v>26.696790136408193</v>
      </c>
      <c r="CG86" s="106">
        <v>14416.266673660424</v>
      </c>
      <c r="CH86" s="106">
        <v>24.763579406746604</v>
      </c>
      <c r="CI86" s="106">
        <v>13372.332879643167</v>
      </c>
      <c r="CJ86" s="106">
        <v>23.760014218351927</v>
      </c>
      <c r="CK86" s="106">
        <v>12830.40767791004</v>
      </c>
      <c r="CL86" s="106">
        <v>0</v>
      </c>
      <c r="CM86" s="106">
        <v>0</v>
      </c>
      <c r="CN86" s="106">
        <v>9.7837098807748486</v>
      </c>
      <c r="CO86" s="106">
        <v>5283.2033356184184</v>
      </c>
      <c r="CP86" s="106">
        <v>7.2419183679784265</v>
      </c>
      <c r="CQ86" s="106">
        <v>3910.6359187083503</v>
      </c>
      <c r="CR86" s="106">
        <v>9.6171659918995491</v>
      </c>
      <c r="CS86" s="106">
        <v>5193.2696356257566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7.8623811363273575</v>
      </c>
      <c r="M87" s="106">
        <v>15369.382645292719</v>
      </c>
      <c r="N87" s="106">
        <v>11.869200213099878</v>
      </c>
      <c r="O87" s="106">
        <v>23201.91257656764</v>
      </c>
      <c r="P87" s="106">
        <v>11.507220479706437</v>
      </c>
      <c r="Q87" s="106">
        <v>22494.314593730141</v>
      </c>
      <c r="R87" s="106">
        <v>16.806059923970452</v>
      </c>
      <c r="S87" s="106">
        <v>32852.485939377439</v>
      </c>
      <c r="T87" s="106">
        <v>0</v>
      </c>
      <c r="U87" s="106">
        <v>0</v>
      </c>
      <c r="V87" s="106">
        <v>20.905956903126267</v>
      </c>
      <c r="W87" s="106">
        <v>40866.964554231228</v>
      </c>
      <c r="X87" s="106">
        <v>14.583565752421331</v>
      </c>
      <c r="Y87" s="106">
        <v>28507.954332833218</v>
      </c>
      <c r="Z87" s="106">
        <v>15.469083878286154</v>
      </c>
      <c r="AA87" s="106">
        <v>30238.965165273774</v>
      </c>
      <c r="AB87" s="106">
        <v>18.011474259030912</v>
      </c>
      <c r="AC87" s="106">
        <v>35208.829881553625</v>
      </c>
      <c r="AD87" s="106">
        <v>0</v>
      </c>
      <c r="AE87" s="106">
        <v>0</v>
      </c>
      <c r="AF87" s="106">
        <v>42.24112391930835</v>
      </c>
      <c r="AG87" s="106">
        <v>82572.949037463957</v>
      </c>
      <c r="AH87" s="106">
        <v>28.336737452462859</v>
      </c>
      <c r="AI87" s="106">
        <v>55392.654372074394</v>
      </c>
      <c r="AJ87" s="106">
        <v>0</v>
      </c>
      <c r="AK87" s="106">
        <v>0</v>
      </c>
      <c r="AL87" s="106">
        <v>3.2422095598816409</v>
      </c>
      <c r="AM87" s="106">
        <v>6337.8712476566316</v>
      </c>
      <c r="AN87" s="106">
        <v>4.3358121255012447</v>
      </c>
      <c r="AO87" s="106">
        <v>8475.645542929833</v>
      </c>
      <c r="AP87" s="106">
        <v>4.6834337716474561</v>
      </c>
      <c r="AQ87" s="106">
        <v>9155.1763368164466</v>
      </c>
      <c r="AR87" s="106">
        <v>0</v>
      </c>
      <c r="AS87" s="106">
        <v>0</v>
      </c>
      <c r="AT87" s="106">
        <v>54.224668898677834</v>
      </c>
      <c r="AU87" s="106">
        <v>105998.38276313542</v>
      </c>
      <c r="AV87" s="106">
        <v>22.760179826221176</v>
      </c>
      <c r="AW87" s="106">
        <v>44491.599524297155</v>
      </c>
      <c r="AX87" s="106">
        <v>19.980129801581676</v>
      </c>
      <c r="AY87" s="106">
        <v>39057.157736131856</v>
      </c>
      <c r="AZ87" s="106">
        <v>23.412687499194142</v>
      </c>
      <c r="BA87" s="106">
        <v>45767.121523424707</v>
      </c>
      <c r="BB87" s="106">
        <v>6.7204028214076095</v>
      </c>
      <c r="BC87" s="106">
        <v>13137.043435287595</v>
      </c>
      <c r="BD87" s="106">
        <v>13.686004229130649</v>
      </c>
      <c r="BE87" s="106">
        <v>26753.401067104591</v>
      </c>
      <c r="BF87" s="106">
        <v>12.962546260998515</v>
      </c>
      <c r="BG87" s="106">
        <v>25339.185430999896</v>
      </c>
      <c r="BH87" s="106">
        <v>10.222424107501373</v>
      </c>
      <c r="BI87" s="106">
        <v>19982.794645343685</v>
      </c>
      <c r="BJ87" s="106">
        <v>0</v>
      </c>
      <c r="BK87" s="106">
        <v>0</v>
      </c>
      <c r="BL87" s="106">
        <v>14.012183391737567</v>
      </c>
      <c r="BM87" s="106">
        <v>27391.016094168597</v>
      </c>
      <c r="BN87" s="106">
        <v>7.2469461400297277</v>
      </c>
      <c r="BO87" s="106">
        <v>14166.330314530111</v>
      </c>
      <c r="BP87" s="106">
        <v>56.336829412592188</v>
      </c>
      <c r="BQ87" s="106">
        <v>110127.23413573521</v>
      </c>
      <c r="BR87" s="106">
        <v>39.289348021864349</v>
      </c>
      <c r="BS87" s="106">
        <v>76802.817513140428</v>
      </c>
      <c r="BT87" s="106">
        <v>0</v>
      </c>
      <c r="BU87" s="106">
        <v>0</v>
      </c>
      <c r="BV87" s="106">
        <v>77.515737760098844</v>
      </c>
      <c r="BW87" s="106">
        <v>151527.76417344122</v>
      </c>
      <c r="BX87" s="106">
        <v>11.904540110942049</v>
      </c>
      <c r="BY87" s="106">
        <v>23270.995008869519</v>
      </c>
      <c r="BZ87" s="106">
        <v>0</v>
      </c>
      <c r="CA87" s="106">
        <v>0</v>
      </c>
      <c r="CB87" s="106">
        <v>16.029453086961237</v>
      </c>
      <c r="CC87" s="106">
        <v>31334.374894391825</v>
      </c>
      <c r="CD87" s="106">
        <v>8.796473643071586</v>
      </c>
      <c r="CE87" s="106">
        <v>17195.346677476336</v>
      </c>
      <c r="CF87" s="106">
        <v>7.3386029068780827</v>
      </c>
      <c r="CG87" s="106">
        <v>14345.500962365275</v>
      </c>
      <c r="CH87" s="106">
        <v>8.8277924233446345</v>
      </c>
      <c r="CI87" s="106">
        <v>17256.568629154091</v>
      </c>
      <c r="CJ87" s="106">
        <v>10.735167267875394</v>
      </c>
      <c r="CK87" s="106">
        <v>20985.104975242819</v>
      </c>
      <c r="CL87" s="106">
        <v>0</v>
      </c>
      <c r="CM87" s="106">
        <v>0</v>
      </c>
      <c r="CN87" s="106">
        <v>56.838695497834834</v>
      </c>
      <c r="CO87" s="106">
        <v>111108.28195916754</v>
      </c>
      <c r="CP87" s="106">
        <v>47.651479137917192</v>
      </c>
      <c r="CQ87" s="106">
        <v>93149.11141880053</v>
      </c>
      <c r="CR87" s="106">
        <v>45.191617765122707</v>
      </c>
      <c r="CS87" s="106">
        <v>88340.574407261869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8.0639806526434423</v>
      </c>
      <c r="M88" s="106">
        <v>15260.276987062449</v>
      </c>
      <c r="N88" s="106">
        <v>10.921698468162964</v>
      </c>
      <c r="O88" s="106">
        <v>20668.222181151592</v>
      </c>
      <c r="P88" s="106">
        <v>10.477189819754669</v>
      </c>
      <c r="Q88" s="106">
        <v>19827.034014903733</v>
      </c>
      <c r="R88" s="106">
        <v>19.820048163307117</v>
      </c>
      <c r="S88" s="106">
        <v>37507.459144242384</v>
      </c>
      <c r="T88" s="106">
        <v>0</v>
      </c>
      <c r="U88" s="106">
        <v>0</v>
      </c>
      <c r="V88" s="106">
        <v>23.586207788142456</v>
      </c>
      <c r="W88" s="106">
        <v>44634.539618280782</v>
      </c>
      <c r="X88" s="106">
        <v>13.702998443402695</v>
      </c>
      <c r="Y88" s="106">
        <v>25931.554254295257</v>
      </c>
      <c r="Z88" s="106">
        <v>17.444957566757694</v>
      </c>
      <c r="AA88" s="106">
        <v>33012.83769933226</v>
      </c>
      <c r="AB88" s="106">
        <v>20.577050976302953</v>
      </c>
      <c r="AC88" s="106">
        <v>38940.011267555703</v>
      </c>
      <c r="AD88" s="106">
        <v>0</v>
      </c>
      <c r="AE88" s="106">
        <v>0</v>
      </c>
      <c r="AF88" s="106">
        <v>42.853314121037457</v>
      </c>
      <c r="AG88" s="106">
        <v>81095.611642651274</v>
      </c>
      <c r="AH88" s="106">
        <v>27.35155210279764</v>
      </c>
      <c r="AI88" s="106">
        <v>51760.07719933425</v>
      </c>
      <c r="AJ88" s="106">
        <v>0</v>
      </c>
      <c r="AK88" s="106">
        <v>0</v>
      </c>
      <c r="AL88" s="106">
        <v>3.0106231627472382</v>
      </c>
      <c r="AM88" s="106">
        <v>5697.3032731828735</v>
      </c>
      <c r="AN88" s="106">
        <v>4.356253267043166</v>
      </c>
      <c r="AO88" s="106">
        <v>8243.7736825524862</v>
      </c>
      <c r="AP88" s="106">
        <v>4.8154193712581517</v>
      </c>
      <c r="AQ88" s="106">
        <v>9112.6996181689265</v>
      </c>
      <c r="AR88" s="106">
        <v>0</v>
      </c>
      <c r="AS88" s="106">
        <v>0</v>
      </c>
      <c r="AT88" s="106">
        <v>56.708241519991319</v>
      </c>
      <c r="AU88" s="106">
        <v>107314.67625243156</v>
      </c>
      <c r="AV88" s="106">
        <v>20.785248376282659</v>
      </c>
      <c r="AW88" s="106">
        <v>39334.004027277304</v>
      </c>
      <c r="AX88" s="106">
        <v>20.23219187825212</v>
      </c>
      <c r="AY88" s="106">
        <v>38287.399910404311</v>
      </c>
      <c r="AZ88" s="106">
        <v>24.967510605848293</v>
      </c>
      <c r="BA88" s="106">
        <v>47248.517070507303</v>
      </c>
      <c r="BB88" s="106">
        <v>6.9874737373752032</v>
      </c>
      <c r="BC88" s="106">
        <v>13223.095300608833</v>
      </c>
      <c r="BD88" s="106">
        <v>15.084178975096117</v>
      </c>
      <c r="BE88" s="106">
        <v>28545.300292471889</v>
      </c>
      <c r="BF88" s="106">
        <v>14.175986232364725</v>
      </c>
      <c r="BG88" s="106">
        <v>26826.636346127005</v>
      </c>
      <c r="BH88" s="106">
        <v>11.048859544544744</v>
      </c>
      <c r="BI88" s="106">
        <v>20908.861802096471</v>
      </c>
      <c r="BJ88" s="106">
        <v>0</v>
      </c>
      <c r="BK88" s="106">
        <v>0</v>
      </c>
      <c r="BL88" s="106">
        <v>13.473253261286121</v>
      </c>
      <c r="BM88" s="106">
        <v>25496.784471657855</v>
      </c>
      <c r="BN88" s="106">
        <v>8.1262351863520905</v>
      </c>
      <c r="BO88" s="106">
        <v>15378.087466652694</v>
      </c>
      <c r="BP88" s="106">
        <v>57.325426732186301</v>
      </c>
      <c r="BQ88" s="106">
        <v>108482.63754798935</v>
      </c>
      <c r="BR88" s="106">
        <v>36.246579816798111</v>
      </c>
      <c r="BS88" s="106">
        <v>68593.027645308743</v>
      </c>
      <c r="BT88" s="106">
        <v>0</v>
      </c>
      <c r="BU88" s="106">
        <v>0</v>
      </c>
      <c r="BV88" s="106">
        <v>74.534363230864273</v>
      </c>
      <c r="BW88" s="106">
        <v>141048.82897808755</v>
      </c>
      <c r="BX88" s="106">
        <v>12.130651325401542</v>
      </c>
      <c r="BY88" s="106">
        <v>22956.044568189878</v>
      </c>
      <c r="BZ88" s="106">
        <v>0</v>
      </c>
      <c r="CA88" s="106">
        <v>0</v>
      </c>
      <c r="CB88" s="106">
        <v>17.202339898202304</v>
      </c>
      <c r="CC88" s="106">
        <v>32553.708023358038</v>
      </c>
      <c r="CD88" s="106">
        <v>9.7886707197306233</v>
      </c>
      <c r="CE88" s="106">
        <v>18524.080470018231</v>
      </c>
      <c r="CF88" s="106">
        <v>8.0479769663791707</v>
      </c>
      <c r="CG88" s="106">
        <v>15229.991611175941</v>
      </c>
      <c r="CH88" s="106">
        <v>8.8277924233446345</v>
      </c>
      <c r="CI88" s="106">
        <v>16705.714381937385</v>
      </c>
      <c r="CJ88" s="106">
        <v>9.3530718806575397</v>
      </c>
      <c r="CK88" s="106">
        <v>17699.753226956327</v>
      </c>
      <c r="CL88" s="106">
        <v>0</v>
      </c>
      <c r="CM88" s="106">
        <v>0</v>
      </c>
      <c r="CN88" s="106">
        <v>54.975131711020573</v>
      </c>
      <c r="CO88" s="106">
        <v>104034.93924993533</v>
      </c>
      <c r="CP88" s="106">
        <v>49.635306709071862</v>
      </c>
      <c r="CQ88" s="106">
        <v>93929.854416247588</v>
      </c>
      <c r="CR88" s="106">
        <v>45.951634497650751</v>
      </c>
      <c r="CS88" s="106">
        <v>86958.873123354279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7.4591821036951851</v>
      </c>
      <c r="M89" s="106">
        <v>17884.135011819573</v>
      </c>
      <c r="N89" s="106">
        <v>9.7724199994890224</v>
      </c>
      <c r="O89" s="106">
        <v>23430.35419077488</v>
      </c>
      <c r="P89" s="106">
        <v>9.7180188637142795</v>
      </c>
      <c r="Q89" s="106">
        <v>23299.922027641354</v>
      </c>
      <c r="R89" s="106">
        <v>18.32871551020996</v>
      </c>
      <c r="S89" s="106">
        <v>43944.928307279399</v>
      </c>
      <c r="T89" s="106">
        <v>0</v>
      </c>
      <c r="U89" s="106">
        <v>0</v>
      </c>
      <c r="V89" s="106">
        <v>19.297806372116554</v>
      </c>
      <c r="W89" s="106">
        <v>46268.420557786645</v>
      </c>
      <c r="X89" s="106">
        <v>11.293242826102896</v>
      </c>
      <c r="Y89" s="106">
        <v>27076.6789998643</v>
      </c>
      <c r="Z89" s="106">
        <v>15.563548965865152</v>
      </c>
      <c r="AA89" s="106">
        <v>37315.165000558285</v>
      </c>
      <c r="AB89" s="106">
        <v>16.707345766137095</v>
      </c>
      <c r="AC89" s="106">
        <v>40057.532208890298</v>
      </c>
      <c r="AD89" s="106">
        <v>0</v>
      </c>
      <c r="AE89" s="106">
        <v>0</v>
      </c>
      <c r="AF89" s="106">
        <v>34.282651296829961</v>
      </c>
      <c r="AG89" s="106">
        <v>82196.084749279515</v>
      </c>
      <c r="AH89" s="106">
        <v>22.449088787267659</v>
      </c>
      <c r="AI89" s="106">
        <v>53823.935276352939</v>
      </c>
      <c r="AJ89" s="106">
        <v>0</v>
      </c>
      <c r="AK89" s="106">
        <v>0</v>
      </c>
      <c r="AL89" s="106">
        <v>3.2422095598816409</v>
      </c>
      <c r="AM89" s="106">
        <v>7773.5216407722219</v>
      </c>
      <c r="AN89" s="106">
        <v>4.112409079470063</v>
      </c>
      <c r="AO89" s="106">
        <v>9859.9120089374228</v>
      </c>
      <c r="AP89" s="106">
        <v>4.0371282604582035</v>
      </c>
      <c r="AQ89" s="106">
        <v>9679.4187172745878</v>
      </c>
      <c r="AR89" s="106">
        <v>0</v>
      </c>
      <c r="AS89" s="106">
        <v>0</v>
      </c>
      <c r="AT89" s="106">
        <v>45.946093494299539</v>
      </c>
      <c r="AU89" s="106">
        <v>110160.35376193257</v>
      </c>
      <c r="AV89" s="106">
        <v>18.399574343985112</v>
      </c>
      <c r="AW89" s="106">
        <v>44114.819447138703</v>
      </c>
      <c r="AX89" s="106">
        <v>18.336028102058172</v>
      </c>
      <c r="AY89" s="106">
        <v>43962.460977494673</v>
      </c>
      <c r="AZ89" s="106">
        <v>21.785800235945285</v>
      </c>
      <c r="BA89" s="106">
        <v>52233.634645702412</v>
      </c>
      <c r="BB89" s="106">
        <v>6.2131444604912165</v>
      </c>
      <c r="BC89" s="106">
        <v>14896.63515847374</v>
      </c>
      <c r="BD89" s="106">
        <v>12.0377866348481</v>
      </c>
      <c r="BE89" s="106">
        <v>28861.797235711805</v>
      </c>
      <c r="BF89" s="106">
        <v>11.524048260113396</v>
      </c>
      <c r="BG89" s="106">
        <v>27630.058108447876</v>
      </c>
      <c r="BH89" s="106">
        <v>11.214435779279126</v>
      </c>
      <c r="BI89" s="106">
        <v>26887.731224399631</v>
      </c>
      <c r="BJ89" s="106">
        <v>0</v>
      </c>
      <c r="BK89" s="106">
        <v>0</v>
      </c>
      <c r="BL89" s="106">
        <v>11.317532739480344</v>
      </c>
      <c r="BM89" s="106">
        <v>27134.91649617807</v>
      </c>
      <c r="BN89" s="106">
        <v>7.9280467399584946</v>
      </c>
      <c r="BO89" s="106">
        <v>19008.284863724486</v>
      </c>
      <c r="BP89" s="106">
        <v>48.552294266222553</v>
      </c>
      <c r="BQ89" s="106">
        <v>116408.98073269518</v>
      </c>
      <c r="BR89" s="106">
        <v>34.509964718041751</v>
      </c>
      <c r="BS89" s="106">
        <v>82741.091407976899</v>
      </c>
      <c r="BT89" s="106">
        <v>0</v>
      </c>
      <c r="BU89" s="106">
        <v>0</v>
      </c>
      <c r="BV89" s="106">
        <v>68.57161417239513</v>
      </c>
      <c r="BW89" s="106">
        <v>164407.30213973456</v>
      </c>
      <c r="BX89" s="106">
        <v>10.794811229772126</v>
      </c>
      <c r="BY89" s="106">
        <v>25881.63940450165</v>
      </c>
      <c r="BZ89" s="106">
        <v>0</v>
      </c>
      <c r="CA89" s="106">
        <v>0</v>
      </c>
      <c r="CB89" s="106">
        <v>14.856566275720171</v>
      </c>
      <c r="CC89" s="106">
        <v>35620.103302666677</v>
      </c>
      <c r="CD89" s="106">
        <v>8.9148443306843284</v>
      </c>
      <c r="CE89" s="106">
        <v>21374.230767248744</v>
      </c>
      <c r="CF89" s="106">
        <v>6.7156324404070737</v>
      </c>
      <c r="CG89" s="106">
        <v>16101.400339119999</v>
      </c>
      <c r="CH89" s="106">
        <v>7.2987263402674074</v>
      </c>
      <c r="CI89" s="106">
        <v>17499.426273425135</v>
      </c>
      <c r="CJ89" s="106">
        <v>8.6022316946439688</v>
      </c>
      <c r="CK89" s="106">
        <v>20624.71071107838</v>
      </c>
      <c r="CL89" s="106">
        <v>0</v>
      </c>
      <c r="CM89" s="106">
        <v>0</v>
      </c>
      <c r="CN89" s="106">
        <v>55.441022657724147</v>
      </c>
      <c r="CO89" s="106">
        <v>132925.39592415941</v>
      </c>
      <c r="CP89" s="106">
        <v>40.255598457713887</v>
      </c>
      <c r="CQ89" s="106">
        <v>96516.822862214816</v>
      </c>
      <c r="CR89" s="106">
        <v>36.236139065762835</v>
      </c>
      <c r="CS89" s="106">
        <v>86879.767024072964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7.2575825873790984</v>
      </c>
      <c r="M90" s="106">
        <v>15946.360460989354</v>
      </c>
      <c r="N90" s="106">
        <v>11.460446755117633</v>
      </c>
      <c r="O90" s="106">
        <v>25180.893610344461</v>
      </c>
      <c r="P90" s="106">
        <v>10.855528156733502</v>
      </c>
      <c r="Q90" s="106">
        <v>23851.766465974848</v>
      </c>
      <c r="R90" s="106">
        <v>18.698793316969301</v>
      </c>
      <c r="S90" s="106">
        <v>41084.988676044944</v>
      </c>
      <c r="T90" s="106">
        <v>0</v>
      </c>
      <c r="U90" s="106">
        <v>0</v>
      </c>
      <c r="V90" s="106">
        <v>18.761756195113314</v>
      </c>
      <c r="W90" s="106">
        <v>41223.330711902971</v>
      </c>
      <c r="X90" s="106">
        <v>13.195697905979111</v>
      </c>
      <c r="Y90" s="106">
        <v>28993.587439017301</v>
      </c>
      <c r="Z90" s="106">
        <v>14.654517759152537</v>
      </c>
      <c r="AA90" s="106">
        <v>32198.906420409952</v>
      </c>
      <c r="AB90" s="106">
        <v>17.706271315394968</v>
      </c>
      <c r="AC90" s="106">
        <v>38904.219334185822</v>
      </c>
      <c r="AD90" s="106">
        <v>0</v>
      </c>
      <c r="AE90" s="106">
        <v>0</v>
      </c>
      <c r="AF90" s="106">
        <v>37.955792507204606</v>
      </c>
      <c r="AG90" s="106">
        <v>83396.467296829956</v>
      </c>
      <c r="AH90" s="106">
        <v>24.658695748516219</v>
      </c>
      <c r="AI90" s="106">
        <v>54180.086298639835</v>
      </c>
      <c r="AJ90" s="106">
        <v>0</v>
      </c>
      <c r="AK90" s="106">
        <v>0</v>
      </c>
      <c r="AL90" s="106">
        <v>3.0106231627472382</v>
      </c>
      <c r="AM90" s="106">
        <v>6614.9412131882309</v>
      </c>
      <c r="AN90" s="106">
        <v>3.9490868353145179</v>
      </c>
      <c r="AO90" s="106">
        <v>8676.9335945530584</v>
      </c>
      <c r="AP90" s="106">
        <v>4.5468858030875063</v>
      </c>
      <c r="AQ90" s="106">
        <v>9990.4174865438672</v>
      </c>
      <c r="AR90" s="106">
        <v>0</v>
      </c>
      <c r="AS90" s="106">
        <v>0</v>
      </c>
      <c r="AT90" s="106">
        <v>52.982882588021084</v>
      </c>
      <c r="AU90" s="106">
        <v>116413.98962239992</v>
      </c>
      <c r="AV90" s="106">
        <v>21.536911463306897</v>
      </c>
      <c r="AW90" s="106">
        <v>47320.901867177912</v>
      </c>
      <c r="AX90" s="106">
        <v>18.618155978687518</v>
      </c>
      <c r="AY90" s="106">
        <v>40907.812316372212</v>
      </c>
      <c r="AZ90" s="106">
        <v>21.806633470366005</v>
      </c>
      <c r="BA90" s="106">
        <v>47913.53506108818</v>
      </c>
      <c r="BB90" s="106">
        <v>7.3398662429147983</v>
      </c>
      <c r="BC90" s="106">
        <v>16127.154108932393</v>
      </c>
      <c r="BD90" s="106">
        <v>13.059273021263937</v>
      </c>
      <c r="BE90" s="106">
        <v>28693.834682321121</v>
      </c>
      <c r="BF90" s="106">
        <v>11.425807386219713</v>
      </c>
      <c r="BG90" s="106">
        <v>25104.78398900195</v>
      </c>
      <c r="BH90" s="106">
        <v>9.9336932009194285</v>
      </c>
      <c r="BI90" s="106">
        <v>21826.310701060167</v>
      </c>
      <c r="BJ90" s="106">
        <v>0</v>
      </c>
      <c r="BK90" s="106">
        <v>0</v>
      </c>
      <c r="BL90" s="106">
        <v>11.317532739480344</v>
      </c>
      <c r="BM90" s="106">
        <v>24866.882935186208</v>
      </c>
      <c r="BN90" s="106">
        <v>7.694927902408633</v>
      </c>
      <c r="BO90" s="106">
        <v>16907.295587172248</v>
      </c>
      <c r="BP90" s="106">
        <v>50.698887070443497</v>
      </c>
      <c r="BQ90" s="106">
        <v>111395.59467117845</v>
      </c>
      <c r="BR90" s="106">
        <v>36.753301683747367</v>
      </c>
      <c r="BS90" s="106">
        <v>80754.354459529713</v>
      </c>
      <c r="BT90" s="106">
        <v>0</v>
      </c>
      <c r="BU90" s="106">
        <v>0</v>
      </c>
      <c r="BV90" s="106">
        <v>71.552988701629701</v>
      </c>
      <c r="BW90" s="106">
        <v>157216.22677522077</v>
      </c>
      <c r="BX90" s="106">
        <v>9.7753335101548657</v>
      </c>
      <c r="BY90" s="106">
        <v>21478.36278851227</v>
      </c>
      <c r="BZ90" s="106">
        <v>0</v>
      </c>
      <c r="CA90" s="106">
        <v>0</v>
      </c>
      <c r="CB90" s="106">
        <v>15.247528546133861</v>
      </c>
      <c r="CC90" s="106">
        <v>33501.869721565316</v>
      </c>
      <c r="CD90" s="106">
        <v>9.1414160017012129</v>
      </c>
      <c r="CE90" s="106">
        <v>20085.519238937904</v>
      </c>
      <c r="CF90" s="106">
        <v>7.5529765330519609</v>
      </c>
      <c r="CG90" s="106">
        <v>16595.400038421769</v>
      </c>
      <c r="CH90" s="106">
        <v>7.8837352593774757</v>
      </c>
      <c r="CI90" s="106">
        <v>17322.143111904188</v>
      </c>
      <c r="CJ90" s="106">
        <v>9.7780374730782214</v>
      </c>
      <c r="CK90" s="106">
        <v>21484.303935847467</v>
      </c>
      <c r="CL90" s="106">
        <v>0</v>
      </c>
      <c r="CM90" s="106">
        <v>0</v>
      </c>
      <c r="CN90" s="106">
        <v>58.236368337945528</v>
      </c>
      <c r="CO90" s="106">
        <v>127956.94851213391</v>
      </c>
      <c r="CP90" s="106">
        <v>42.247936761667887</v>
      </c>
      <c r="CQ90" s="106">
        <v>92827.166652736676</v>
      </c>
      <c r="CR90" s="106">
        <v>36.255639027222607</v>
      </c>
      <c r="CS90" s="106">
        <v>79660.890070613503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7.0559830710630127</v>
      </c>
      <c r="M91" s="106">
        <v>16206.181917617525</v>
      </c>
      <c r="N91" s="106">
        <v>10.484546206728066</v>
      </c>
      <c r="O91" s="106">
        <v>24080.905727613019</v>
      </c>
      <c r="P91" s="106">
        <v>9.365007548722291</v>
      </c>
      <c r="Q91" s="106">
        <v>21509.549337905355</v>
      </c>
      <c r="R91" s="106">
        <v>18.128015140259112</v>
      </c>
      <c r="S91" s="106">
        <v>41636.425174147123</v>
      </c>
      <c r="T91" s="106">
        <v>0</v>
      </c>
      <c r="U91" s="106">
        <v>0</v>
      </c>
      <c r="V91" s="106">
        <v>19.83385654911979</v>
      </c>
      <c r="W91" s="106">
        <v>45554.40172201833</v>
      </c>
      <c r="X91" s="106">
        <v>12.168605352256955</v>
      </c>
      <c r="Y91" s="106">
        <v>27948.852773063772</v>
      </c>
      <c r="Z91" s="106">
        <v>16.422733501038</v>
      </c>
      <c r="AA91" s="106">
        <v>37719.734305184073</v>
      </c>
      <c r="AB91" s="106">
        <v>18.190179027306076</v>
      </c>
      <c r="AC91" s="106">
        <v>41779.203189916589</v>
      </c>
      <c r="AD91" s="106">
        <v>0</v>
      </c>
      <c r="AE91" s="106">
        <v>0</v>
      </c>
      <c r="AF91" s="106">
        <v>34.282651296829961</v>
      </c>
      <c r="AG91" s="106">
        <v>78740.393498559046</v>
      </c>
      <c r="AH91" s="106">
        <v>25.526482750888945</v>
      </c>
      <c r="AI91" s="106">
        <v>58629.225582241721</v>
      </c>
      <c r="AJ91" s="106">
        <v>0</v>
      </c>
      <c r="AK91" s="106">
        <v>0</v>
      </c>
      <c r="AL91" s="106">
        <v>3.2422095598816409</v>
      </c>
      <c r="AM91" s="106">
        <v>7446.7069171361518</v>
      </c>
      <c r="AN91" s="106">
        <v>3.781059896349888</v>
      </c>
      <c r="AO91" s="106">
        <v>8684.3383699364222</v>
      </c>
      <c r="AP91" s="106">
        <v>4.4922666156635263</v>
      </c>
      <c r="AQ91" s="106">
        <v>10317.837962855985</v>
      </c>
      <c r="AR91" s="106">
        <v>0</v>
      </c>
      <c r="AS91" s="106">
        <v>0</v>
      </c>
      <c r="AT91" s="106">
        <v>50.913238736926516</v>
      </c>
      <c r="AU91" s="106">
        <v>116937.52673097281</v>
      </c>
      <c r="AV91" s="106">
        <v>18.295185443912274</v>
      </c>
      <c r="AW91" s="106">
        <v>42020.381927577706</v>
      </c>
      <c r="AX91" s="106">
        <v>18.881567369956883</v>
      </c>
      <c r="AY91" s="106">
        <v>43367.183935316963</v>
      </c>
      <c r="AZ91" s="106">
        <v>22.096594424500545</v>
      </c>
      <c r="BA91" s="106">
        <v>50751.458074192844</v>
      </c>
      <c r="BB91" s="106">
        <v>5.9460735445236219</v>
      </c>
      <c r="BC91" s="106">
        <v>13656.941717061853</v>
      </c>
      <c r="BD91" s="106">
        <v>11.811773619118322</v>
      </c>
      <c r="BE91" s="106">
        <v>27129.281648390959</v>
      </c>
      <c r="BF91" s="106">
        <v>11.9485746388749</v>
      </c>
      <c r="BG91" s="106">
        <v>27443.486230567869</v>
      </c>
      <c r="BH91" s="106">
        <v>10.90620422431947</v>
      </c>
      <c r="BI91" s="106">
        <v>25049.369862416956</v>
      </c>
      <c r="BJ91" s="106">
        <v>0</v>
      </c>
      <c r="BK91" s="106">
        <v>0</v>
      </c>
      <c r="BL91" s="106">
        <v>10.778602609028898</v>
      </c>
      <c r="BM91" s="106">
        <v>24756.294472417569</v>
      </c>
      <c r="BN91" s="106">
        <v>7.6764072760227275</v>
      </c>
      <c r="BO91" s="106">
        <v>17631.172231568999</v>
      </c>
      <c r="BP91" s="106">
        <v>45.274200753130465</v>
      </c>
      <c r="BQ91" s="106">
        <v>103985.78428979004</v>
      </c>
      <c r="BR91" s="106">
        <v>30.920296601894492</v>
      </c>
      <c r="BS91" s="106">
        <v>71017.737235231267</v>
      </c>
      <c r="BT91" s="106">
        <v>0</v>
      </c>
      <c r="BU91" s="106">
        <v>0</v>
      </c>
      <c r="BV91" s="106">
        <v>71.552988701629701</v>
      </c>
      <c r="BW91" s="106">
        <v>164342.90444990309</v>
      </c>
      <c r="BX91" s="106">
        <v>11.260918452776137</v>
      </c>
      <c r="BY91" s="106">
        <v>25864.077502336229</v>
      </c>
      <c r="BZ91" s="106">
        <v>0</v>
      </c>
      <c r="CA91" s="106">
        <v>0</v>
      </c>
      <c r="CB91" s="106">
        <v>16.420415357374928</v>
      </c>
      <c r="CC91" s="106">
        <v>37714.409992818728</v>
      </c>
      <c r="CD91" s="106">
        <v>7.7447660255402724</v>
      </c>
      <c r="CE91" s="106">
        <v>17788.178607460897</v>
      </c>
      <c r="CF91" s="106">
        <v>6.550632295964669</v>
      </c>
      <c r="CG91" s="106">
        <v>15045.49225737165</v>
      </c>
      <c r="CH91" s="106">
        <v>8.6134408870477657</v>
      </c>
      <c r="CI91" s="106">
        <v>19783.351029371304</v>
      </c>
      <c r="CJ91" s="106">
        <v>9.5717478642946148</v>
      </c>
      <c r="CK91" s="106">
        <v>21984.390494711868</v>
      </c>
      <c r="CL91" s="106">
        <v>0</v>
      </c>
      <c r="CM91" s="106">
        <v>0</v>
      </c>
      <c r="CN91" s="106">
        <v>55.906913604427707</v>
      </c>
      <c r="CO91" s="106">
        <v>128406.99916664955</v>
      </c>
      <c r="CP91" s="106">
        <v>38.31402658198099</v>
      </c>
      <c r="CQ91" s="106">
        <v>87999.656253493929</v>
      </c>
      <c r="CR91" s="106">
        <v>37.085543075944869</v>
      </c>
      <c r="CS91" s="106">
        <v>85178.075336830167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7.6607816200112708</v>
      </c>
      <c r="M92" s="106">
        <v>10884.438525712014</v>
      </c>
      <c r="N92" s="106">
        <v>11.35506604639218</v>
      </c>
      <c r="O92" s="106">
        <v>16133.277838714008</v>
      </c>
      <c r="P92" s="106">
        <v>12.063404564467591</v>
      </c>
      <c r="Q92" s="106">
        <v>17139.685205195554</v>
      </c>
      <c r="R92" s="106">
        <v>19.376303064203299</v>
      </c>
      <c r="S92" s="106">
        <v>27529.851393620047</v>
      </c>
      <c r="T92" s="106">
        <v>0</v>
      </c>
      <c r="U92" s="106">
        <v>0</v>
      </c>
      <c r="V92" s="106">
        <v>23.050157611139216</v>
      </c>
      <c r="W92" s="106">
        <v>32749.663933906599</v>
      </c>
      <c r="X92" s="106">
        <v>14.436886921381614</v>
      </c>
      <c r="Y92" s="106">
        <v>20511.928937898996</v>
      </c>
      <c r="Z92" s="106">
        <v>17.053113311190636</v>
      </c>
      <c r="AA92" s="106">
        <v>24229.063392539654</v>
      </c>
      <c r="AB92" s="106">
        <v>19.806195194641738</v>
      </c>
      <c r="AC92" s="106">
        <v>28140.642132546982</v>
      </c>
      <c r="AD92" s="106">
        <v>0</v>
      </c>
      <c r="AE92" s="106">
        <v>0</v>
      </c>
      <c r="AF92" s="106">
        <v>47.750835734870307</v>
      </c>
      <c r="AG92" s="106">
        <v>67844.387412103737</v>
      </c>
      <c r="AH92" s="106">
        <v>30.749177648359225</v>
      </c>
      <c r="AI92" s="106">
        <v>43688.431602788783</v>
      </c>
      <c r="AJ92" s="106">
        <v>0</v>
      </c>
      <c r="AK92" s="106">
        <v>0</v>
      </c>
      <c r="AL92" s="106">
        <v>3.7053823541504474</v>
      </c>
      <c r="AM92" s="106">
        <v>5264.6072487769552</v>
      </c>
      <c r="AN92" s="106">
        <v>4.770898365973232</v>
      </c>
      <c r="AO92" s="106">
        <v>6778.4923983747676</v>
      </c>
      <c r="AP92" s="106">
        <v>5.0338961209540729</v>
      </c>
      <c r="AQ92" s="106">
        <v>7152.1596086515465</v>
      </c>
      <c r="AR92" s="106">
        <v>0</v>
      </c>
      <c r="AS92" s="106">
        <v>0</v>
      </c>
      <c r="AT92" s="106">
        <v>69.540033396777687</v>
      </c>
      <c r="AU92" s="106">
        <v>98802.479450141735</v>
      </c>
      <c r="AV92" s="106">
        <v>23.934712667014377</v>
      </c>
      <c r="AW92" s="106">
        <v>34006.439757294029</v>
      </c>
      <c r="AX92" s="106">
        <v>24.031769876334753</v>
      </c>
      <c r="AY92" s="106">
        <v>34144.338640296417</v>
      </c>
      <c r="AZ92" s="106">
        <v>28.967872915980912</v>
      </c>
      <c r="BA92" s="106">
        <v>41157.553839025677</v>
      </c>
      <c r="BB92" s="106">
        <v>8.5709044240455761</v>
      </c>
      <c r="BC92" s="106">
        <v>12177.541005683954</v>
      </c>
      <c r="BD92" s="106">
        <v>16.36781201524073</v>
      </c>
      <c r="BE92" s="106">
        <v>23255.387311254028</v>
      </c>
      <c r="BF92" s="106">
        <v>14.61956346561392</v>
      </c>
      <c r="BG92" s="106">
        <v>20771.475771944257</v>
      </c>
      <c r="BH92" s="106">
        <v>12.341846754317789</v>
      </c>
      <c r="BI92" s="106">
        <v>17535.295868534715</v>
      </c>
      <c r="BJ92" s="106">
        <v>0</v>
      </c>
      <c r="BK92" s="106">
        <v>0</v>
      </c>
      <c r="BL92" s="106">
        <v>12.395393000383233</v>
      </c>
      <c r="BM92" s="106">
        <v>17611.374374944498</v>
      </c>
      <c r="BN92" s="106">
        <v>9.3701336028761144</v>
      </c>
      <c r="BO92" s="106">
        <v>13313.085822966383</v>
      </c>
      <c r="BP92" s="106">
        <v>57.199523799361565</v>
      </c>
      <c r="BQ92" s="106">
        <v>81269.083414132911</v>
      </c>
      <c r="BR92" s="106">
        <v>43.850435554708461</v>
      </c>
      <c r="BS92" s="106">
        <v>62302.698836129777</v>
      </c>
      <c r="BT92" s="106">
        <v>0</v>
      </c>
      <c r="BU92" s="106">
        <v>0</v>
      </c>
      <c r="BV92" s="106">
        <v>82.484695308823134</v>
      </c>
      <c r="BW92" s="106">
        <v>117194.2550947759</v>
      </c>
      <c r="BX92" s="106">
        <v>13.595409076895272</v>
      </c>
      <c r="BY92" s="106">
        <v>19316.357216452801</v>
      </c>
      <c r="BZ92" s="106">
        <v>0</v>
      </c>
      <c r="CA92" s="106">
        <v>0</v>
      </c>
      <c r="CB92" s="106">
        <v>18.375226709443371</v>
      </c>
      <c r="CC92" s="106">
        <v>26107.522108777142</v>
      </c>
      <c r="CD92" s="106">
        <v>9.195516493403284</v>
      </c>
      <c r="CE92" s="106">
        <v>13064.989833827385</v>
      </c>
      <c r="CF92" s="106">
        <v>8.8112608364268468</v>
      </c>
      <c r="CG92" s="106">
        <v>12519.039396395263</v>
      </c>
      <c r="CH92" s="106">
        <v>8.6830957147844128</v>
      </c>
      <c r="CI92" s="106">
        <v>12336.942391565693</v>
      </c>
      <c r="CJ92" s="106">
        <v>12.092489905386302</v>
      </c>
      <c r="CK92" s="106">
        <v>17181.009657572857</v>
      </c>
      <c r="CL92" s="106">
        <v>0</v>
      </c>
      <c r="CM92" s="106">
        <v>0</v>
      </c>
      <c r="CN92" s="106">
        <v>64.292950645091864</v>
      </c>
      <c r="CO92" s="106">
        <v>91347.424276546517</v>
      </c>
      <c r="CP92" s="106">
        <v>53.570331788560338</v>
      </c>
      <c r="CQ92" s="106">
        <v>76112.727405186524</v>
      </c>
      <c r="CR92" s="106">
        <v>47.59787189516701</v>
      </c>
      <c r="CS92" s="106">
        <v>67627.056388653291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8.265580168959529</v>
      </c>
      <c r="M93" s="106">
        <v>14649.914291463869</v>
      </c>
      <c r="N93" s="106">
        <v>10.913098868763447</v>
      </c>
      <c r="O93" s="106">
        <v>19342.376434996331</v>
      </c>
      <c r="P93" s="106">
        <v>11.802325369584441</v>
      </c>
      <c r="Q93" s="106">
        <v>20918.441485051462</v>
      </c>
      <c r="R93" s="106">
        <v>18.509114373078233</v>
      </c>
      <c r="S93" s="106">
        <v>32805.554314843859</v>
      </c>
      <c r="T93" s="106">
        <v>0</v>
      </c>
      <c r="U93" s="106">
        <v>0</v>
      </c>
      <c r="V93" s="106">
        <v>23.050157611139216</v>
      </c>
      <c r="W93" s="106">
        <v>40854.099349983146</v>
      </c>
      <c r="X93" s="106">
        <v>14.629729648101177</v>
      </c>
      <c r="Y93" s="106">
        <v>25929.732828294524</v>
      </c>
      <c r="Z93" s="106">
        <v>16.138183679689103</v>
      </c>
      <c r="AA93" s="106">
        <v>28603.316753880965</v>
      </c>
      <c r="AB93" s="106">
        <v>21.338522215990253</v>
      </c>
      <c r="AC93" s="106">
        <v>37820.39677562112</v>
      </c>
      <c r="AD93" s="106">
        <v>0</v>
      </c>
      <c r="AE93" s="106">
        <v>0</v>
      </c>
      <c r="AF93" s="106">
        <v>40.404553314121031</v>
      </c>
      <c r="AG93" s="106">
        <v>71613.030293948104</v>
      </c>
      <c r="AH93" s="106">
        <v>28.486141065354261</v>
      </c>
      <c r="AI93" s="106">
        <v>50488.836424233887</v>
      </c>
      <c r="AJ93" s="106">
        <v>0</v>
      </c>
      <c r="AK93" s="106">
        <v>0</v>
      </c>
      <c r="AL93" s="106">
        <v>3.4737959570160442</v>
      </c>
      <c r="AM93" s="106">
        <v>6156.9559542152365</v>
      </c>
      <c r="AN93" s="106">
        <v>3.9650301702271813</v>
      </c>
      <c r="AO93" s="106">
        <v>7027.6194737106553</v>
      </c>
      <c r="AP93" s="106">
        <v>4.7107433653594466</v>
      </c>
      <c r="AQ93" s="106">
        <v>8349.3215407630832</v>
      </c>
      <c r="AR93" s="106">
        <v>0</v>
      </c>
      <c r="AS93" s="106">
        <v>0</v>
      </c>
      <c r="AT93" s="106">
        <v>56.708241519991319</v>
      </c>
      <c r="AU93" s="106">
        <v>100509.68727003261</v>
      </c>
      <c r="AV93" s="106">
        <v>22.120042408090004</v>
      </c>
      <c r="AW93" s="106">
        <v>39205.563164098719</v>
      </c>
      <c r="AX93" s="106">
        <v>24.013987191505311</v>
      </c>
      <c r="AY93" s="106">
        <v>42562.39089822401</v>
      </c>
      <c r="AZ93" s="106">
        <v>26.273187063331527</v>
      </c>
      <c r="BA93" s="106">
        <v>46566.596751048797</v>
      </c>
      <c r="BB93" s="106">
        <v>8.3386056409803793</v>
      </c>
      <c r="BC93" s="106">
        <v>14779.344638073622</v>
      </c>
      <c r="BD93" s="106">
        <v>15.008841303186193</v>
      </c>
      <c r="BE93" s="106">
        <v>26601.670325767205</v>
      </c>
      <c r="BF93" s="106">
        <v>13.662744406953379</v>
      </c>
      <c r="BG93" s="106">
        <v>24215.848186884166</v>
      </c>
      <c r="BH93" s="106">
        <v>10.533716820314364</v>
      </c>
      <c r="BI93" s="106">
        <v>18669.959692325177</v>
      </c>
      <c r="BJ93" s="106">
        <v>0</v>
      </c>
      <c r="BK93" s="106">
        <v>0</v>
      </c>
      <c r="BL93" s="106">
        <v>13.473253261286121</v>
      </c>
      <c r="BM93" s="106">
        <v>23879.994080303521</v>
      </c>
      <c r="BN93" s="106">
        <v>8.1830278308101132</v>
      </c>
      <c r="BO93" s="106">
        <v>14503.598527327844</v>
      </c>
      <c r="BP93" s="106">
        <v>59.126833640181573</v>
      </c>
      <c r="BQ93" s="106">
        <v>104796.39994385782</v>
      </c>
      <c r="BR93" s="106">
        <v>39.95864463733551</v>
      </c>
      <c r="BS93" s="106">
        <v>70822.701755213449</v>
      </c>
      <c r="BT93" s="106">
        <v>0</v>
      </c>
      <c r="BU93" s="106">
        <v>0</v>
      </c>
      <c r="BV93" s="106">
        <v>75.528154740609125</v>
      </c>
      <c r="BW93" s="106">
        <v>133866.10146225561</v>
      </c>
      <c r="BX93" s="106">
        <v>12.349820142818523</v>
      </c>
      <c r="BY93" s="106">
        <v>21888.821221131548</v>
      </c>
      <c r="BZ93" s="106">
        <v>0</v>
      </c>
      <c r="CA93" s="106">
        <v>0</v>
      </c>
      <c r="CB93" s="106">
        <v>18.375226709443371</v>
      </c>
      <c r="CC93" s="106">
        <v>32568.251819817429</v>
      </c>
      <c r="CD93" s="106">
        <v>8.5482617753738737</v>
      </c>
      <c r="CE93" s="106">
        <v>15150.939170672653</v>
      </c>
      <c r="CF93" s="106">
        <v>8.1512602586572331</v>
      </c>
      <c r="CG93" s="106">
        <v>14447.293682444079</v>
      </c>
      <c r="CH93" s="106">
        <v>8.0864776577182376</v>
      </c>
      <c r="CI93" s="106">
        <v>14332.473000539803</v>
      </c>
      <c r="CJ93" s="106">
        <v>10.384519924575557</v>
      </c>
      <c r="CK93" s="106">
        <v>18405.523114317715</v>
      </c>
      <c r="CL93" s="106">
        <v>0</v>
      </c>
      <c r="CM93" s="106">
        <v>0</v>
      </c>
      <c r="CN93" s="106">
        <v>55.906913604427707</v>
      </c>
      <c r="CO93" s="106">
        <v>99089.413672487659</v>
      </c>
      <c r="CP93" s="106">
        <v>49.673660255188082</v>
      </c>
      <c r="CQ93" s="106">
        <v>88041.595436295349</v>
      </c>
      <c r="CR93" s="106">
        <v>44.363533106494913</v>
      </c>
      <c r="CS93" s="106">
        <v>78629.926077951575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7.2575825873790984</v>
      </c>
      <c r="M94" s="106">
        <v>17383.361813290416</v>
      </c>
      <c r="N94" s="106">
        <v>9.7526207954358899</v>
      </c>
      <c r="O94" s="106">
        <v>23359.477329228041</v>
      </c>
      <c r="P94" s="106">
        <v>9.5365559563343574</v>
      </c>
      <c r="Q94" s="106">
        <v>22841.958826612052</v>
      </c>
      <c r="R94" s="106">
        <v>18.413404228614208</v>
      </c>
      <c r="S94" s="106">
        <v>44103.78580837675</v>
      </c>
      <c r="T94" s="106">
        <v>0</v>
      </c>
      <c r="U94" s="106">
        <v>0</v>
      </c>
      <c r="V94" s="106">
        <v>18.761756195113314</v>
      </c>
      <c r="W94" s="106">
        <v>44938.158438535407</v>
      </c>
      <c r="X94" s="106">
        <v>11.178240373506185</v>
      </c>
      <c r="Y94" s="106">
        <v>26774.121342622013</v>
      </c>
      <c r="Z94" s="106">
        <v>16.427832159307748</v>
      </c>
      <c r="AA94" s="106">
        <v>39347.943587973918</v>
      </c>
      <c r="AB94" s="106">
        <v>18.24172962773358</v>
      </c>
      <c r="AC94" s="106">
        <v>43692.59080434747</v>
      </c>
      <c r="AD94" s="106">
        <v>0</v>
      </c>
      <c r="AE94" s="106">
        <v>0</v>
      </c>
      <c r="AF94" s="106">
        <v>35.507031700288174</v>
      </c>
      <c r="AG94" s="106">
        <v>85046.442328530233</v>
      </c>
      <c r="AH94" s="106">
        <v>23.227371595742483</v>
      </c>
      <c r="AI94" s="106">
        <v>55634.200446122391</v>
      </c>
      <c r="AJ94" s="106">
        <v>0</v>
      </c>
      <c r="AK94" s="106">
        <v>0</v>
      </c>
      <c r="AL94" s="106">
        <v>3.2422095598816409</v>
      </c>
      <c r="AM94" s="106">
        <v>7765.7403378285062</v>
      </c>
      <c r="AN94" s="106">
        <v>3.970341772826222</v>
      </c>
      <c r="AO94" s="106">
        <v>9509.7626142733661</v>
      </c>
      <c r="AP94" s="106">
        <v>4.1736762290181533</v>
      </c>
      <c r="AQ94" s="106">
        <v>9996.7893037442791</v>
      </c>
      <c r="AR94" s="106">
        <v>0</v>
      </c>
      <c r="AS94" s="106">
        <v>0</v>
      </c>
      <c r="AT94" s="106">
        <v>49.671452426269774</v>
      </c>
      <c r="AU94" s="106">
        <v>118973.06285140135</v>
      </c>
      <c r="AV94" s="106">
        <v>19.027130917743648</v>
      </c>
      <c r="AW94" s="106">
        <v>45573.783974179583</v>
      </c>
      <c r="AX94" s="106">
        <v>19.833157755834911</v>
      </c>
      <c r="AY94" s="106">
        <v>47504.379456775772</v>
      </c>
      <c r="AZ94" s="106">
        <v>18.417442920133546</v>
      </c>
      <c r="BA94" s="106">
        <v>44113.459282303862</v>
      </c>
      <c r="BB94" s="106">
        <v>6.8520872548494731</v>
      </c>
      <c r="BC94" s="106">
        <v>16412.119392815457</v>
      </c>
      <c r="BD94" s="106">
        <v>12.055853453847593</v>
      </c>
      <c r="BE94" s="106">
        <v>28876.180192655753</v>
      </c>
      <c r="BF94" s="106">
        <v>12.312961852718102</v>
      </c>
      <c r="BG94" s="106">
        <v>29492.006229630395</v>
      </c>
      <c r="BH94" s="106">
        <v>9.6778319718699422</v>
      </c>
      <c r="BI94" s="106">
        <v>23180.343139022883</v>
      </c>
      <c r="BJ94" s="106">
        <v>0</v>
      </c>
      <c r="BK94" s="106">
        <v>0</v>
      </c>
      <c r="BL94" s="106">
        <v>11.856462869931788</v>
      </c>
      <c r="BM94" s="106">
        <v>28398.599866060616</v>
      </c>
      <c r="BN94" s="106">
        <v>7.9632418447798488</v>
      </c>
      <c r="BO94" s="106">
        <v>19073.556866616691</v>
      </c>
      <c r="BP94" s="106">
        <v>47.625276822298893</v>
      </c>
      <c r="BQ94" s="106">
        <v>114072.0630447703</v>
      </c>
      <c r="BR94" s="106">
        <v>32.847779519643247</v>
      </c>
      <c r="BS94" s="106">
        <v>78677.001505449502</v>
      </c>
      <c r="BT94" s="106">
        <v>0</v>
      </c>
      <c r="BU94" s="106">
        <v>0</v>
      </c>
      <c r="BV94" s="106">
        <v>62.608865113925987</v>
      </c>
      <c r="BW94" s="106">
        <v>149960.75372087551</v>
      </c>
      <c r="BX94" s="106">
        <v>10.787868832729611</v>
      </c>
      <c r="BY94" s="106">
        <v>25839.103428153961</v>
      </c>
      <c r="BZ94" s="106">
        <v>0</v>
      </c>
      <c r="CA94" s="106">
        <v>0</v>
      </c>
      <c r="CB94" s="106">
        <v>16.811377627788616</v>
      </c>
      <c r="CC94" s="106">
        <v>40266.611694079293</v>
      </c>
      <c r="CD94" s="106">
        <v>8.3541503993782342</v>
      </c>
      <c r="CE94" s="106">
        <v>20009.861036590744</v>
      </c>
      <c r="CF94" s="106">
        <v>6.7279758108399426</v>
      </c>
      <c r="CG94" s="106">
        <v>16114.84766212383</v>
      </c>
      <c r="CH94" s="106">
        <v>7.4782504626959527</v>
      </c>
      <c r="CI94" s="106">
        <v>17911.905508249343</v>
      </c>
      <c r="CJ94" s="106">
        <v>9.9223952075944553</v>
      </c>
      <c r="CK94" s="106">
        <v>23766.121001230236</v>
      </c>
      <c r="CL94" s="106">
        <v>0</v>
      </c>
      <c r="CM94" s="106">
        <v>0</v>
      </c>
      <c r="CN94" s="106">
        <v>49.384440350577812</v>
      </c>
      <c r="CO94" s="106">
        <v>118285.61152770396</v>
      </c>
      <c r="CP94" s="106">
        <v>37.31507018050003</v>
      </c>
      <c r="CQ94" s="106">
        <v>89377.056096333661</v>
      </c>
      <c r="CR94" s="106">
        <v>40.683718778205872</v>
      </c>
      <c r="CS94" s="106">
        <v>97445.643217558696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4.2335898426378078</v>
      </c>
      <c r="M95" s="106">
        <v>7335.9644793227935</v>
      </c>
      <c r="N95" s="106">
        <v>4.9988223794786819</v>
      </c>
      <c r="O95" s="106">
        <v>8661.9594191606593</v>
      </c>
      <c r="P95" s="106">
        <v>3.3875534905102169</v>
      </c>
      <c r="Q95" s="106">
        <v>5869.9526883561039</v>
      </c>
      <c r="R95" s="106">
        <v>10.850454115752285</v>
      </c>
      <c r="S95" s="106">
        <v>18801.66689177556</v>
      </c>
      <c r="T95" s="106">
        <v>0</v>
      </c>
      <c r="U95" s="106">
        <v>0</v>
      </c>
      <c r="V95" s="106">
        <v>23.586207788142456</v>
      </c>
      <c r="W95" s="106">
        <v>40870.180855293249</v>
      </c>
      <c r="X95" s="106">
        <v>23.834480118591451</v>
      </c>
      <c r="Y95" s="106">
        <v>41300.387149495262</v>
      </c>
      <c r="Z95" s="106">
        <v>17.021687595453333</v>
      </c>
      <c r="AA95" s="106">
        <v>29495.180265401534</v>
      </c>
      <c r="AB95" s="106">
        <v>8.7201439153573865</v>
      </c>
      <c r="AC95" s="106">
        <v>15110.265376531279</v>
      </c>
      <c r="AD95" s="106">
        <v>0</v>
      </c>
      <c r="AE95" s="106">
        <v>0</v>
      </c>
      <c r="AF95" s="106">
        <v>21.426657060518728</v>
      </c>
      <c r="AG95" s="106">
        <v>37128.111354466848</v>
      </c>
      <c r="AH95" s="106">
        <v>8.9756600186447386</v>
      </c>
      <c r="AI95" s="106">
        <v>15553.023680307602</v>
      </c>
      <c r="AJ95" s="106">
        <v>0</v>
      </c>
      <c r="AK95" s="106">
        <v>0</v>
      </c>
      <c r="AL95" s="106">
        <v>45.390933838342974</v>
      </c>
      <c r="AM95" s="106">
        <v>78653.41015508071</v>
      </c>
      <c r="AN95" s="106">
        <v>40.580416123925012</v>
      </c>
      <c r="AO95" s="106">
        <v>70317.745059537265</v>
      </c>
      <c r="AP95" s="106">
        <v>41.314702137887224</v>
      </c>
      <c r="AQ95" s="106">
        <v>71590.115864530977</v>
      </c>
      <c r="AR95" s="106">
        <v>0</v>
      </c>
      <c r="AS95" s="106">
        <v>0</v>
      </c>
      <c r="AT95" s="106">
        <v>8.2785754043782944</v>
      </c>
      <c r="AU95" s="106">
        <v>14345.115460706707</v>
      </c>
      <c r="AV95" s="106">
        <v>2.0770519851978473</v>
      </c>
      <c r="AW95" s="106">
        <v>3599.1156799508299</v>
      </c>
      <c r="AX95" s="106">
        <v>3.3432641089269413</v>
      </c>
      <c r="AY95" s="106">
        <v>5793.208047948604</v>
      </c>
      <c r="AZ95" s="106">
        <v>8.0258186740751452</v>
      </c>
      <c r="BA95" s="106">
        <v>13907.138598437412</v>
      </c>
      <c r="BB95" s="106">
        <v>4.2588110228619254</v>
      </c>
      <c r="BC95" s="106">
        <v>7379.6677404151442</v>
      </c>
      <c r="BD95" s="106">
        <v>5.6252288912407122</v>
      </c>
      <c r="BE95" s="106">
        <v>9747.396622741906</v>
      </c>
      <c r="BF95" s="106">
        <v>4.2469606562495175</v>
      </c>
      <c r="BG95" s="106">
        <v>7359.1334251491635</v>
      </c>
      <c r="BH95" s="106">
        <v>24.643482971840637</v>
      </c>
      <c r="BI95" s="106">
        <v>42702.227293605458</v>
      </c>
      <c r="BJ95" s="106">
        <v>0</v>
      </c>
      <c r="BK95" s="106">
        <v>0</v>
      </c>
      <c r="BL95" s="106">
        <v>22.635065478960687</v>
      </c>
      <c r="BM95" s="106">
        <v>39222.041461943074</v>
      </c>
      <c r="BN95" s="106">
        <v>19.808837819262315</v>
      </c>
      <c r="BO95" s="106">
        <v>34324.754173217741</v>
      </c>
      <c r="BP95" s="106">
        <v>29.473610392178912</v>
      </c>
      <c r="BQ95" s="106">
        <v>51071.872087567615</v>
      </c>
      <c r="BR95" s="106">
        <v>13.902539524096317</v>
      </c>
      <c r="BS95" s="106">
        <v>24090.3204873541</v>
      </c>
      <c r="BT95" s="106">
        <v>0</v>
      </c>
      <c r="BU95" s="106">
        <v>0</v>
      </c>
      <c r="BV95" s="106">
        <v>18.882038685152281</v>
      </c>
      <c r="BW95" s="106">
        <v>32718.796633631871</v>
      </c>
      <c r="BX95" s="106">
        <v>16.542217151117626</v>
      </c>
      <c r="BY95" s="106">
        <v>28664.353879456623</v>
      </c>
      <c r="BZ95" s="106">
        <v>0</v>
      </c>
      <c r="CA95" s="106">
        <v>0</v>
      </c>
      <c r="CB95" s="106">
        <v>23.066773954407633</v>
      </c>
      <c r="CC95" s="106">
        <v>39970.105908197547</v>
      </c>
      <c r="CD95" s="106">
        <v>12.806195597517407</v>
      </c>
      <c r="CE95" s="106">
        <v>22190.575731378161</v>
      </c>
      <c r="CF95" s="106">
        <v>2.5486279395407299</v>
      </c>
      <c r="CG95" s="106">
        <v>4416.2624936361763</v>
      </c>
      <c r="CH95" s="106">
        <v>4.1713468628864767</v>
      </c>
      <c r="CI95" s="106">
        <v>7228.1098440096866</v>
      </c>
      <c r="CJ95" s="106">
        <v>3.7722475832327973</v>
      </c>
      <c r="CK95" s="106">
        <v>6536.5506122257912</v>
      </c>
      <c r="CL95" s="106">
        <v>0</v>
      </c>
      <c r="CM95" s="106">
        <v>0</v>
      </c>
      <c r="CN95" s="106">
        <v>9.7837098807748486</v>
      </c>
      <c r="CO95" s="106">
        <v>16953.212481406656</v>
      </c>
      <c r="CP95" s="106">
        <v>12.65497348241856</v>
      </c>
      <c r="CQ95" s="106">
        <v>21928.538050334879</v>
      </c>
      <c r="CR95" s="106">
        <v>11.705001338331636</v>
      </c>
      <c r="CS95" s="106">
        <v>20282.426319061058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4.838388391586065</v>
      </c>
      <c r="M96" s="106">
        <v>3982.9613239536484</v>
      </c>
      <c r="N96" s="106">
        <v>6.8132515992007363</v>
      </c>
      <c r="O96" s="106">
        <v>5608.6687164620453</v>
      </c>
      <c r="P96" s="106">
        <v>4.0161196890223074</v>
      </c>
      <c r="Q96" s="106">
        <v>3306.0697280031632</v>
      </c>
      <c r="R96" s="106">
        <v>12.102645144492614</v>
      </c>
      <c r="S96" s="106">
        <v>9962.8974829463186</v>
      </c>
      <c r="T96" s="106">
        <v>0</v>
      </c>
      <c r="U96" s="106">
        <v>0</v>
      </c>
      <c r="V96" s="106">
        <v>27.874609204168351</v>
      </c>
      <c r="W96" s="106">
        <v>22946.378296871386</v>
      </c>
      <c r="X96" s="106">
        <v>28.592439492284587</v>
      </c>
      <c r="Y96" s="106">
        <v>23537.29619004867</v>
      </c>
      <c r="Z96" s="106">
        <v>19.414219320772929</v>
      </c>
      <c r="AA96" s="106">
        <v>15981.785344860275</v>
      </c>
      <c r="AB96" s="106">
        <v>10.009089773170478</v>
      </c>
      <c r="AC96" s="106">
        <v>8239.482701273937</v>
      </c>
      <c r="AD96" s="106">
        <v>0</v>
      </c>
      <c r="AE96" s="106">
        <v>0</v>
      </c>
      <c r="AF96" s="106">
        <v>22.651037463976941</v>
      </c>
      <c r="AG96" s="106">
        <v>18646.334040345817</v>
      </c>
      <c r="AH96" s="106">
        <v>10.860724878535537</v>
      </c>
      <c r="AI96" s="106">
        <v>8940.5487200104526</v>
      </c>
      <c r="AJ96" s="106">
        <v>0</v>
      </c>
      <c r="AK96" s="106">
        <v>0</v>
      </c>
      <c r="AL96" s="106">
        <v>60.212463254944758</v>
      </c>
      <c r="AM96" s="106">
        <v>49566.899751470519</v>
      </c>
      <c r="AN96" s="106">
        <v>56.381642951874547</v>
      </c>
      <c r="AO96" s="106">
        <v>46413.368477983124</v>
      </c>
      <c r="AP96" s="106">
        <v>56.759869337132365</v>
      </c>
      <c r="AQ96" s="106">
        <v>46724.724438327357</v>
      </c>
      <c r="AR96" s="106">
        <v>0</v>
      </c>
      <c r="AS96" s="106">
        <v>0</v>
      </c>
      <c r="AT96" s="106">
        <v>8.2785754043782944</v>
      </c>
      <c r="AU96" s="106">
        <v>6814.9232728842117</v>
      </c>
      <c r="AV96" s="106">
        <v>2.5221345534545287</v>
      </c>
      <c r="AW96" s="106">
        <v>2076.2211644037679</v>
      </c>
      <c r="AX96" s="106">
        <v>3.9180240284449104</v>
      </c>
      <c r="AY96" s="106">
        <v>3225.3173802158499</v>
      </c>
      <c r="AZ96" s="106">
        <v>8.3991125658925956</v>
      </c>
      <c r="BA96" s="106">
        <v>6914.1494642427842</v>
      </c>
      <c r="BB96" s="106">
        <v>4.9148266462961558</v>
      </c>
      <c r="BC96" s="106">
        <v>4045.8852952309953</v>
      </c>
      <c r="BD96" s="106">
        <v>6.5291031759237521</v>
      </c>
      <c r="BE96" s="106">
        <v>5374.7577344204319</v>
      </c>
      <c r="BF96" s="106">
        <v>5.070989356374378</v>
      </c>
      <c r="BG96" s="106">
        <v>4174.4384381673872</v>
      </c>
      <c r="BH96" s="106">
        <v>33.932709388068247</v>
      </c>
      <c r="BI96" s="106">
        <v>27933.40636825778</v>
      </c>
      <c r="BJ96" s="106">
        <v>0</v>
      </c>
      <c r="BK96" s="106">
        <v>0</v>
      </c>
      <c r="BL96" s="106">
        <v>23.712925739863575</v>
      </c>
      <c r="BM96" s="106">
        <v>19520.480469055692</v>
      </c>
      <c r="BN96" s="106">
        <v>24.542697290706414</v>
      </c>
      <c r="BO96" s="106">
        <v>20203.548409709518</v>
      </c>
      <c r="BP96" s="106">
        <v>34.401075204312995</v>
      </c>
      <c r="BQ96" s="106">
        <v>28318.965108190456</v>
      </c>
      <c r="BR96" s="106">
        <v>15.647755717210101</v>
      </c>
      <c r="BS96" s="106">
        <v>12881.232506407354</v>
      </c>
      <c r="BT96" s="106">
        <v>0</v>
      </c>
      <c r="BU96" s="106">
        <v>0</v>
      </c>
      <c r="BV96" s="106">
        <v>22.857204724131712</v>
      </c>
      <c r="BW96" s="106">
        <v>18816.050928905224</v>
      </c>
      <c r="BX96" s="106">
        <v>21.021585234260506</v>
      </c>
      <c r="BY96" s="106">
        <v>17304.968964843247</v>
      </c>
      <c r="BZ96" s="106">
        <v>0</v>
      </c>
      <c r="CA96" s="106">
        <v>0</v>
      </c>
      <c r="CB96" s="106">
        <v>28.931208010612966</v>
      </c>
      <c r="CC96" s="106">
        <v>23816.170434336593</v>
      </c>
      <c r="CD96" s="106">
        <v>15.980556592833894</v>
      </c>
      <c r="CE96" s="106">
        <v>13155.194187220861</v>
      </c>
      <c r="CF96" s="106">
        <v>2.7678271982525318</v>
      </c>
      <c r="CG96" s="106">
        <v>2278.4753496014841</v>
      </c>
      <c r="CH96" s="106">
        <v>4.5963204008478202</v>
      </c>
      <c r="CI96" s="106">
        <v>3783.6909539779253</v>
      </c>
      <c r="CJ96" s="106">
        <v>4.6240245927849495</v>
      </c>
      <c r="CK96" s="106">
        <v>3806.4970447805699</v>
      </c>
      <c r="CL96" s="106">
        <v>0</v>
      </c>
      <c r="CM96" s="106">
        <v>0</v>
      </c>
      <c r="CN96" s="106">
        <v>10.715491774181977</v>
      </c>
      <c r="CO96" s="106">
        <v>8820.9928285066035</v>
      </c>
      <c r="CP96" s="106">
        <v>15.343787722405823</v>
      </c>
      <c r="CQ96" s="106">
        <v>12631.006053084473</v>
      </c>
      <c r="CR96" s="106">
        <v>14.451199655679439</v>
      </c>
      <c r="CS96" s="106">
        <v>11896.227556555314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4.2335898426378078</v>
      </c>
      <c r="M97" s="106">
        <v>7742.389104216023</v>
      </c>
      <c r="N97" s="106">
        <v>5.3797014472203166</v>
      </c>
      <c r="O97" s="106">
        <v>9838.3980066765143</v>
      </c>
      <c r="P97" s="106">
        <v>3.4256237203990283</v>
      </c>
      <c r="Q97" s="106">
        <v>6264.7806598657426</v>
      </c>
      <c r="R97" s="106">
        <v>10.453048262084872</v>
      </c>
      <c r="S97" s="106">
        <v>19116.534661700814</v>
      </c>
      <c r="T97" s="106">
        <v>0</v>
      </c>
      <c r="U97" s="106">
        <v>0</v>
      </c>
      <c r="V97" s="106">
        <v>18.761756195113314</v>
      </c>
      <c r="W97" s="106">
        <v>34311.499729623225</v>
      </c>
      <c r="X97" s="106">
        <v>24.321187907923839</v>
      </c>
      <c r="Y97" s="106">
        <v>44478.588446011119</v>
      </c>
      <c r="Z97" s="106">
        <v>16.116865768744308</v>
      </c>
      <c r="AA97" s="106">
        <v>29474.524117879591</v>
      </c>
      <c r="AB97" s="106">
        <v>7.7166034971084256</v>
      </c>
      <c r="AC97" s="106">
        <v>14112.124475511888</v>
      </c>
      <c r="AD97" s="106">
        <v>0</v>
      </c>
      <c r="AE97" s="106">
        <v>0</v>
      </c>
      <c r="AF97" s="106">
        <v>22.651037463976941</v>
      </c>
      <c r="AG97" s="106">
        <v>41424.21731412103</v>
      </c>
      <c r="AH97" s="106">
        <v>9.0137710239988298</v>
      </c>
      <c r="AI97" s="106">
        <v>16484.384448689059</v>
      </c>
      <c r="AJ97" s="106">
        <v>0</v>
      </c>
      <c r="AK97" s="106">
        <v>0</v>
      </c>
      <c r="AL97" s="106">
        <v>40.759205895654915</v>
      </c>
      <c r="AM97" s="106">
        <v>74540.435741973706</v>
      </c>
      <c r="AN97" s="106">
        <v>43.668740514749302</v>
      </c>
      <c r="AO97" s="106">
        <v>79861.392653373521</v>
      </c>
      <c r="AP97" s="106">
        <v>36.788532764977539</v>
      </c>
      <c r="AQ97" s="106">
        <v>67278.868720590923</v>
      </c>
      <c r="AR97" s="106">
        <v>0</v>
      </c>
      <c r="AS97" s="106">
        <v>0</v>
      </c>
      <c r="AT97" s="106">
        <v>7.4507178639404659</v>
      </c>
      <c r="AU97" s="106">
        <v>13625.872829574324</v>
      </c>
      <c r="AV97" s="106">
        <v>2.2254128412834078</v>
      </c>
      <c r="AW97" s="106">
        <v>4069.8350041390959</v>
      </c>
      <c r="AX97" s="106">
        <v>3.6255367834980343</v>
      </c>
      <c r="AY97" s="106">
        <v>6630.3816696612048</v>
      </c>
      <c r="AZ97" s="106">
        <v>7.2792308904402496</v>
      </c>
      <c r="BA97" s="106">
        <v>13312.257452437128</v>
      </c>
      <c r="BB97" s="106">
        <v>4.0265122397967295</v>
      </c>
      <c r="BC97" s="106">
        <v>7363.6855841402585</v>
      </c>
      <c r="BD97" s="106">
        <v>5.272748142514458</v>
      </c>
      <c r="BE97" s="106">
        <v>9642.8018030304411</v>
      </c>
      <c r="BF97" s="106">
        <v>4.7983041906362436</v>
      </c>
      <c r="BG97" s="106">
        <v>8775.1387038355624</v>
      </c>
      <c r="BH97" s="106">
        <v>22.857149554604927</v>
      </c>
      <c r="BI97" s="106">
        <v>41801.15510546149</v>
      </c>
      <c r="BJ97" s="106">
        <v>0</v>
      </c>
      <c r="BK97" s="106">
        <v>0</v>
      </c>
      <c r="BL97" s="106">
        <v>21.557205218057796</v>
      </c>
      <c r="BM97" s="106">
        <v>39423.816902784092</v>
      </c>
      <c r="BN97" s="106">
        <v>20.585618464371375</v>
      </c>
      <c r="BO97" s="106">
        <v>37646.979047642373</v>
      </c>
      <c r="BP97" s="106">
        <v>29.75739713256781</v>
      </c>
      <c r="BQ97" s="106">
        <v>54420.327876040014</v>
      </c>
      <c r="BR97" s="106">
        <v>12.672611750812978</v>
      </c>
      <c r="BS97" s="106">
        <v>23175.672369886772</v>
      </c>
      <c r="BT97" s="106">
        <v>0</v>
      </c>
      <c r="BU97" s="106">
        <v>0</v>
      </c>
      <c r="BV97" s="106">
        <v>17.888247175407425</v>
      </c>
      <c r="BW97" s="106">
        <v>32714.026434385098</v>
      </c>
      <c r="BX97" s="106">
        <v>16.087649701625075</v>
      </c>
      <c r="BY97" s="106">
        <v>29421.093774331937</v>
      </c>
      <c r="BZ97" s="106">
        <v>0</v>
      </c>
      <c r="CA97" s="106">
        <v>0</v>
      </c>
      <c r="CB97" s="106">
        <v>21.89388714316657</v>
      </c>
      <c r="CC97" s="106">
        <v>40039.540807423022</v>
      </c>
      <c r="CD97" s="106">
        <v>11.633557679484619</v>
      </c>
      <c r="CE97" s="106">
        <v>21275.450284241473</v>
      </c>
      <c r="CF97" s="106">
        <v>2.556021548952093</v>
      </c>
      <c r="CG97" s="106">
        <v>4674.4522087235873</v>
      </c>
      <c r="CH97" s="106">
        <v>4.0034318784140384</v>
      </c>
      <c r="CI97" s="106">
        <v>7321.4762192435928</v>
      </c>
      <c r="CJ97" s="106">
        <v>3.8181295938248407</v>
      </c>
      <c r="CK97" s="106">
        <v>6982.5954011868689</v>
      </c>
      <c r="CL97" s="106">
        <v>0</v>
      </c>
      <c r="CM97" s="106">
        <v>0</v>
      </c>
      <c r="CN97" s="106">
        <v>9.7837098807748486</v>
      </c>
      <c r="CO97" s="106">
        <v>17892.448629961043</v>
      </c>
      <c r="CP97" s="106">
        <v>12.149288840625641</v>
      </c>
      <c r="CQ97" s="106">
        <v>22218.61943173617</v>
      </c>
      <c r="CR97" s="106">
        <v>11.810249797256459</v>
      </c>
      <c r="CS97" s="106">
        <v>21598.584829222611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4.4351893589538935</v>
      </c>
      <c r="M98" s="106">
        <v>5604.3052739741397</v>
      </c>
      <c r="N98" s="106">
        <v>5.680179969700955</v>
      </c>
      <c r="O98" s="106">
        <v>7177.4754097141258</v>
      </c>
      <c r="P98" s="106">
        <v>3.8076274541595811</v>
      </c>
      <c r="Q98" s="106">
        <v>4811.3180510760467</v>
      </c>
      <c r="R98" s="106">
        <v>11.148966787621625</v>
      </c>
      <c r="S98" s="106">
        <v>14087.834432838683</v>
      </c>
      <c r="T98" s="106">
        <v>0</v>
      </c>
      <c r="U98" s="106">
        <v>0</v>
      </c>
      <c r="V98" s="106">
        <v>21.97805725713274</v>
      </c>
      <c r="W98" s="106">
        <v>27771.473150112928</v>
      </c>
      <c r="X98" s="106">
        <v>24.052966789930576</v>
      </c>
      <c r="Y98" s="106">
        <v>30393.328835756274</v>
      </c>
      <c r="Z98" s="106">
        <v>20.613028604334978</v>
      </c>
      <c r="AA98" s="106">
        <v>26046.622944437677</v>
      </c>
      <c r="AB98" s="106">
        <v>10.125316768858243</v>
      </c>
      <c r="AC98" s="106">
        <v>12794.350269129274</v>
      </c>
      <c r="AD98" s="106">
        <v>0</v>
      </c>
      <c r="AE98" s="106">
        <v>0</v>
      </c>
      <c r="AF98" s="106">
        <v>21.426657060518728</v>
      </c>
      <c r="AG98" s="106">
        <v>27074.723861671464</v>
      </c>
      <c r="AH98" s="106">
        <v>8.7571797124657937</v>
      </c>
      <c r="AI98" s="106">
        <v>11065.572284671776</v>
      </c>
      <c r="AJ98" s="106">
        <v>0</v>
      </c>
      <c r="AK98" s="106">
        <v>0</v>
      </c>
      <c r="AL98" s="106">
        <v>48.864729795359018</v>
      </c>
      <c r="AM98" s="106">
        <v>61745.472569415651</v>
      </c>
      <c r="AN98" s="106">
        <v>49.753993402011524</v>
      </c>
      <c r="AO98" s="106">
        <v>62869.146062781758</v>
      </c>
      <c r="AP98" s="106">
        <v>44.380735293279599</v>
      </c>
      <c r="AQ98" s="106">
        <v>56079.4971165881</v>
      </c>
      <c r="AR98" s="106">
        <v>0</v>
      </c>
      <c r="AS98" s="106">
        <v>0</v>
      </c>
      <c r="AT98" s="106">
        <v>7.4507178639404659</v>
      </c>
      <c r="AU98" s="106">
        <v>9414.7270928751714</v>
      </c>
      <c r="AV98" s="106">
        <v>2.2254128412834078</v>
      </c>
      <c r="AW98" s="106">
        <v>2812.031666245714</v>
      </c>
      <c r="AX98" s="106">
        <v>3.6659900246498998</v>
      </c>
      <c r="AY98" s="106">
        <v>4632.3449951476132</v>
      </c>
      <c r="AZ98" s="106">
        <v>8.2437154716149639</v>
      </c>
      <c r="BA98" s="106">
        <v>10416.758869932668</v>
      </c>
      <c r="BB98" s="106">
        <v>4.5750685736125476</v>
      </c>
      <c r="BC98" s="106">
        <v>5781.0566496168149</v>
      </c>
      <c r="BD98" s="106">
        <v>5.7336298052376904</v>
      </c>
      <c r="BE98" s="106">
        <v>7245.0146218983455</v>
      </c>
      <c r="BF98" s="106">
        <v>5.0138367929113041</v>
      </c>
      <c r="BG98" s="106">
        <v>6335.484171522723</v>
      </c>
      <c r="BH98" s="106">
        <v>26.40879446528826</v>
      </c>
      <c r="BI98" s="106">
        <v>33370.152686338246</v>
      </c>
      <c r="BJ98" s="106">
        <v>0</v>
      </c>
      <c r="BK98" s="106">
        <v>0</v>
      </c>
      <c r="BL98" s="106">
        <v>21.557205218057796</v>
      </c>
      <c r="BM98" s="106">
        <v>27239.684513537828</v>
      </c>
      <c r="BN98" s="106">
        <v>23.258065325509662</v>
      </c>
      <c r="BO98" s="106">
        <v>29388.891345314009</v>
      </c>
      <c r="BP98" s="106">
        <v>33.357106723383026</v>
      </c>
      <c r="BQ98" s="106">
        <v>42150.040055666788</v>
      </c>
      <c r="BR98" s="106">
        <v>13.733936906866335</v>
      </c>
      <c r="BS98" s="106">
        <v>17354.202675516299</v>
      </c>
      <c r="BT98" s="106">
        <v>0</v>
      </c>
      <c r="BU98" s="106">
        <v>0</v>
      </c>
      <c r="BV98" s="106">
        <v>20.869621704641997</v>
      </c>
      <c r="BW98" s="106">
        <v>26370.853985985625</v>
      </c>
      <c r="BX98" s="106">
        <v>19.739753081946834</v>
      </c>
      <c r="BY98" s="106">
        <v>24943.151994348016</v>
      </c>
      <c r="BZ98" s="106">
        <v>0</v>
      </c>
      <c r="CA98" s="106">
        <v>0</v>
      </c>
      <c r="CB98" s="106">
        <v>28.149283469785587</v>
      </c>
      <c r="CC98" s="106">
        <v>35569.434592421065</v>
      </c>
      <c r="CD98" s="106">
        <v>13.898168893728446</v>
      </c>
      <c r="CE98" s="106">
        <v>17561.726214115264</v>
      </c>
      <c r="CF98" s="106">
        <v>2.4329392125880092</v>
      </c>
      <c r="CG98" s="106">
        <v>3074.2619890262081</v>
      </c>
      <c r="CH98" s="106">
        <v>4.3587505886387357</v>
      </c>
      <c r="CI98" s="106">
        <v>5507.7172438039061</v>
      </c>
      <c r="CJ98" s="106">
        <v>4.4406619089975017</v>
      </c>
      <c r="CK98" s="106">
        <v>5611.2203882092426</v>
      </c>
      <c r="CL98" s="106">
        <v>0</v>
      </c>
      <c r="CM98" s="106">
        <v>0</v>
      </c>
      <c r="CN98" s="106">
        <v>11.181382720885541</v>
      </c>
      <c r="CO98" s="106">
        <v>14128.795206110968</v>
      </c>
      <c r="CP98" s="106">
        <v>14.640343063269741</v>
      </c>
      <c r="CQ98" s="106">
        <v>18499.537494747645</v>
      </c>
      <c r="CR98" s="106">
        <v>13.46082216582308</v>
      </c>
      <c r="CS98" s="106">
        <v>17009.094888734042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2.6207937121091192</v>
      </c>
      <c r="M99" s="106">
        <v>14366.142812297347</v>
      </c>
      <c r="N99" s="106">
        <v>3.6048518133381298</v>
      </c>
      <c r="O99" s="106">
        <v>19760.355699994288</v>
      </c>
      <c r="P99" s="106">
        <v>1.910984576028451</v>
      </c>
      <c r="Q99" s="106">
        <v>10475.253051957556</v>
      </c>
      <c r="R99" s="106">
        <v>6.8087013698508505</v>
      </c>
      <c r="S99" s="106">
        <v>37322.577428974415</v>
      </c>
      <c r="T99" s="106">
        <v>0</v>
      </c>
      <c r="U99" s="106">
        <v>0</v>
      </c>
      <c r="V99" s="106">
        <v>11.793103894071228</v>
      </c>
      <c r="W99" s="106">
        <v>64645.078305740841</v>
      </c>
      <c r="X99" s="106">
        <v>12.548425035961912</v>
      </c>
      <c r="Y99" s="106">
        <v>68785.446677128813</v>
      </c>
      <c r="Z99" s="106">
        <v>9.1856306282725182</v>
      </c>
      <c r="AA99" s="106">
        <v>50351.952851938629</v>
      </c>
      <c r="AB99" s="106">
        <v>4.4267343019744798</v>
      </c>
      <c r="AC99" s="106">
        <v>24265.586749703307</v>
      </c>
      <c r="AD99" s="106">
        <v>0</v>
      </c>
      <c r="AE99" s="106">
        <v>0</v>
      </c>
      <c r="AF99" s="106">
        <v>12.24380403458213</v>
      </c>
      <c r="AG99" s="106">
        <v>67115.636195965402</v>
      </c>
      <c r="AH99" s="106">
        <v>4.9489389873301066</v>
      </c>
      <c r="AI99" s="106">
        <v>27128.10395294871</v>
      </c>
      <c r="AJ99" s="106">
        <v>0</v>
      </c>
      <c r="AK99" s="106">
        <v>0</v>
      </c>
      <c r="AL99" s="106">
        <v>15.05311581373619</v>
      </c>
      <c r="AM99" s="106">
        <v>82515.159644576284</v>
      </c>
      <c r="AN99" s="106">
        <v>16.637753474355893</v>
      </c>
      <c r="AO99" s="106">
        <v>91201.509445029253</v>
      </c>
      <c r="AP99" s="106">
        <v>15.183487904031118</v>
      </c>
      <c r="AQ99" s="106">
        <v>83229.807294736966</v>
      </c>
      <c r="AR99" s="106">
        <v>0</v>
      </c>
      <c r="AS99" s="106">
        <v>0</v>
      </c>
      <c r="AT99" s="106">
        <v>4.5532164724080619</v>
      </c>
      <c r="AU99" s="106">
        <v>24958.91141515203</v>
      </c>
      <c r="AV99" s="106">
        <v>1.1868868486844841</v>
      </c>
      <c r="AW99" s="106">
        <v>6506.0389497488677</v>
      </c>
      <c r="AX99" s="106">
        <v>1.9007620518034285</v>
      </c>
      <c r="AY99" s="106">
        <v>10419.217263165672</v>
      </c>
      <c r="AZ99" s="106">
        <v>3.5775418238968553</v>
      </c>
      <c r="BA99" s="106">
        <v>19610.653261873002</v>
      </c>
      <c r="BB99" s="106">
        <v>2.2455549029635606</v>
      </c>
      <c r="BC99" s="106">
        <v>12309.233756085052</v>
      </c>
      <c r="BD99" s="106">
        <v>2.892468822280156</v>
      </c>
      <c r="BE99" s="106">
        <v>15855.357096210902</v>
      </c>
      <c r="BF99" s="106">
        <v>2.5417506925367261</v>
      </c>
      <c r="BG99" s="106">
        <v>13932.860596209317</v>
      </c>
      <c r="BH99" s="106">
        <v>13.709000806768715</v>
      </c>
      <c r="BI99" s="106">
        <v>75147.258822383388</v>
      </c>
      <c r="BJ99" s="106">
        <v>0</v>
      </c>
      <c r="BK99" s="106">
        <v>0</v>
      </c>
      <c r="BL99" s="106">
        <v>9.700742348126008</v>
      </c>
      <c r="BM99" s="106">
        <v>53175.589255487517</v>
      </c>
      <c r="BN99" s="106">
        <v>9.2179256269028862</v>
      </c>
      <c r="BO99" s="106">
        <v>50528.981116430856</v>
      </c>
      <c r="BP99" s="106">
        <v>18.557530582726958</v>
      </c>
      <c r="BQ99" s="106">
        <v>101724.95964227608</v>
      </c>
      <c r="BR99" s="106">
        <v>7.1725286269794735</v>
      </c>
      <c r="BS99" s="106">
        <v>39316.932921650681</v>
      </c>
      <c r="BT99" s="106">
        <v>0</v>
      </c>
      <c r="BU99" s="106">
        <v>0</v>
      </c>
      <c r="BV99" s="106">
        <v>11.925498116938284</v>
      </c>
      <c r="BW99" s="106">
        <v>65370.810477808889</v>
      </c>
      <c r="BX99" s="106">
        <v>8.7845116088745296</v>
      </c>
      <c r="BY99" s="106">
        <v>48153.178835206614</v>
      </c>
      <c r="BZ99" s="106">
        <v>0</v>
      </c>
      <c r="CA99" s="106">
        <v>0</v>
      </c>
      <c r="CB99" s="106">
        <v>11.728868112410662</v>
      </c>
      <c r="CC99" s="106">
        <v>64292.963444990281</v>
      </c>
      <c r="CD99" s="106">
        <v>6.1038156610099312</v>
      </c>
      <c r="CE99" s="106">
        <v>33458.675927392032</v>
      </c>
      <c r="CF99" s="106">
        <v>1.9644586765259497</v>
      </c>
      <c r="CG99" s="106">
        <v>10768.376681244645</v>
      </c>
      <c r="CH99" s="106">
        <v>2.3839792055891396</v>
      </c>
      <c r="CI99" s="106">
        <v>13068.020413357426</v>
      </c>
      <c r="CJ99" s="106">
        <v>2.2584270717144341</v>
      </c>
      <c r="CK99" s="106">
        <v>12379.79383630984</v>
      </c>
      <c r="CL99" s="106">
        <v>0</v>
      </c>
      <c r="CM99" s="106">
        <v>0</v>
      </c>
      <c r="CN99" s="106">
        <v>6.5224732538498982</v>
      </c>
      <c r="CO99" s="106">
        <v>35753.589388303597</v>
      </c>
      <c r="CP99" s="106">
        <v>6.7277124725595492</v>
      </c>
      <c r="CQ99" s="106">
        <v>36878.628689582423</v>
      </c>
      <c r="CR99" s="106">
        <v>7.2810242776627865</v>
      </c>
      <c r="CS99" s="106">
        <v>39911.662680436326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4.2335898426378078</v>
      </c>
      <c r="M100" s="106">
        <v>6868.5761606955784</v>
      </c>
      <c r="N100" s="106">
        <v>5.2592157251738119</v>
      </c>
      <c r="O100" s="106">
        <v>8532.5515925219916</v>
      </c>
      <c r="P100" s="106">
        <v>3.545890273429297</v>
      </c>
      <c r="Q100" s="106">
        <v>5752.8523796116906</v>
      </c>
      <c r="R100" s="106">
        <v>11.169778933491639</v>
      </c>
      <c r="S100" s="106">
        <v>18121.849341696834</v>
      </c>
      <c r="T100" s="106">
        <v>0</v>
      </c>
      <c r="U100" s="106">
        <v>0</v>
      </c>
      <c r="V100" s="106">
        <v>19.83385654911979</v>
      </c>
      <c r="W100" s="106">
        <v>32178.448865291946</v>
      </c>
      <c r="X100" s="106">
        <v>25.146222712106397</v>
      </c>
      <c r="Y100" s="106">
        <v>40797.231728121413</v>
      </c>
      <c r="Z100" s="106">
        <v>17.817673442739061</v>
      </c>
      <c r="AA100" s="106">
        <v>28907.393393499849</v>
      </c>
      <c r="AB100" s="106">
        <v>8.4331958456072798</v>
      </c>
      <c r="AC100" s="106">
        <v>13682.01693991325</v>
      </c>
      <c r="AD100" s="106">
        <v>0</v>
      </c>
      <c r="AE100" s="106">
        <v>0</v>
      </c>
      <c r="AF100" s="106">
        <v>22.038847262247835</v>
      </c>
      <c r="AG100" s="106">
        <v>35755.825798270882</v>
      </c>
      <c r="AH100" s="106">
        <v>8.4243663902245771</v>
      </c>
      <c r="AI100" s="106">
        <v>13667.692031500354</v>
      </c>
      <c r="AJ100" s="106">
        <v>0</v>
      </c>
      <c r="AK100" s="106">
        <v>0</v>
      </c>
      <c r="AL100" s="106">
        <v>41.453965087058123</v>
      </c>
      <c r="AM100" s="106">
        <v>67254.912957243097</v>
      </c>
      <c r="AN100" s="106">
        <v>42.924913297301444</v>
      </c>
      <c r="AO100" s="106">
        <v>69641.37933354186</v>
      </c>
      <c r="AP100" s="106">
        <v>45.276953357030131</v>
      </c>
      <c r="AQ100" s="106">
        <v>73457.329126445678</v>
      </c>
      <c r="AR100" s="106">
        <v>0</v>
      </c>
      <c r="AS100" s="106">
        <v>0</v>
      </c>
      <c r="AT100" s="106">
        <v>7.8646466341593806</v>
      </c>
      <c r="AU100" s="106">
        <v>12759.602699260178</v>
      </c>
      <c r="AV100" s="106">
        <v>3.4053105227110425</v>
      </c>
      <c r="AW100" s="106">
        <v>5524.7757920463946</v>
      </c>
      <c r="AX100" s="106">
        <v>3.7366819365778472</v>
      </c>
      <c r="AY100" s="106">
        <v>6062.3927739038991</v>
      </c>
      <c r="AZ100" s="106">
        <v>7.25839765601952</v>
      </c>
      <c r="BA100" s="106">
        <v>11776.024357126069</v>
      </c>
      <c r="BB100" s="106">
        <v>4.1039451674851284</v>
      </c>
      <c r="BC100" s="106">
        <v>6658.2406397278719</v>
      </c>
      <c r="BD100" s="106">
        <v>6.0561177077888306</v>
      </c>
      <c r="BE100" s="106">
        <v>9825.4453691165982</v>
      </c>
      <c r="BF100" s="106">
        <v>5.093026812317297</v>
      </c>
      <c r="BG100" s="106">
        <v>8262.926700303582</v>
      </c>
      <c r="BH100" s="106">
        <v>26.596932506253694</v>
      </c>
      <c r="BI100" s="106">
        <v>43150.863298145989</v>
      </c>
      <c r="BJ100" s="106">
        <v>0</v>
      </c>
      <c r="BK100" s="106">
        <v>0</v>
      </c>
      <c r="BL100" s="106">
        <v>23.173995609412131</v>
      </c>
      <c r="BM100" s="106">
        <v>37597.490476710242</v>
      </c>
      <c r="BN100" s="106">
        <v>19.22710956041476</v>
      </c>
      <c r="BO100" s="106">
        <v>31194.062550816903</v>
      </c>
      <c r="BP100" s="106">
        <v>29.532085910682078</v>
      </c>
      <c r="BQ100" s="106">
        <v>47912.856181490599</v>
      </c>
      <c r="BR100" s="106">
        <v>14.224370600360048</v>
      </c>
      <c r="BS100" s="106">
        <v>23077.618862024141</v>
      </c>
      <c r="BT100" s="106">
        <v>0</v>
      </c>
      <c r="BU100" s="106">
        <v>0</v>
      </c>
      <c r="BV100" s="106">
        <v>20.869621704641997</v>
      </c>
      <c r="BW100" s="106">
        <v>33858.874253611175</v>
      </c>
      <c r="BX100" s="106">
        <v>18.479671090709267</v>
      </c>
      <c r="BY100" s="106">
        <v>29981.418377566712</v>
      </c>
      <c r="BZ100" s="106">
        <v>0</v>
      </c>
      <c r="CA100" s="106">
        <v>0</v>
      </c>
      <c r="CB100" s="106">
        <v>25.02158530647608</v>
      </c>
      <c r="CC100" s="106">
        <v>40595.020001226789</v>
      </c>
      <c r="CD100" s="106">
        <v>11.9101473650048</v>
      </c>
      <c r="CE100" s="106">
        <v>19323.023084983786</v>
      </c>
      <c r="CF100" s="106">
        <v>3.5065352195728416</v>
      </c>
      <c r="CG100" s="106">
        <v>5689.0027402349779</v>
      </c>
      <c r="CH100" s="106">
        <v>3.9636449267308653</v>
      </c>
      <c r="CI100" s="106">
        <v>6430.6175291281552</v>
      </c>
      <c r="CJ100" s="106">
        <v>3.8447200076428474</v>
      </c>
      <c r="CK100" s="106">
        <v>6237.6737403997549</v>
      </c>
      <c r="CL100" s="106">
        <v>0</v>
      </c>
      <c r="CM100" s="106">
        <v>0</v>
      </c>
      <c r="CN100" s="106">
        <v>9.7837098807748486</v>
      </c>
      <c r="CO100" s="106">
        <v>15873.090910569113</v>
      </c>
      <c r="CP100" s="106">
        <v>13.241824815650258</v>
      </c>
      <c r="CQ100" s="106">
        <v>21483.536580910975</v>
      </c>
      <c r="CR100" s="106">
        <v>12.550963594794021</v>
      </c>
      <c r="CS100" s="106">
        <v>20362.683336193819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3.8303908100056354</v>
      </c>
      <c r="M101" s="106">
        <v>4559.6972202307079</v>
      </c>
      <c r="N101" s="106">
        <v>5.9216193602067992</v>
      </c>
      <c r="O101" s="106">
        <v>7049.0956863901729</v>
      </c>
      <c r="P101" s="106">
        <v>3.7869473745973399</v>
      </c>
      <c r="Q101" s="106">
        <v>4507.982154720673</v>
      </c>
      <c r="R101" s="106">
        <v>11.085299643762042</v>
      </c>
      <c r="S101" s="106">
        <v>13195.940695934332</v>
      </c>
      <c r="T101" s="106">
        <v>0</v>
      </c>
      <c r="U101" s="106">
        <v>0</v>
      </c>
      <c r="V101" s="106">
        <v>25.194358319152165</v>
      </c>
      <c r="W101" s="106">
        <v>29991.364143118735</v>
      </c>
      <c r="X101" s="106">
        <v>25.759383476337572</v>
      </c>
      <c r="Y101" s="106">
        <v>30663.97009023224</v>
      </c>
      <c r="Z101" s="106">
        <v>17.369749006199125</v>
      </c>
      <c r="AA101" s="106">
        <v>20676.949216979436</v>
      </c>
      <c r="AB101" s="106">
        <v>9.7035144018974293</v>
      </c>
      <c r="AC101" s="106">
        <v>11551.063544018698</v>
      </c>
      <c r="AD101" s="106">
        <v>0</v>
      </c>
      <c r="AE101" s="106">
        <v>0</v>
      </c>
      <c r="AF101" s="106">
        <v>24.48760806916426</v>
      </c>
      <c r="AG101" s="106">
        <v>29150.04864553313</v>
      </c>
      <c r="AH101" s="106">
        <v>9.2957696724345951</v>
      </c>
      <c r="AI101" s="106">
        <v>11065.684218066141</v>
      </c>
      <c r="AJ101" s="106">
        <v>0</v>
      </c>
      <c r="AK101" s="106">
        <v>0</v>
      </c>
      <c r="AL101" s="106">
        <v>46.780452221149396</v>
      </c>
      <c r="AM101" s="106">
        <v>55687.450324056234</v>
      </c>
      <c r="AN101" s="106">
        <v>51.510815941840974</v>
      </c>
      <c r="AO101" s="106">
        <v>61318.47529716749</v>
      </c>
      <c r="AP101" s="106">
        <v>46.365124534520263</v>
      </c>
      <c r="AQ101" s="106">
        <v>55193.044245892917</v>
      </c>
      <c r="AR101" s="106">
        <v>0</v>
      </c>
      <c r="AS101" s="106">
        <v>0</v>
      </c>
      <c r="AT101" s="106">
        <v>8.6925041745972109</v>
      </c>
      <c r="AU101" s="106">
        <v>10347.556969440519</v>
      </c>
      <c r="AV101" s="106">
        <v>1.9286911291122866</v>
      </c>
      <c r="AW101" s="106">
        <v>2295.9139200952659</v>
      </c>
      <c r="AX101" s="106">
        <v>4.1003560665933687</v>
      </c>
      <c r="AY101" s="106">
        <v>4881.0638616727456</v>
      </c>
      <c r="AZ101" s="106">
        <v>8.0258186740751452</v>
      </c>
      <c r="BA101" s="106">
        <v>9553.9345496190508</v>
      </c>
      <c r="BB101" s="106">
        <v>4.6459756613039183</v>
      </c>
      <c r="BC101" s="106">
        <v>5530.5694272161836</v>
      </c>
      <c r="BD101" s="106">
        <v>5.647495455577543</v>
      </c>
      <c r="BE101" s="106">
        <v>6722.7785903195063</v>
      </c>
      <c r="BF101" s="106">
        <v>4.7828055604819397</v>
      </c>
      <c r="BG101" s="106">
        <v>5693.4517391977006</v>
      </c>
      <c r="BH101" s="106">
        <v>27.144226691460393</v>
      </c>
      <c r="BI101" s="106">
        <v>32312.487453514448</v>
      </c>
      <c r="BJ101" s="106">
        <v>0</v>
      </c>
      <c r="BK101" s="106">
        <v>0</v>
      </c>
      <c r="BL101" s="106">
        <v>25.329716131217911</v>
      </c>
      <c r="BM101" s="106">
        <v>30152.494082601799</v>
      </c>
      <c r="BN101" s="106">
        <v>23.501030285461965</v>
      </c>
      <c r="BO101" s="106">
        <v>27975.626451813921</v>
      </c>
      <c r="BP101" s="106">
        <v>33.591008797395659</v>
      </c>
      <c r="BQ101" s="106">
        <v>39986.736872419788</v>
      </c>
      <c r="BR101" s="106">
        <v>14.095996867663031</v>
      </c>
      <c r="BS101" s="106">
        <v>16779.874671266069</v>
      </c>
      <c r="BT101" s="106">
        <v>0</v>
      </c>
      <c r="BU101" s="106">
        <v>0</v>
      </c>
      <c r="BV101" s="106">
        <v>19.875830194897137</v>
      </c>
      <c r="BW101" s="106">
        <v>23660.188264005548</v>
      </c>
      <c r="BX101" s="106">
        <v>19.213423846044098</v>
      </c>
      <c r="BY101" s="106">
        <v>22871.65974633089</v>
      </c>
      <c r="BZ101" s="106">
        <v>0</v>
      </c>
      <c r="CA101" s="106">
        <v>0</v>
      </c>
      <c r="CB101" s="106">
        <v>28.540245740199275</v>
      </c>
      <c r="CC101" s="106">
        <v>33974.30852913321</v>
      </c>
      <c r="CD101" s="106">
        <v>13.278710346736016</v>
      </c>
      <c r="CE101" s="106">
        <v>15806.976796754552</v>
      </c>
      <c r="CF101" s="106">
        <v>2.5634151583634561</v>
      </c>
      <c r="CG101" s="106">
        <v>3051.489404515858</v>
      </c>
      <c r="CH101" s="106">
        <v>4.626030742149986</v>
      </c>
      <c r="CI101" s="106">
        <v>5506.8269954553425</v>
      </c>
      <c r="CJ101" s="106">
        <v>4.0930909402156503</v>
      </c>
      <c r="CK101" s="106">
        <v>4872.41545523271</v>
      </c>
      <c r="CL101" s="106">
        <v>0</v>
      </c>
      <c r="CM101" s="106">
        <v>0</v>
      </c>
      <c r="CN101" s="106">
        <v>11.647273667589104</v>
      </c>
      <c r="CO101" s="106">
        <v>13864.914573898068</v>
      </c>
      <c r="CP101" s="106">
        <v>15.227194396501439</v>
      </c>
      <c r="CQ101" s="106">
        <v>18126.452209595311</v>
      </c>
      <c r="CR101" s="106">
        <v>13.83884498557137</v>
      </c>
      <c r="CS101" s="106">
        <v>16473.761070824155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3.8303908100056354</v>
      </c>
      <c r="M102" s="106">
        <v>7427.8938587629273</v>
      </c>
      <c r="N102" s="106">
        <v>5.4370312592010102</v>
      </c>
      <c r="O102" s="106">
        <v>10543.491017842598</v>
      </c>
      <c r="P102" s="106">
        <v>3.0893445698864741</v>
      </c>
      <c r="Q102" s="106">
        <v>5990.8569899238501</v>
      </c>
      <c r="R102" s="106">
        <v>11.135843204107381</v>
      </c>
      <c r="S102" s="106">
        <v>21594.627141405032</v>
      </c>
      <c r="T102" s="106">
        <v>0</v>
      </c>
      <c r="U102" s="106">
        <v>0</v>
      </c>
      <c r="V102" s="106">
        <v>22.51410743413598</v>
      </c>
      <c r="W102" s="106">
        <v>43659.357136276485</v>
      </c>
      <c r="X102" s="106">
        <v>22.503479828477566</v>
      </c>
      <c r="Y102" s="106">
        <v>43638.748083383689</v>
      </c>
      <c r="Z102" s="106">
        <v>15.170486433271916</v>
      </c>
      <c r="AA102" s="106">
        <v>29418.607291400898</v>
      </c>
      <c r="AB102" s="106">
        <v>8.4994148710535189</v>
      </c>
      <c r="AC102" s="106">
        <v>16482.065317946981</v>
      </c>
      <c r="AD102" s="106">
        <v>0</v>
      </c>
      <c r="AE102" s="106">
        <v>0</v>
      </c>
      <c r="AF102" s="106">
        <v>22.038847262247835</v>
      </c>
      <c r="AG102" s="106">
        <v>42737.732610950996</v>
      </c>
      <c r="AH102" s="106">
        <v>7.961998440963959</v>
      </c>
      <c r="AI102" s="106">
        <v>15439.907376717309</v>
      </c>
      <c r="AJ102" s="106">
        <v>0</v>
      </c>
      <c r="AK102" s="106">
        <v>0</v>
      </c>
      <c r="AL102" s="106">
        <v>39.3696875128485</v>
      </c>
      <c r="AM102" s="106">
        <v>76345.698024915808</v>
      </c>
      <c r="AN102" s="106">
        <v>45.764259978963203</v>
      </c>
      <c r="AO102" s="106">
        <v>88746.052951205435</v>
      </c>
      <c r="AP102" s="106">
        <v>39.51790013087583</v>
      </c>
      <c r="AQ102" s="106">
        <v>76633.111933794396</v>
      </c>
      <c r="AR102" s="106">
        <v>0</v>
      </c>
      <c r="AS102" s="106">
        <v>0</v>
      </c>
      <c r="AT102" s="106">
        <v>7.4507178639404659</v>
      </c>
      <c r="AU102" s="106">
        <v>14448.43208175335</v>
      </c>
      <c r="AV102" s="106">
        <v>1.7803302730267261</v>
      </c>
      <c r="AW102" s="106">
        <v>3452.416465453427</v>
      </c>
      <c r="AX102" s="106">
        <v>3.6016428307615871</v>
      </c>
      <c r="AY102" s="106">
        <v>6984.3057774128692</v>
      </c>
      <c r="AZ102" s="106">
        <v>6.5638929584364458</v>
      </c>
      <c r="BA102" s="106">
        <v>12728.701224999955</v>
      </c>
      <c r="BB102" s="106">
        <v>3.6393476013547366</v>
      </c>
      <c r="BC102" s="106">
        <v>7057.4228685471044</v>
      </c>
      <c r="BD102" s="106">
        <v>5.131106208194355</v>
      </c>
      <c r="BE102" s="106">
        <v>9950.241158930492</v>
      </c>
      <c r="BF102" s="106">
        <v>4.3833032391185851</v>
      </c>
      <c r="BG102" s="106">
        <v>8500.1016412987592</v>
      </c>
      <c r="BH102" s="106">
        <v>22.884303097615984</v>
      </c>
      <c r="BI102" s="106">
        <v>44377.240566896915</v>
      </c>
      <c r="BJ102" s="106">
        <v>0</v>
      </c>
      <c r="BK102" s="106">
        <v>0</v>
      </c>
      <c r="BL102" s="106">
        <v>17.78469430489768</v>
      </c>
      <c r="BM102" s="106">
        <v>34488.079196057581</v>
      </c>
      <c r="BN102" s="106">
        <v>18.394502322482893</v>
      </c>
      <c r="BO102" s="106">
        <v>35670.618903758819</v>
      </c>
      <c r="BP102" s="106">
        <v>31.953694279307189</v>
      </c>
      <c r="BQ102" s="106">
        <v>61964.603946432493</v>
      </c>
      <c r="BR102" s="106">
        <v>13.452334715135571</v>
      </c>
      <c r="BS102" s="106">
        <v>26086.767479590897</v>
      </c>
      <c r="BT102" s="106">
        <v>0</v>
      </c>
      <c r="BU102" s="106">
        <v>0</v>
      </c>
      <c r="BV102" s="106">
        <v>17.888247175407425</v>
      </c>
      <c r="BW102" s="106">
        <v>34688.888922550075</v>
      </c>
      <c r="BX102" s="106">
        <v>15.236939123056942</v>
      </c>
      <c r="BY102" s="106">
        <v>29547.47234743202</v>
      </c>
      <c r="BZ102" s="106">
        <v>0</v>
      </c>
      <c r="CA102" s="106">
        <v>0</v>
      </c>
      <c r="CB102" s="106">
        <v>24.630623036062389</v>
      </c>
      <c r="CC102" s="106">
        <v>47763.704191532182</v>
      </c>
      <c r="CD102" s="106">
        <v>11.71422230130637</v>
      </c>
      <c r="CE102" s="106">
        <v>22716.21988669331</v>
      </c>
      <c r="CF102" s="106">
        <v>2.5486279395407299</v>
      </c>
      <c r="CG102" s="106">
        <v>4942.2993003573829</v>
      </c>
      <c r="CH102" s="106">
        <v>3.5929875439176664</v>
      </c>
      <c r="CI102" s="106">
        <v>6967.5214451651382</v>
      </c>
      <c r="CJ102" s="106">
        <v>3.6188506393253892</v>
      </c>
      <c r="CK102" s="106">
        <v>7017.6751597797938</v>
      </c>
      <c r="CL102" s="106">
        <v>0</v>
      </c>
      <c r="CM102" s="106">
        <v>0</v>
      </c>
      <c r="CN102" s="106">
        <v>10.249600827478414</v>
      </c>
      <c r="CO102" s="106">
        <v>19876.025924646139</v>
      </c>
      <c r="CP102" s="106">
        <v>12.176344404438565</v>
      </c>
      <c r="CQ102" s="106">
        <v>23612.367069087264</v>
      </c>
      <c r="CR102" s="106">
        <v>12.609266452704048</v>
      </c>
      <c r="CS102" s="106">
        <v>24451.889505083687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4.0319903263217212</v>
      </c>
      <c r="M103" s="106">
        <v>8176.8763817804502</v>
      </c>
      <c r="N103" s="106">
        <v>5.1117008617505455</v>
      </c>
      <c r="O103" s="106">
        <v>10366.529347630107</v>
      </c>
      <c r="P103" s="106">
        <v>3.0873706123450715</v>
      </c>
      <c r="Q103" s="106">
        <v>6261.1876018358053</v>
      </c>
      <c r="R103" s="106">
        <v>10.736335192985502</v>
      </c>
      <c r="S103" s="106">
        <v>21773.287771374598</v>
      </c>
      <c r="T103" s="106">
        <v>0</v>
      </c>
      <c r="U103" s="106">
        <v>0</v>
      </c>
      <c r="V103" s="106">
        <v>20.905956903126267</v>
      </c>
      <c r="W103" s="106">
        <v>42397.28059954007</v>
      </c>
      <c r="X103" s="106">
        <v>22.532173845784964</v>
      </c>
      <c r="Y103" s="106">
        <v>45695.248559251908</v>
      </c>
      <c r="Z103" s="106">
        <v>16.469842533480868</v>
      </c>
      <c r="AA103" s="106">
        <v>33400.8406578992</v>
      </c>
      <c r="AB103" s="106">
        <v>7.9187052398893556</v>
      </c>
      <c r="AC103" s="106">
        <v>16059.134226495613</v>
      </c>
      <c r="AD103" s="106">
        <v>0</v>
      </c>
      <c r="AE103" s="106">
        <v>0</v>
      </c>
      <c r="AF103" s="106">
        <v>20.814466858789622</v>
      </c>
      <c r="AG103" s="106">
        <v>42211.738789625357</v>
      </c>
      <c r="AH103" s="106">
        <v>8.218589752496996</v>
      </c>
      <c r="AI103" s="106">
        <v>16667.300018063906</v>
      </c>
      <c r="AJ103" s="106">
        <v>0</v>
      </c>
      <c r="AK103" s="106">
        <v>0</v>
      </c>
      <c r="AL103" s="106">
        <v>40.064446704251708</v>
      </c>
      <c r="AM103" s="106">
        <v>81250.69791622246</v>
      </c>
      <c r="AN103" s="106">
        <v>40.945323426400989</v>
      </c>
      <c r="AO103" s="106">
        <v>83037.115908741209</v>
      </c>
      <c r="AP103" s="106">
        <v>38.278445530587653</v>
      </c>
      <c r="AQ103" s="106">
        <v>77628.687536031764</v>
      </c>
      <c r="AR103" s="106">
        <v>0</v>
      </c>
      <c r="AS103" s="106">
        <v>0</v>
      </c>
      <c r="AT103" s="106">
        <v>6.6228603235026355</v>
      </c>
      <c r="AU103" s="106">
        <v>13431.160736063344</v>
      </c>
      <c r="AV103" s="106">
        <v>2.0770519851978473</v>
      </c>
      <c r="AW103" s="106">
        <v>4212.2614259812344</v>
      </c>
      <c r="AX103" s="106">
        <v>3.5255961470753991</v>
      </c>
      <c r="AY103" s="106">
        <v>7149.9089862689098</v>
      </c>
      <c r="AZ103" s="106">
        <v>7.113417178952254</v>
      </c>
      <c r="BA103" s="106">
        <v>14426.01003891517</v>
      </c>
      <c r="BB103" s="106">
        <v>3.7167805290431346</v>
      </c>
      <c r="BC103" s="106">
        <v>7537.6309128994772</v>
      </c>
      <c r="BD103" s="106">
        <v>5.1974104706045328</v>
      </c>
      <c r="BE103" s="106">
        <v>10540.348434385993</v>
      </c>
      <c r="BF103" s="106">
        <v>4.3166252484116665</v>
      </c>
      <c r="BG103" s="106">
        <v>8754.1160037788595</v>
      </c>
      <c r="BH103" s="106">
        <v>25.143319906804336</v>
      </c>
      <c r="BI103" s="106">
        <v>50990.652770999193</v>
      </c>
      <c r="BJ103" s="106">
        <v>0</v>
      </c>
      <c r="BK103" s="106">
        <v>0</v>
      </c>
      <c r="BL103" s="106">
        <v>19.940414826703464</v>
      </c>
      <c r="BM103" s="106">
        <v>40439.161268554621</v>
      </c>
      <c r="BN103" s="106">
        <v>18.970282321612682</v>
      </c>
      <c r="BO103" s="106">
        <v>38471.732548230517</v>
      </c>
      <c r="BP103" s="106">
        <v>27.727935689211016</v>
      </c>
      <c r="BQ103" s="106">
        <v>56232.253577719937</v>
      </c>
      <c r="BR103" s="106">
        <v>13.170732523404807</v>
      </c>
      <c r="BS103" s="106">
        <v>26710.245557464947</v>
      </c>
      <c r="BT103" s="106">
        <v>0</v>
      </c>
      <c r="BU103" s="106">
        <v>0</v>
      </c>
      <c r="BV103" s="106">
        <v>17.888247175407425</v>
      </c>
      <c r="BW103" s="106">
        <v>36277.365271726259</v>
      </c>
      <c r="BX103" s="106">
        <v>15.545284547206947</v>
      </c>
      <c r="BY103" s="106">
        <v>31525.837061735689</v>
      </c>
      <c r="BZ103" s="106">
        <v>0</v>
      </c>
      <c r="CA103" s="106">
        <v>0</v>
      </c>
      <c r="CB103" s="106">
        <v>24.630623036062389</v>
      </c>
      <c r="CC103" s="106">
        <v>49950.903517134524</v>
      </c>
      <c r="CD103" s="106">
        <v>11.609067046522316</v>
      </c>
      <c r="CE103" s="106">
        <v>23543.187970347259</v>
      </c>
      <c r="CF103" s="106">
        <v>2.2728888291671114</v>
      </c>
      <c r="CG103" s="106">
        <v>4609.4185455509023</v>
      </c>
      <c r="CH103" s="106">
        <v>3.8668847536983013</v>
      </c>
      <c r="CI103" s="106">
        <v>7842.0422805001554</v>
      </c>
      <c r="CJ103" s="106">
        <v>3.7884346448891151</v>
      </c>
      <c r="CK103" s="106">
        <v>7682.9454598351258</v>
      </c>
      <c r="CL103" s="106">
        <v>0</v>
      </c>
      <c r="CM103" s="106">
        <v>0</v>
      </c>
      <c r="CN103" s="106">
        <v>10.249600827478414</v>
      </c>
      <c r="CO103" s="106">
        <v>20786.190478126224</v>
      </c>
      <c r="CP103" s="106">
        <v>12.122233276812715</v>
      </c>
      <c r="CQ103" s="106">
        <v>24583.889085376184</v>
      </c>
      <c r="CR103" s="106">
        <v>12.063888074639051</v>
      </c>
      <c r="CS103" s="106">
        <v>24465.565015367996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3.6287912936895492</v>
      </c>
      <c r="M104" s="106">
        <v>7520.3070770422219</v>
      </c>
      <c r="N104" s="106">
        <v>5.4593662098456912</v>
      </c>
      <c r="O104" s="106">
        <v>11313.990533284212</v>
      </c>
      <c r="P104" s="106">
        <v>3.1405745167179671</v>
      </c>
      <c r="Q104" s="106">
        <v>6508.526628446315</v>
      </c>
      <c r="R104" s="106">
        <v>10.101889872415725</v>
      </c>
      <c r="S104" s="106">
        <v>20935.156571594351</v>
      </c>
      <c r="T104" s="106">
        <v>0</v>
      </c>
      <c r="U104" s="106">
        <v>0</v>
      </c>
      <c r="V104" s="106">
        <v>21.97805725713274</v>
      </c>
      <c r="W104" s="106">
        <v>45547.325859681892</v>
      </c>
      <c r="X104" s="106">
        <v>22.086131074348501</v>
      </c>
      <c r="Y104" s="106">
        <v>45771.298038479836</v>
      </c>
      <c r="Z104" s="106">
        <v>16.033786555916357</v>
      </c>
      <c r="AA104" s="106">
        <v>33228.419258481059</v>
      </c>
      <c r="AB104" s="106">
        <v>7.4728499059358962</v>
      </c>
      <c r="AC104" s="106">
        <v>15486.734145061551</v>
      </c>
      <c r="AD104" s="106">
        <v>0</v>
      </c>
      <c r="AE104" s="106">
        <v>0</v>
      </c>
      <c r="AF104" s="106">
        <v>18.977896253602303</v>
      </c>
      <c r="AG104" s="106">
        <v>39329.792195965412</v>
      </c>
      <c r="AH104" s="106">
        <v>8.1423677417888118</v>
      </c>
      <c r="AI104" s="106">
        <v>16874.242908083135</v>
      </c>
      <c r="AJ104" s="106">
        <v>0</v>
      </c>
      <c r="AK104" s="106">
        <v>0</v>
      </c>
      <c r="AL104" s="106">
        <v>40.759205895654915</v>
      </c>
      <c r="AM104" s="106">
        <v>84469.37829815525</v>
      </c>
      <c r="AN104" s="106">
        <v>40.68467825035453</v>
      </c>
      <c r="AO104" s="106">
        <v>84314.927206034728</v>
      </c>
      <c r="AP104" s="106">
        <v>34.743018883890926</v>
      </c>
      <c r="AQ104" s="106">
        <v>72001.432334975558</v>
      </c>
      <c r="AR104" s="106">
        <v>0</v>
      </c>
      <c r="AS104" s="106">
        <v>0</v>
      </c>
      <c r="AT104" s="106">
        <v>7.4507178639404659</v>
      </c>
      <c r="AU104" s="106">
        <v>15440.867701230221</v>
      </c>
      <c r="AV104" s="106">
        <v>3.0738030751713721</v>
      </c>
      <c r="AW104" s="106">
        <v>6370.1494929851515</v>
      </c>
      <c r="AX104" s="106">
        <v>3.443699718490274</v>
      </c>
      <c r="AY104" s="106">
        <v>7136.7232965992443</v>
      </c>
      <c r="AZ104" s="106">
        <v>6.3980792469484493</v>
      </c>
      <c r="BA104" s="106">
        <v>13259.379431375966</v>
      </c>
      <c r="BB104" s="106">
        <v>4.4051895372707435</v>
      </c>
      <c r="BC104" s="106">
        <v>9129.3147970398895</v>
      </c>
      <c r="BD104" s="106">
        <v>5.416097662147429</v>
      </c>
      <c r="BE104" s="106">
        <v>11224.320795034333</v>
      </c>
      <c r="BF104" s="106">
        <v>4.0981060446813764</v>
      </c>
      <c r="BG104" s="106">
        <v>8492.914966997685</v>
      </c>
      <c r="BH104" s="106">
        <v>24.725302709151862</v>
      </c>
      <c r="BI104" s="106">
        <v>51240.717334446323</v>
      </c>
      <c r="BJ104" s="106">
        <v>0</v>
      </c>
      <c r="BK104" s="106">
        <v>0</v>
      </c>
      <c r="BL104" s="106">
        <v>18.862554565800572</v>
      </c>
      <c r="BM104" s="106">
        <v>39090.758082165106</v>
      </c>
      <c r="BN104" s="106">
        <v>17.440780101631841</v>
      </c>
      <c r="BO104" s="106">
        <v>36144.272682621828</v>
      </c>
      <c r="BP104" s="106">
        <v>30.158134909963039</v>
      </c>
      <c r="BQ104" s="106">
        <v>62499.718787407401</v>
      </c>
      <c r="BR104" s="106">
        <v>13.291419177003705</v>
      </c>
      <c r="BS104" s="106">
        <v>27545.137102422479</v>
      </c>
      <c r="BT104" s="106">
        <v>0</v>
      </c>
      <c r="BU104" s="106">
        <v>0</v>
      </c>
      <c r="BV104" s="106">
        <v>16.894455665662569</v>
      </c>
      <c r="BW104" s="106">
        <v>35012.069921519113</v>
      </c>
      <c r="BX104" s="106">
        <v>15.205570472527514</v>
      </c>
      <c r="BY104" s="106">
        <v>31512.024247266021</v>
      </c>
      <c r="BZ104" s="106">
        <v>0</v>
      </c>
      <c r="CA104" s="106">
        <v>0</v>
      </c>
      <c r="CB104" s="106">
        <v>23.066773954407633</v>
      </c>
      <c r="CC104" s="106">
        <v>47803.58234311438</v>
      </c>
      <c r="CD104" s="106">
        <v>11.259005462115226</v>
      </c>
      <c r="CE104" s="106">
        <v>23333.162919687595</v>
      </c>
      <c r="CF104" s="106">
        <v>2.4107583843539211</v>
      </c>
      <c r="CG104" s="106">
        <v>4996.055675735066</v>
      </c>
      <c r="CH104" s="106">
        <v>3.4707990703668417</v>
      </c>
      <c r="CI104" s="106">
        <v>7192.8839934282432</v>
      </c>
      <c r="CJ104" s="106">
        <v>3.9488422430806747</v>
      </c>
      <c r="CK104" s="106">
        <v>8183.5806645603907</v>
      </c>
      <c r="CL104" s="106">
        <v>0</v>
      </c>
      <c r="CM104" s="106">
        <v>0</v>
      </c>
      <c r="CN104" s="106">
        <v>9.3178189340712851</v>
      </c>
      <c r="CO104" s="106">
        <v>19310.247958969332</v>
      </c>
      <c r="CP104" s="106">
        <v>12.122233276812715</v>
      </c>
      <c r="CQ104" s="106">
        <v>25122.116242866672</v>
      </c>
      <c r="CR104" s="106">
        <v>10.841442987166573</v>
      </c>
      <c r="CS104" s="106">
        <v>22467.806446604009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3.6287912936895492</v>
      </c>
      <c r="M105" s="106">
        <v>7250.325004791719</v>
      </c>
      <c r="N105" s="106">
        <v>5.0514580007272931</v>
      </c>
      <c r="O105" s="106">
        <v>10092.813085453132</v>
      </c>
      <c r="P105" s="106">
        <v>3.1645445255158782</v>
      </c>
      <c r="Q105" s="106">
        <v>6322.7599619807243</v>
      </c>
      <c r="R105" s="106">
        <v>10.691587466216118</v>
      </c>
      <c r="S105" s="106">
        <v>21361.791757499803</v>
      </c>
      <c r="T105" s="106">
        <v>0</v>
      </c>
      <c r="U105" s="106">
        <v>0</v>
      </c>
      <c r="V105" s="106">
        <v>20.369906726123027</v>
      </c>
      <c r="W105" s="106">
        <v>40699.073638793809</v>
      </c>
      <c r="X105" s="106">
        <v>24.221867515473082</v>
      </c>
      <c r="Y105" s="106">
        <v>48395.291295915216</v>
      </c>
      <c r="Z105" s="106">
        <v>15.259164790943393</v>
      </c>
      <c r="AA105" s="106">
        <v>30487.811252304899</v>
      </c>
      <c r="AB105" s="106">
        <v>7.7280448793303096</v>
      </c>
      <c r="AC105" s="106">
        <v>15440.633668901959</v>
      </c>
      <c r="AD105" s="106">
        <v>0</v>
      </c>
      <c r="AE105" s="106">
        <v>0</v>
      </c>
      <c r="AF105" s="106">
        <v>22.038847262247835</v>
      </c>
      <c r="AG105" s="106">
        <v>44033.616829971172</v>
      </c>
      <c r="AH105" s="106">
        <v>7.9747021094153245</v>
      </c>
      <c r="AI105" s="106">
        <v>15933.454814611818</v>
      </c>
      <c r="AJ105" s="106">
        <v>0</v>
      </c>
      <c r="AK105" s="106">
        <v>0</v>
      </c>
      <c r="AL105" s="106">
        <v>40.064446704251708</v>
      </c>
      <c r="AM105" s="106">
        <v>80048.76451509491</v>
      </c>
      <c r="AN105" s="106">
        <v>37.96126116200621</v>
      </c>
      <c r="AO105" s="106">
        <v>75846.599801688411</v>
      </c>
      <c r="AP105" s="106">
        <v>38.073568851265343</v>
      </c>
      <c r="AQ105" s="106">
        <v>76070.990564828156</v>
      </c>
      <c r="AR105" s="106">
        <v>0</v>
      </c>
      <c r="AS105" s="106">
        <v>0</v>
      </c>
      <c r="AT105" s="106">
        <v>7.8646466341593806</v>
      </c>
      <c r="AU105" s="106">
        <v>15713.563975050442</v>
      </c>
      <c r="AV105" s="106">
        <v>1.9286911291122866</v>
      </c>
      <c r="AW105" s="106">
        <v>3853.5248759663486</v>
      </c>
      <c r="AX105" s="106">
        <v>3.5080469123785862</v>
      </c>
      <c r="AY105" s="106">
        <v>7009.0777309324149</v>
      </c>
      <c r="AZ105" s="106">
        <v>7.4242113675075156</v>
      </c>
      <c r="BA105" s="106">
        <v>14833.574312280016</v>
      </c>
      <c r="BB105" s="106">
        <v>3.8594057482107011</v>
      </c>
      <c r="BC105" s="106">
        <v>7711.0926849249809</v>
      </c>
      <c r="BD105" s="106">
        <v>5.0015680792859394</v>
      </c>
      <c r="BE105" s="106">
        <v>9993.1330224133071</v>
      </c>
      <c r="BF105" s="106">
        <v>4.3356761028993569</v>
      </c>
      <c r="BG105" s="106">
        <v>8662.6808535929158</v>
      </c>
      <c r="BH105" s="106">
        <v>24.691667742156067</v>
      </c>
      <c r="BI105" s="106">
        <v>49333.952148827819</v>
      </c>
      <c r="BJ105" s="106">
        <v>0</v>
      </c>
      <c r="BK105" s="106">
        <v>0</v>
      </c>
      <c r="BL105" s="106">
        <v>17.78469430489768</v>
      </c>
      <c r="BM105" s="106">
        <v>35533.819221185564</v>
      </c>
      <c r="BN105" s="106">
        <v>19.074636870776441</v>
      </c>
      <c r="BO105" s="106">
        <v>38111.124467811329</v>
      </c>
      <c r="BP105" s="106">
        <v>31.552956501911972</v>
      </c>
      <c r="BQ105" s="106">
        <v>63042.807090820119</v>
      </c>
      <c r="BR105" s="106">
        <v>12.841214368042959</v>
      </c>
      <c r="BS105" s="106">
        <v>25656.746307349833</v>
      </c>
      <c r="BT105" s="106">
        <v>0</v>
      </c>
      <c r="BU105" s="106">
        <v>0</v>
      </c>
      <c r="BV105" s="106">
        <v>16.894455665662569</v>
      </c>
      <c r="BW105" s="106">
        <v>33755.122419993815</v>
      </c>
      <c r="BX105" s="106">
        <v>17.271748322043504</v>
      </c>
      <c r="BY105" s="106">
        <v>34508.953147442917</v>
      </c>
      <c r="BZ105" s="106">
        <v>0</v>
      </c>
      <c r="CA105" s="106">
        <v>0</v>
      </c>
      <c r="CB105" s="106">
        <v>25.02158530647608</v>
      </c>
      <c r="CC105" s="106">
        <v>49993.12744233921</v>
      </c>
      <c r="CD105" s="106">
        <v>11.934637997967101</v>
      </c>
      <c r="CE105" s="106">
        <v>23845.40671993827</v>
      </c>
      <c r="CF105" s="106">
        <v>2.2433143915216598</v>
      </c>
      <c r="CG105" s="106">
        <v>4482.1421542602766</v>
      </c>
      <c r="CH105" s="106">
        <v>3.491254815521502</v>
      </c>
      <c r="CI105" s="106">
        <v>6975.5271214119612</v>
      </c>
      <c r="CJ105" s="106">
        <v>3.7915110194071016</v>
      </c>
      <c r="CK105" s="106">
        <v>7575.4390167753891</v>
      </c>
      <c r="CL105" s="106">
        <v>0</v>
      </c>
      <c r="CM105" s="106">
        <v>0</v>
      </c>
      <c r="CN105" s="106">
        <v>8.8519279873677199</v>
      </c>
      <c r="CO105" s="106">
        <v>17686.152118760703</v>
      </c>
      <c r="CP105" s="106">
        <v>11.589493071206869</v>
      </c>
      <c r="CQ105" s="106">
        <v>23155.807156271323</v>
      </c>
      <c r="CR105" s="106">
        <v>11.071075988457098</v>
      </c>
      <c r="CS105" s="106">
        <v>22120.009824937282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93.023778219620539</v>
      </c>
      <c r="F109" s="106">
        <f>SUM(T$6:T$19)+SUM(V$6:V$19)+SUM(X$6:X$19)+SUM(Z$6:Z$19)</f>
        <v>236.71594925158652</v>
      </c>
      <c r="G109" s="106">
        <f>SUM(AB$6:AB$19)+SUM(AD$6:AD$19)+SUM(AF$6:AF$19)+SUM(AH$6:AH$19)</f>
        <v>687.49201369065725</v>
      </c>
      <c r="H109" s="106">
        <f>SUM(AJ$6:AJ$19)+SUM(AL$6:AL$19)+SUM(AN$6:AN$19)+SUM(AP$6:AP$19)</f>
        <v>144.95247209031649</v>
      </c>
      <c r="I109" s="106">
        <f>SUM(AR$6:AR$19)+SUM(AT$6:AT$19)+SUM(AV$6:AV$19)+SUM(AX$6:AX$19)</f>
        <v>378.85823009669753</v>
      </c>
      <c r="J109" s="106">
        <f>SUM(AZ$6:AZ$19)+SUM(BB$6:BB$19)+SUM(BD$6:BD$19)+SUM(BF$6:BF$19)</f>
        <v>511.04686845369002</v>
      </c>
      <c r="K109" s="106">
        <f>SUM(BH$6:BH$19)+SUM(BJ$6:BJ$19)+SUM(BL$6:BL$19)+SUM(BN$6:BN$19)</f>
        <v>160.84644297529957</v>
      </c>
      <c r="L109" s="106">
        <f>SUM(BP$6:BP$19)+SUM(BR$6:BR$19)+SUM(BT$6:BT$19)+SUM(BV$6:BV$19)</f>
        <v>991.26349034597615</v>
      </c>
      <c r="M109" s="106">
        <f>SUM(BX$6:BX$19)+SUM(BZ$6:BZ$19)+SUM(CB$6:CB$19)+SUM(CD$6:CD$19)</f>
        <v>159.63717618568444</v>
      </c>
      <c r="N109" s="106">
        <f>SUM(CF$6:CF$19)+SUM(CH$6:CH$19)+SUM(CJ$6:CJ$19)+SUM(CL$6:CL$19)</f>
        <v>712.45228011178142</v>
      </c>
      <c r="O109" s="106">
        <f>SUM(CN$6:CN$19)+SUM(CP$6:CP$19)+SUM(CR$6:CR$19)+SUM(CT$6:CT$19)</f>
        <v>364.74875706864685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514.45166215161294</v>
      </c>
      <c r="F110" s="106">
        <f>SUM(T$20:T$36)+SUM(V$20:V$36)+SUM(X$20:X$36)+SUM(Z$20:Z$36)</f>
        <v>288.34278911946592</v>
      </c>
      <c r="G110" s="106">
        <f>SUM(AB$20:AB$36)+SUM(AD$20:AD$36)+SUM(AF$20:AF$36)+SUM(AH$20:AH$36)</f>
        <v>146.79320335460608</v>
      </c>
      <c r="H110" s="106">
        <f>SUM(AJ$20:AJ$36)+SUM(AL$20:AL$36)+SUM(AN$20:AN$36)+SUM(AP$20:AP$36)</f>
        <v>571.24626208161976</v>
      </c>
      <c r="I110" s="106">
        <f>SUM(AR$20:AR$36)+SUM(AT$20:AT$36)+SUM(AV$20:AV$36)+SUM(AX$20:AX$36)</f>
        <v>1399.0982122738101</v>
      </c>
      <c r="J110" s="106">
        <f>SUM(AZ$20:AZ$36)+SUM(BB$20:BB$36)+SUM(BD$20:BD$36)+SUM(BF$20:BF$36)</f>
        <v>484.64901324287655</v>
      </c>
      <c r="K110" s="106">
        <f>SUM(BH$20:BH$36)+SUM(BJ$20:BJ$36)+SUM(BL$20:BL$36)+SUM(BN$20:BN$36)</f>
        <v>409.84687501926726</v>
      </c>
      <c r="L110" s="106">
        <f>SUM(BP$20:BP$36)+SUM(BR$20:BR$36)+SUM(BT$20:BT$36)+SUM(BV$20:BV$36)</f>
        <v>109.04230273873486</v>
      </c>
      <c r="M110" s="106">
        <f>SUM(BX$20:BX$36)+SUM(BZ$20:BZ$36)+SUM(CB$20:CB$36)+SUM(CD$20:CD$36)</f>
        <v>585.55529799448209</v>
      </c>
      <c r="N110" s="106">
        <f>SUM(CF$20:CF$36)+SUM(CH$20:CH$36)+SUM(CJ$20:CJ$36)+SUM(CL$20:CL$36)</f>
        <v>848.41907334531925</v>
      </c>
      <c r="O110" s="106">
        <f>SUM(CN$20:CN$36)+SUM(CP$20:CP$36)+SUM(CR$20:CR$36)+SUM(CT$20:CT$36)</f>
        <v>1180.5291463475332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1322.558705271575</v>
      </c>
      <c r="F111" s="106">
        <f>SUM(T$37:T$48)+SUM(V$37:V$48)+SUM(X$37:X$48)+SUM(Z$37:Z$48)</f>
        <v>212.3218054119267</v>
      </c>
      <c r="G111" s="106">
        <f>SUM(AB$37:AB$48)+SUM(AD$37:AD$48)+SUM(AF$37:AF$48)+SUM(AH$37:AH$48)</f>
        <v>1569.6390648940348</v>
      </c>
      <c r="H111" s="106">
        <f>SUM(AJ$37:AJ$48)+SUM(AL$37:AL$48)+SUM(AN$37:AN$48)+SUM(AP$37:AP$48)</f>
        <v>1534.9423239480057</v>
      </c>
      <c r="I111" s="106">
        <f>SUM(AR$37:AR$48)+SUM(AT$37:AT$48)+SUM(AV$37:AV$48)+SUM(AX$37:AX$48)</f>
        <v>699.9445916823114</v>
      </c>
      <c r="J111" s="106">
        <f>SUM(AZ$37:AZ$48)+SUM(BB$37:BB$48)+SUM(BD$37:BD$48)+SUM(BF$37:BF$48)</f>
        <v>615.87439886392258</v>
      </c>
      <c r="K111" s="106">
        <f>SUM(BH$37:BH$48)+SUM(BJ$37:BJ$48)+SUM(BL$37:BL$48)+SUM(BN$37:BN$48)</f>
        <v>1009.9237865620639</v>
      </c>
      <c r="L111" s="106">
        <f>SUM(BP$37:BP$48)+SUM(BR$37:BR$48)+SUM(BT$37:BT$48)+SUM(BV$37:BV$48)</f>
        <v>727.29115171994295</v>
      </c>
      <c r="M111" s="106">
        <f>SUM(BX$37:BX$48)+SUM(BZ$37:BZ$48)+SUM(CB$37:CB$48)+SUM(CD$37:CD$48)</f>
        <v>175.99874026532459</v>
      </c>
      <c r="N111" s="106">
        <f>SUM(CF$37:CF$48)+SUM(CH$37:CH$48)+SUM(CJ$37:CJ$48)+SUM(CL$37:CL$48)</f>
        <v>119.98814174910606</v>
      </c>
      <c r="O111" s="106">
        <f>SUM(CN$37:CN$48)+SUM(CP$37:CP$48)+SUM(CR$37:CR$48)+SUM(CT$37:CT$48)</f>
        <v>271.53342237941575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1531.5955980229924</v>
      </c>
      <c r="F112" s="106">
        <f>SUM(T$49:T$70)+SUM(V$49:V$70)+SUM(X$49:X$70)+SUM(Z$49:Z$70)</f>
        <v>306.63225019480888</v>
      </c>
      <c r="G112" s="106">
        <f>SUM(AB$49:AB$70)+SUM(AD$49:AD$70)+SUM(AF$49:AF$70)+SUM(AH$49:AH$70)</f>
        <v>442.47372618578697</v>
      </c>
      <c r="H112" s="106">
        <f>SUM(AJ$49:AJ$70)+SUM(AL$49:AL$70)+SUM(AN$49:AN$70)+SUM(AP$49:AP$70)</f>
        <v>355.35184790356061</v>
      </c>
      <c r="I112" s="106">
        <f>SUM(AR$49:AR$70)+SUM(AT$49:AT$70)+SUM(AV$49:AV$70)+SUM(AX$49:AX$70)</f>
        <v>282.57683074418071</v>
      </c>
      <c r="J112" s="106">
        <f>SUM(AZ$49:AZ$70)+SUM(BB$49:BB$70)+SUM(BD$49:BD$70)+SUM(BF$49:BF$70)</f>
        <v>1142.5812679241394</v>
      </c>
      <c r="K112" s="106">
        <f>SUM(BH$49:BH$70)+SUM(BJ$49:BJ$70)+SUM(BL$49:BL$70)+SUM(BN$49:BN$70)</f>
        <v>228.92924955865624</v>
      </c>
      <c r="L112" s="106">
        <f>SUM(BP$49:BP$70)+SUM(BR$49:BR$70)+SUM(BT$49:BT$70)+SUM(BV$49:BV$70)</f>
        <v>228.92579469485253</v>
      </c>
      <c r="M112" s="106">
        <f>SUM(BX$49:BX$70)+SUM(BZ$49:BZ$70)+SUM(CB$49:CB$70)+SUM(CD$49:CD$70)</f>
        <v>2377.1331736119978</v>
      </c>
      <c r="N112" s="106">
        <f>SUM(CF$49:CF$70)+SUM(CH$49:CH$70)+SUM(CJ$49:CJ$70)+SUM(CL$49:CL$70)</f>
        <v>771.74680647249795</v>
      </c>
      <c r="O112" s="106">
        <f>SUM(CN$49:CN$70)+SUM(CP$49:CP$70)+SUM(CR$49:CR$70)+SUM(CT$49:CT$70)</f>
        <v>278.89941180884432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1713.2310515167487</v>
      </c>
      <c r="F113" s="106">
        <f>SUM(T$71:T$86)+SUM(V$71:V$86)+SUM(X$71:X$86)+SUM(Z$71:Z$86)</f>
        <v>803.91994428993598</v>
      </c>
      <c r="G113" s="106">
        <f>SUM(AB$71:AB$86)+SUM(AD$71:AD$86)+SUM(AF$71:AF$86)+SUM(AH$71:AH$86)</f>
        <v>833.92207697151377</v>
      </c>
      <c r="H113" s="106">
        <f>SUM(AJ$71:AJ$86)+SUM(AL$71:AL$86)+SUM(AN$71:AN$86)+SUM(AP$71:AP$86)</f>
        <v>365.19953086551362</v>
      </c>
      <c r="I113" s="106">
        <f>SUM(AR$71:AR$86)+SUM(AT$71:AT$86)+SUM(AV$71:AV$86)+SUM(AX$71:AX$86)</f>
        <v>1908.0552877126854</v>
      </c>
      <c r="J113" s="106">
        <f>SUM(AZ$71:AZ$86)+SUM(BB$71:BB$86)+SUM(BD$71:BD$86)+SUM(BF$71:BF$86)</f>
        <v>1950.4555376520816</v>
      </c>
      <c r="K113" s="106">
        <f>SUM(BH$71:BH$86)+SUM(BJ$71:BJ$86)+SUM(BL$71:BL$86)+SUM(BN$71:BN$86)</f>
        <v>624.96166631276526</v>
      </c>
      <c r="L113" s="106">
        <f>SUM(BP$71:BP$86)+SUM(BR$71:BR$86)+SUM(BT$71:BT$86)+SUM(BV$71:BV$86)</f>
        <v>1128.0414121713502</v>
      </c>
      <c r="M113" s="106">
        <f>SUM(BX$71:BX$86)+SUM(BZ$71:BZ$86)+SUM(CB$71:CB$86)+SUM(CD$71:CD$86)</f>
        <v>407.96648846147025</v>
      </c>
      <c r="N113" s="106">
        <f>SUM(CF$71:CF$86)+SUM(CH$71:CH$86)+SUM(CJ$71:CJ$86)+SUM(CL$71:CL$86)</f>
        <v>1239.0911541930889</v>
      </c>
      <c r="O113" s="106">
        <f>SUM(CN$71:CN$86)+SUM(CP$71:CP$86)+SUM(CR$71:CR$86)+SUM(CT$71:CT$86)</f>
        <v>412.26477606983576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380.8178557602763</v>
      </c>
      <c r="F114" s="106">
        <f>SUM(T$87:T$94)+SUM(V$87:V$94)+SUM(X$87:X$94)+SUM(Z$87:Z$94)</f>
        <v>401.61059326944917</v>
      </c>
      <c r="G114" s="106">
        <f>SUM(AB$87:AB$94)+SUM(AD$87:AD$94)+SUM(AF$87:AF$94)+SUM(AH$87:AH$94)</f>
        <v>676.64196942441663</v>
      </c>
      <c r="H114" s="106">
        <f>SUM(AJ$87:AJ$94)+SUM(AL$87:AL$94)+SUM(AN$87:AN$94)+SUM(AP$87:AP$94)</f>
        <v>95.903603926339557</v>
      </c>
      <c r="I114" s="106">
        <f>SUM(AR$87:AR$94)+SUM(AT$87:AT$94)+SUM(AV$87:AV$94)+SUM(AX$87:AX$94)</f>
        <v>767.48082598172255</v>
      </c>
      <c r="J114" s="106">
        <f>SUM(AZ$87:AZ$94)+SUM(BB$87:BB$94)+SUM(BD$87:BD$94)+SUM(BF$87:BF$94)</f>
        <v>456.4400430174764</v>
      </c>
      <c r="K114" s="106">
        <f>SUM(BH$87:BH$94)+SUM(BJ$87:BJ$94)+SUM(BL$87:BL$94)+SUM(BN$87:BN$94)</f>
        <v>248.69219279891843</v>
      </c>
      <c r="L114" s="106">
        <f>SUM(BP$87:BP$94)+SUM(BR$87:BR$94)+SUM(BT$87:BT$94)+SUM(BV$87:BV$94)</f>
        <v>1300.8650307804262</v>
      </c>
      <c r="M114" s="106">
        <f>SUM(BX$87:BX$94)+SUM(BZ$87:BZ$94)+SUM(CB$87:CB$94)+SUM(CD$87:CD$94)</f>
        <v>296.40158628144138</v>
      </c>
      <c r="N114" s="106">
        <f>SUM(CF$87:CF$94)+SUM(CH$87:CH$94)+SUM(CJ$87:CJ$94)+SUM(CL$87:CL$94)</f>
        <v>206.03529043529159</v>
      </c>
      <c r="O114" s="106">
        <f>SUM(CN$87:CN$94)+SUM(CP$87:CP$94)+SUM(CR$87:CR$94)+SUM(CT$87:CT$94)</f>
        <v>1143.0115434932218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254.90982494551085</v>
      </c>
      <c r="F115" s="106">
        <f>SUM(T$95:T$105)+SUM(V$95:V$105)+SUM(X$95:X$105)+SUM(Z$95:Z$105)</f>
        <v>670.86087000476732</v>
      </c>
      <c r="G115" s="106">
        <f>SUM(AB$95:AB$105)+SUM(AD$95:AD$105)+SUM(AF$95:AF$105)+SUM(AH$95:AH$105)</f>
        <v>414.12338818035516</v>
      </c>
      <c r="H115" s="106">
        <f>SUM(AJ$95:AJ$105)+SUM(AL$95:AL$105)+SUM(AN$95:AN$105)+SUM(AP$95:AP$105)</f>
        <v>1362.2687899725138</v>
      </c>
      <c r="I115" s="106">
        <f>SUM(AR$95:AR$105)+SUM(AT$95:AT$105)+SUM(AV$95:AV$105)+SUM(AX$95:AX$105)</f>
        <v>144.75827429678066</v>
      </c>
      <c r="J115" s="106">
        <f>SUM(AZ$95:AZ$105)+SUM(BB$95:BB$105)+SUM(BD$95:BD$105)+SUM(BF$95:BF$105)</f>
        <v>229.88501325547219</v>
      </c>
      <c r="K115" s="106">
        <f>SUM(BH$95:BH$105)+SUM(BJ$95:BJ$105)+SUM(BL$95:BL$105)+SUM(BN$95:BN$105)</f>
        <v>708.79758957514161</v>
      </c>
      <c r="L115" s="106">
        <f>SUM(BP$95:BP$105)+SUM(BR$95:BR$105)+SUM(BT$95:BT$105)+SUM(BV$95:BV$105)</f>
        <v>677.00144488916681</v>
      </c>
      <c r="M115" s="106">
        <f>SUM(BX$95:BX$105)+SUM(BZ$95:BZ$105)+SUM(CB$95:CB$105)+SUM(CD$95:CD$105)</f>
        <v>579.93789619370614</v>
      </c>
      <c r="N115" s="106">
        <f>SUM(CF$95:CF$105)+SUM(CH$95:CH$105)+SUM(CJ$95:CJ$105)+SUM(CL$95:CL$105)</f>
        <v>112.33978553225572</v>
      </c>
      <c r="O115" s="106">
        <f>SUM(CN$95:CN$105)+SUM(CP$95:CP$105)+SUM(CR$95:CR$105)+SUM(CT$95:CT$105)</f>
        <v>377.76590777601439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5810.5884758883367</v>
      </c>
      <c r="F116" s="106">
        <f t="shared" si="0"/>
        <v>2920.4042015419409</v>
      </c>
      <c r="G116" s="106">
        <f t="shared" si="0"/>
        <v>4771.0854427013719</v>
      </c>
      <c r="H116" s="106">
        <f t="shared" si="0"/>
        <v>4429.8648307878702</v>
      </c>
      <c r="I116" s="106">
        <f t="shared" si="0"/>
        <v>5580.7722527881888</v>
      </c>
      <c r="J116" s="106">
        <f t="shared" si="0"/>
        <v>5390.9321424096588</v>
      </c>
      <c r="K116" s="106">
        <f t="shared" si="0"/>
        <v>3391.9978028021119</v>
      </c>
      <c r="L116" s="106">
        <f t="shared" si="0"/>
        <v>5162.43062734045</v>
      </c>
      <c r="M116" s="106">
        <f t="shared" si="0"/>
        <v>4582.6303589941072</v>
      </c>
      <c r="N116" s="106">
        <f t="shared" si="0"/>
        <v>4010.0725318393411</v>
      </c>
      <c r="O116" s="106">
        <f t="shared" si="0"/>
        <v>4028.7529649435123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0</v>
      </c>
      <c r="E120" s="106">
        <f>E109*pricing!E33*2000</f>
        <v>318642.22635383694</v>
      </c>
      <c r="F120" s="106">
        <f>F109*pricing!F33*2000</f>
        <v>616269.06758021086</v>
      </c>
      <c r="G120" s="106">
        <f>G109*pricing!G33*2000</f>
        <v>986421.90807766025</v>
      </c>
      <c r="H120" s="106">
        <f>H109*pricing!H33*2000</f>
        <v>467833.4659570423</v>
      </c>
      <c r="I120" s="106">
        <f>I109*pricing!I33*2000</f>
        <v>773778.76086892723</v>
      </c>
      <c r="J120" s="106">
        <f>J109*pricing!J33*2000</f>
        <v>1483859.6685076205</v>
      </c>
      <c r="K120" s="106">
        <f>K109*pricing!K33*2000</f>
        <v>413427.42914628482</v>
      </c>
      <c r="L120" s="106">
        <f>L109*pricing!L33*2000</f>
        <v>1356741.4983530415</v>
      </c>
      <c r="M120" s="106">
        <f>M109*pricing!M33*2000</f>
        <v>520073.13939455355</v>
      </c>
      <c r="N120" s="106">
        <f>N109*pricing!N33*2000</f>
        <v>1029153.5666591424</v>
      </c>
      <c r="O120" s="106">
        <f>O109*pricing!O33*2000</f>
        <v>868593.67509920604</v>
      </c>
    </row>
    <row r="121" spans="2:15" x14ac:dyDescent="0.2">
      <c r="C121" s="105" t="s">
        <v>127</v>
      </c>
      <c r="D121" s="106">
        <f>D110*pricing!D34*2000</f>
        <v>0</v>
      </c>
      <c r="E121" s="106">
        <f>E110*pricing!E34*2000</f>
        <v>795570.3887464063</v>
      </c>
      <c r="F121" s="106">
        <f>F110*pricing!F34*2000</f>
        <v>868355.55797984789</v>
      </c>
      <c r="G121" s="106">
        <f>G110*pricing!G34*2000</f>
        <v>462226.48949520872</v>
      </c>
      <c r="H121" s="106">
        <f>H110*pricing!H34*2000</f>
        <v>1103852.8491995868</v>
      </c>
      <c r="I121" s="106">
        <f>I110*pricing!I34*2000</f>
        <v>1857004.1542828709</v>
      </c>
      <c r="J121" s="106">
        <f>J110*pricing!J34*2000</f>
        <v>1598146.7843599448</v>
      </c>
      <c r="K121" s="106">
        <f>K110*pricing!K34*2000</f>
        <v>768681.24967881595</v>
      </c>
      <c r="L121" s="106">
        <f>L110*pricing!L34*2000</f>
        <v>363954.61309340631</v>
      </c>
      <c r="M121" s="106">
        <f>M110*pricing!M34*2000</f>
        <v>906295.8493256584</v>
      </c>
      <c r="N121" s="106">
        <f>N110*pricing!N34*2000</f>
        <v>1219864.608358894</v>
      </c>
      <c r="O121" s="106">
        <f>O110*pricing!O34*2000</f>
        <v>1801944.4944321769</v>
      </c>
    </row>
    <row r="122" spans="2:15" x14ac:dyDescent="0.2">
      <c r="C122" s="105" t="s">
        <v>128</v>
      </c>
      <c r="D122" s="106">
        <f>D111*pricing!D35*2000</f>
        <v>0</v>
      </c>
      <c r="E122" s="106">
        <f>E111*pricing!E35*2000</f>
        <v>1435132.3177162081</v>
      </c>
      <c r="F122" s="106">
        <f>F111*pricing!F35*2000</f>
        <v>699704.31548959494</v>
      </c>
      <c r="G122" s="106">
        <f>G111*pricing!G35*2000</f>
        <v>1743649.4048940237</v>
      </c>
      <c r="H122" s="106">
        <f>H111*pricing!H35*2000</f>
        <v>1843937.0003166704</v>
      </c>
      <c r="I122" s="106">
        <f>I111*pricing!I35*2000</f>
        <v>1238787.709173911</v>
      </c>
      <c r="J122" s="106">
        <f>J111*pricing!J35*2000</f>
        <v>1875398.033386169</v>
      </c>
      <c r="K122" s="106">
        <f>K111*pricing!K35*2000</f>
        <v>1245967.4922503126</v>
      </c>
      <c r="L122" s="106">
        <f>L111*pricing!L35*2000</f>
        <v>1138154.1513633041</v>
      </c>
      <c r="M122" s="106">
        <f>M111*pricing!M35*2000</f>
        <v>453516.54151498066</v>
      </c>
      <c r="N122" s="106">
        <f>N111*pricing!N35*2000</f>
        <v>389873.67179967312</v>
      </c>
      <c r="O122" s="106">
        <f>O111*pricing!O35*2000</f>
        <v>817243.74111518485</v>
      </c>
    </row>
    <row r="123" spans="2:15" x14ac:dyDescent="0.2">
      <c r="C123" s="105" t="s">
        <v>129</v>
      </c>
      <c r="D123" s="106">
        <f>D112*pricing!D36*2000</f>
        <v>0</v>
      </c>
      <c r="E123" s="106">
        <f>E112*pricing!E36*2000</f>
        <v>2063260.6732737927</v>
      </c>
      <c r="F123" s="106">
        <f>F112*pricing!F36*2000</f>
        <v>959395.65100396611</v>
      </c>
      <c r="G123" s="106">
        <f>G112*pricing!G36*2000</f>
        <v>1035399.5169951057</v>
      </c>
      <c r="H123" s="106">
        <f>H112*pricing!H36*2000</f>
        <v>875417.81093209633</v>
      </c>
      <c r="I123" s="106">
        <f>I112*pricing!I36*2000</f>
        <v>861569.87863384094</v>
      </c>
      <c r="J123" s="106">
        <f>J112*pricing!J36*2000</f>
        <v>2790554.4516381929</v>
      </c>
      <c r="K123" s="106">
        <f>K112*pricing!K36*2000</f>
        <v>672379.14150356024</v>
      </c>
      <c r="L123" s="106">
        <f>L112*pricing!L36*2000</f>
        <v>767913.07204999018</v>
      </c>
      <c r="M123" s="106">
        <f>M112*pricing!M36*2000</f>
        <v>2409280.0845761383</v>
      </c>
      <c r="N123" s="106">
        <f>N112*pricing!N36*2000</f>
        <v>1170861.9639232038</v>
      </c>
      <c r="O123" s="106">
        <f>O112*pricing!O36*2000</f>
        <v>921730.21323079802</v>
      </c>
    </row>
    <row r="124" spans="2:15" x14ac:dyDescent="0.2">
      <c r="C124" s="105" t="s">
        <v>130</v>
      </c>
      <c r="D124" s="106">
        <f>D113*pricing!D37*2000</f>
        <v>0</v>
      </c>
      <c r="E124" s="106">
        <f>E113*pricing!E37*2000</f>
        <v>2760977.6478100461</v>
      </c>
      <c r="F124" s="106">
        <f>F113*pricing!F37*2000</f>
        <v>1985193.590563864</v>
      </c>
      <c r="G124" s="106">
        <f>G113*pricing!G37*2000</f>
        <v>1771520.5066541131</v>
      </c>
      <c r="H124" s="106">
        <f>H113*pricing!H37*2000</f>
        <v>1005941.9225624761</v>
      </c>
      <c r="I124" s="106">
        <f>I113*pricing!I37*2000</f>
        <v>2339328.2002969519</v>
      </c>
      <c r="J124" s="106">
        <f>J113*pricing!J37*2000</f>
        <v>2008739.4770857082</v>
      </c>
      <c r="K124" s="106">
        <f>K113*pricing!K37*2000</f>
        <v>1671579.7126611886</v>
      </c>
      <c r="L124" s="106">
        <f>L113*pricing!L37*2000</f>
        <v>3229595.7725819713</v>
      </c>
      <c r="M124" s="106">
        <f>M113*pricing!M37*2000</f>
        <v>1124320.2936002826</v>
      </c>
      <c r="N124" s="106">
        <f>N113*pricing!N37*2000</f>
        <v>1767770.816502399</v>
      </c>
      <c r="O124" s="106">
        <f>O113*pricing!O37*2000</f>
        <v>1268912.2324971361</v>
      </c>
    </row>
    <row r="125" spans="2:15" x14ac:dyDescent="0.2">
      <c r="C125" s="105" t="s">
        <v>131</v>
      </c>
      <c r="D125" s="106">
        <f>D114*pricing!D38*2000</f>
        <v>0</v>
      </c>
      <c r="E125" s="106">
        <f>E114*pricing!E38*2000</f>
        <v>844223.86987127853</v>
      </c>
      <c r="F125" s="106">
        <f>F114*pricing!F38*2000</f>
        <v>900424.44373724039</v>
      </c>
      <c r="G125" s="106">
        <f>G114*pricing!G38*2000</f>
        <v>1061397.7703592391</v>
      </c>
      <c r="H125" s="106">
        <f>H114*pricing!H38*2000</f>
        <v>325112.00329157524</v>
      </c>
      <c r="I125" s="106">
        <f>I114*pricing!I38*2000</f>
        <v>914126.81518912804</v>
      </c>
      <c r="J125" s="106">
        <f>J114*pricing!J38*2000</f>
        <v>564996.0000082209</v>
      </c>
      <c r="K125" s="106">
        <f>K114*pricing!K38*2000</f>
        <v>738531.43370945577</v>
      </c>
      <c r="L125" s="106">
        <f>L114*pricing!L38*2000</f>
        <v>2272008.3846006384</v>
      </c>
      <c r="M125" s="106">
        <f>M114*pricing!M38*2000</f>
        <v>669453.06144929945</v>
      </c>
      <c r="N125" s="106">
        <f>N114*pricing!N38*2000</f>
        <v>452286.53423616459</v>
      </c>
      <c r="O125" s="106">
        <f>O114*pricing!O38*2000</f>
        <v>1649126.1192636362</v>
      </c>
    </row>
    <row r="126" spans="2:15" x14ac:dyDescent="0.2">
      <c r="C126" s="105" t="s">
        <v>132</v>
      </c>
      <c r="D126" s="106">
        <f>D115*pricing!D39*2000</f>
        <v>0</v>
      </c>
      <c r="E126" s="106">
        <f>E115*pricing!E39*2000</f>
        <v>889516.99225415976</v>
      </c>
      <c r="F126" s="106">
        <f>F115*pricing!F39*2000</f>
        <v>1491367.1244266583</v>
      </c>
      <c r="G126" s="106">
        <f>G115*pricing!G39*2000</f>
        <v>1117574.5275636083</v>
      </c>
      <c r="H126" s="106">
        <f>H115*pricing!H39*2000</f>
        <v>1724250.94785809</v>
      </c>
      <c r="I126" s="106">
        <f>I115*pricing!I39*2000</f>
        <v>503202.71479167865</v>
      </c>
      <c r="J126" s="106">
        <f>J115*pricing!J39*2000</f>
        <v>537545.30562784104</v>
      </c>
      <c r="K126" s="106">
        <f>K115*pricing!K39*2000</f>
        <v>1520355.5274130839</v>
      </c>
      <c r="L126" s="106">
        <f>L115*pricing!L39*2000</f>
        <v>2057785.1741586046</v>
      </c>
      <c r="M126" s="106">
        <f>M115*pricing!M39*2000</f>
        <v>1163375.8953235643</v>
      </c>
      <c r="N126" s="106">
        <f>N115*pricing!N39*2000</f>
        <v>391550.55771263351</v>
      </c>
      <c r="O126" s="106">
        <f>O115*pricing!O39*2000</f>
        <v>1243805.512506898</v>
      </c>
    </row>
    <row r="127" spans="2:15" x14ac:dyDescent="0.2">
      <c r="C127" s="105" t="s">
        <v>277</v>
      </c>
      <c r="D127" s="106">
        <f>SUM(D$120:D$126)</f>
        <v>0</v>
      </c>
      <c r="E127" s="106">
        <f t="shared" ref="E127:O127" si="1">SUM(E$120:E$126)</f>
        <v>9107324.1160257272</v>
      </c>
      <c r="F127" s="106">
        <f t="shared" si="1"/>
        <v>7520709.7507813824</v>
      </c>
      <c r="G127" s="106">
        <f t="shared" si="1"/>
        <v>8178190.124038958</v>
      </c>
      <c r="H127" s="106">
        <f t="shared" si="1"/>
        <v>7346346.0001175366</v>
      </c>
      <c r="I127" s="106">
        <f t="shared" si="1"/>
        <v>8487798.2332373094</v>
      </c>
      <c r="J127" s="106">
        <f t="shared" si="1"/>
        <v>10859239.720613699</v>
      </c>
      <c r="K127" s="106">
        <f t="shared" si="1"/>
        <v>7030921.9863627022</v>
      </c>
      <c r="L127" s="106">
        <f t="shared" si="1"/>
        <v>11186152.666200956</v>
      </c>
      <c r="M127" s="106">
        <f t="shared" si="1"/>
        <v>7246314.8651844775</v>
      </c>
      <c r="N127" s="106">
        <f t="shared" si="1"/>
        <v>6421361.71919211</v>
      </c>
      <c r="O127" s="106">
        <f t="shared" si="1"/>
        <v>8571355.9881450366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46712.435875989962</v>
      </c>
      <c r="F131" s="112">
        <f>SUM(U$6:U$19)+SUM(W$6:W$19)+SUM(Y$6:Y$19)+SUM(AA$6:AA$19)</f>
        <v>118206.85598110208</v>
      </c>
      <c r="G131" s="112">
        <f>SUM(AC$6:AC$19)+SUM(AE$6:AE$19)+SUM(AG$6:AG$19)+SUM(AI$6:AI$19)</f>
        <v>338969.95814411587</v>
      </c>
      <c r="H131" s="112">
        <f>SUM(AK$6:AK$19)+SUM(AM$6:AM$19)+SUM(AO$6:AO$19)+SUM(AQ$6:AQ$19)</f>
        <v>72692.624729369854</v>
      </c>
      <c r="I131" s="112">
        <f>SUM(AS$6:AS$19)+SUM(AU$6:AU$19)+SUM(AW$6:AW$19)+SUM(AY$6:AY$19)</f>
        <v>190167.12188159331</v>
      </c>
      <c r="J131" s="112">
        <f>SUM(BA$6:BA$19)+SUM(BC$6:BC$19)+SUM(BE$6:BE$19)+SUM(BG$6:BG$19)</f>
        <v>255876.03715151176</v>
      </c>
      <c r="K131" s="112">
        <f>SUM(BI$6:BI$19)+SUM(BK$6:BK$19)+SUM(BM$6:BM$19)+SUM(BO$6:BO$19)</f>
        <v>80476.332745921216</v>
      </c>
      <c r="L131" s="112">
        <f>SUM(BQ$6:BQ$19)+SUM(BS$6:BS$19)+SUM(BU$6:BU$19)+SUM(BW$6:BW$19)</f>
        <v>492453.23604133574</v>
      </c>
      <c r="M131" s="112">
        <f>SUM(BY$6:BY$19)+SUM(CA$6:CA$19)+SUM(CC$6:CC$19)+SUM(CE$6:CE$19)</f>
        <v>79537.403291692754</v>
      </c>
      <c r="N131" s="112">
        <f>SUM(CG$6:CG$19)+SUM(CI$6:CI$19)+SUM(CK$6:CK$19)+SUM(CM$6:CM$19)</f>
        <v>352364.28120082116</v>
      </c>
      <c r="O131" s="112">
        <f>SUM(CO$6:CO$19)+SUM(CQ$6:CQ$19)+SUM(CS$6:CS$19)+SUM(CU$6:CU$19)</f>
        <v>182087.11230638216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213978.376100608</v>
      </c>
      <c r="F132" s="112">
        <f>SUM(U$20:U$36)+SUM(W$20:W$36)+SUM(Y$20:Y$36)+SUM(AA$20:AA$36)</f>
        <v>122818.04930577573</v>
      </c>
      <c r="G132" s="112">
        <f>SUM(AC$20:AC$36)+SUM(AE$20:AE$36)+SUM(AG$20:AG$36)+SUM(AI$20:AI$36)</f>
        <v>62618.165398494741</v>
      </c>
      <c r="H132" s="112">
        <f>SUM(AK$20:AK$36)+SUM(AM$20:AM$36)+SUM(AO$20:AO$36)+SUM(AQ$20:AQ$36)</f>
        <v>239807.27344366064</v>
      </c>
      <c r="I132" s="112">
        <f>SUM(AS$20:AS$36)+SUM(AU$20:AU$36)+SUM(AW$20:AW$36)+SUM(AY$20:AY$36)</f>
        <v>579815.11773706076</v>
      </c>
      <c r="J132" s="112">
        <f>SUM(BA$20:BA$36)+SUM(BC$20:BC$36)+SUM(BE$20:BE$36)+SUM(BG$20:BG$36)</f>
        <v>206353.99675483571</v>
      </c>
      <c r="K132" s="112">
        <f>SUM(BI$20:BI$36)+SUM(BK$20:BK$36)+SUM(BM$20:BM$36)+SUM(BO$20:BO$36)</f>
        <v>171580.40777622024</v>
      </c>
      <c r="L132" s="112">
        <f>SUM(BQ$20:BQ$36)+SUM(BS$20:BS$36)+SUM(BU$20:BU$36)+SUM(BW$20:BW$36)</f>
        <v>46066.947585447415</v>
      </c>
      <c r="M132" s="112">
        <f>SUM(BY$20:BY$36)+SUM(CA$20:CA$36)+SUM(CC$20:CC$36)+SUM(CE$20:CE$36)</f>
        <v>243325.98016227502</v>
      </c>
      <c r="N132" s="112">
        <f>SUM(CG$20:CG$36)+SUM(CI$20:CI$36)+SUM(CK$20:CK$36)+SUM(CM$20:CM$36)</f>
        <v>350015.54480695113</v>
      </c>
      <c r="O132" s="112">
        <f>SUM(CO$20:CO$36)+SUM(CQ$20:CQ$36)+SUM(CS$20:CS$36)+SUM(CU$20:CU$36)</f>
        <v>492319.65399516461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1360518.5837876699</v>
      </c>
      <c r="F133" s="112">
        <f>SUM(U$37:U$48)+SUM(W$37:W$48)+SUM(Y$37:Y$48)+SUM(AA$37:AA$48)</f>
        <v>219988.07826007565</v>
      </c>
      <c r="G133" s="112">
        <f>SUM(AC$37:AC$48)+SUM(AE$37:AE$48)+SUM(AG$37:AG$48)+SUM(AI$37:AI$48)</f>
        <v>1615302.8367136396</v>
      </c>
      <c r="H133" s="112">
        <f>SUM(AK$37:AK$48)+SUM(AM$37:AM$48)+SUM(AO$37:AO$48)+SUM(AQ$37:AQ$48)</f>
        <v>1587598.5821558889</v>
      </c>
      <c r="I133" s="112">
        <f>SUM(AS$37:AS$48)+SUM(AU$37:AU$48)+SUM(AW$37:AW$48)+SUM(AY$37:AY$48)</f>
        <v>724938.46336135047</v>
      </c>
      <c r="J133" s="112">
        <f>SUM(BA$37:BA$48)+SUM(BC$37:BC$48)+SUM(BE$37:BE$48)+SUM(BG$37:BG$48)</f>
        <v>643973.241223349</v>
      </c>
      <c r="K133" s="112">
        <f>SUM(BI$37:BI$48)+SUM(BK$37:BK$48)+SUM(BM$37:BM$48)+SUM(BO$37:BO$48)</f>
        <v>1042496.0043288529</v>
      </c>
      <c r="L133" s="112">
        <f>SUM(BQ$37:BQ$48)+SUM(BS$37:BS$48)+SUM(BU$37:BU$48)+SUM(BW$37:BW$48)</f>
        <v>755518.07169930055</v>
      </c>
      <c r="M133" s="112">
        <f>SUM(BY$37:BY$48)+SUM(CA$37:CA$48)+SUM(CC$37:CC$48)+SUM(CE$37:CE$48)</f>
        <v>182682.02435391981</v>
      </c>
      <c r="N133" s="112">
        <f>SUM(CG$37:CG$48)+SUM(CI$37:CI$48)+SUM(CK$37:CK$48)+SUM(CM$37:CM$48)</f>
        <v>125245.25016345389</v>
      </c>
      <c r="O133" s="112">
        <f>SUM(CO$37:CO$48)+SUM(CQ$37:CQ$48)+SUM(CS$37:CS$48)+SUM(CU$37:CU$48)</f>
        <v>283642.46454792115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1350272.8805053472</v>
      </c>
      <c r="F134" s="112">
        <f>SUM(U$49:U$70)+SUM(W$49:W$70)+SUM(Y$49:Y$70)+SUM(AA$49:AA$70)</f>
        <v>266257.05467156885</v>
      </c>
      <c r="G134" s="112">
        <f>SUM(AC$49:AC$70)+SUM(AE$49:AE$70)+SUM(AG$49:AG$70)+SUM(AI$49:AI$70)</f>
        <v>397262.8388201904</v>
      </c>
      <c r="H134" s="112">
        <f>SUM(AK$49:AK$70)+SUM(AM$49:AM$70)+SUM(AO$49:AO$70)+SUM(AQ$49:AQ$70)</f>
        <v>305875.2940195126</v>
      </c>
      <c r="I134" s="112">
        <f>SUM(AS$49:AS$70)+SUM(AU$49:AU$70)+SUM(AW$49:AW$70)+SUM(AY$49:AY$70)</f>
        <v>242052.63627746541</v>
      </c>
      <c r="J134" s="112">
        <f>SUM(BA$49:BA$70)+SUM(BC$49:BC$70)+SUM(BE$49:BE$70)+SUM(BG$49:BG$70)</f>
        <v>920355.45557879994</v>
      </c>
      <c r="K134" s="112">
        <f>SUM(BI$49:BI$70)+SUM(BK$49:BK$70)+SUM(BM$49:BM$70)+SUM(BO$49:BO$70)</f>
        <v>211913.53915129378</v>
      </c>
      <c r="L134" s="112">
        <f>SUM(BQ$49:BQ$70)+SUM(BS$49:BS$70)+SUM(BU$49:BU$70)+SUM(BW$49:BW$70)</f>
        <v>219215.49237329172</v>
      </c>
      <c r="M134" s="112">
        <f>SUM(BY$49:BY$70)+SUM(CA$49:CA$70)+SUM(CC$49:CC$70)+SUM(CE$49:CE$70)</f>
        <v>2035257.616486507</v>
      </c>
      <c r="N134" s="112">
        <f>SUM(CG$49:CG$70)+SUM(CI$49:CI$70)+SUM(CK$49:CK$70)+SUM(CM$49:CM$70)</f>
        <v>656887.30586937559</v>
      </c>
      <c r="O134" s="112">
        <f>SUM(CO$49:CO$70)+SUM(CQ$49:CQ$70)+SUM(CS$49:CS$70)+SUM(CU$49:CU$70)</f>
        <v>247088.88132405319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935691.94990271144</v>
      </c>
      <c r="F135" s="112">
        <f>SUM(U$71:U$86)+SUM(W$71:W$86)+SUM(Y$71:Y$86)+SUM(AA$71:AA$86)</f>
        <v>442066.29129420302</v>
      </c>
      <c r="G135" s="112">
        <f>SUM(AC$71:AC$86)+SUM(AE$71:AE$86)+SUM(AG$71:AG$86)+SUM(AI$71:AI$86)</f>
        <v>459854.69566460117</v>
      </c>
      <c r="H135" s="112">
        <f>SUM(AK$71:AK$86)+SUM(AM$71:AM$86)+SUM(AO$71:AO$86)+SUM(AQ$71:AQ$86)</f>
        <v>201588.85279247578</v>
      </c>
      <c r="I135" s="112">
        <f>SUM(AS$71:AS$86)+SUM(AU$71:AU$86)+SUM(AW$71:AW$86)+SUM(AY$71:AY$86)</f>
        <v>1032712.8120831172</v>
      </c>
      <c r="J135" s="112">
        <f>SUM(BA$71:BA$86)+SUM(BC$71:BC$86)+SUM(BE$71:BE$86)+SUM(BG$71:BG$86)</f>
        <v>1048455.0804972746</v>
      </c>
      <c r="K135" s="112">
        <f>SUM(BI$71:BI$86)+SUM(BK$71:BK$86)+SUM(BM$71:BM$86)+SUM(BO$71:BO$86)</f>
        <v>344870.13408335554</v>
      </c>
      <c r="L135" s="112">
        <f>SUM(BQ$71:BQ$86)+SUM(BS$71:BS$86)+SUM(BU$71:BU$86)+SUM(BW$71:BW$86)</f>
        <v>624844.55514622666</v>
      </c>
      <c r="M135" s="112">
        <f>SUM(BY$71:BY$86)+SUM(CA$71:CA$86)+SUM(CC$71:CC$86)+SUM(CE$71:CE$86)</f>
        <v>226243.06206449124</v>
      </c>
      <c r="N135" s="112">
        <f>SUM(CG$71:CG$86)+SUM(CI$71:CI$86)+SUM(CK$71:CK$86)+SUM(CM$71:CM$86)</f>
        <v>678795.7696140086</v>
      </c>
      <c r="O135" s="112">
        <f>SUM(CO$71:CO$86)+SUM(CQ$71:CQ$86)+SUM(CS$71:CS$86)+SUM(CU$71:CU$86)</f>
        <v>229004.91111649087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772329.62225758424</v>
      </c>
      <c r="F136" s="112">
        <f>SUM(U$87:U$94)+SUM(W$87:W$94)+SUM(Y$87:Y$94)+SUM(AA$87:AA$94)</f>
        <v>811429.92211968743</v>
      </c>
      <c r="G136" s="112">
        <f>SUM(AC$87:AC$94)+SUM(AE$87:AE$94)+SUM(AG$87:AG$94)+SUM(AI$87:AI$94)</f>
        <v>1360646.2390557716</v>
      </c>
      <c r="H136" s="112">
        <f>SUM(AK$87:AK$94)+SUM(AM$87:AM$94)+SUM(AO$87:AO$94)+SUM(AQ$87:AQ$94)</f>
        <v>194067.94609284354</v>
      </c>
      <c r="I136" s="112">
        <f>SUM(AS$87:AS$94)+SUM(AU$87:AU$94)+SUM(AW$87:AW$94)+SUM(AY$87:AY$94)</f>
        <v>1540970.7762625054</v>
      </c>
      <c r="J136" s="112">
        <f>SUM(BA$87:BA$94)+SUM(BC$87:BC$94)+SUM(BE$87:BE$94)+SUM(BG$87:BG$94)</f>
        <v>915702.08405351196</v>
      </c>
      <c r="K136" s="112">
        <f>SUM(BI$87:BI$94)+SUM(BK$87:BK$94)+SUM(BM$87:BM$94)+SUM(BO$87:BO$94)</f>
        <v>503557.94140667608</v>
      </c>
      <c r="L136" s="112">
        <f>SUM(BQ$87:BQ$94)+SUM(BS$87:BS$94)+SUM(BU$87:BU$94)+SUM(BW$87:BW$94)</f>
        <v>2621813.3449324234</v>
      </c>
      <c r="M136" s="112">
        <f>SUM(BY$87:BY$94)+SUM(CA$87:CA$94)+SUM(CC$87:CC$94)+SUM(CE$87:CE$94)</f>
        <v>599355.39849785517</v>
      </c>
      <c r="N136" s="112">
        <f>SUM(CG$87:CG$94)+SUM(CI$87:CI$94)+SUM(CK$87:CK$94)+SUM(CM$87:CM$94)</f>
        <v>415678.40739252244</v>
      </c>
      <c r="O136" s="112">
        <f>SUM(CO$87:CO$94)+SUM(CQ$87:CQ$94)+SUM(CS$87:CS$94)+SUM(CU$87:CU$94)</f>
        <v>2301829.8104763897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472126.47128571582</v>
      </c>
      <c r="F137" s="112">
        <f>SUM(U$95:U$105)+SUM(W$95:W$105)+SUM(Y$95:Y$105)+SUM(AA$95:AA$105)</f>
        <v>1215944.3822692521</v>
      </c>
      <c r="G137" s="112">
        <f>SUM(AC$95:AC$105)+SUM(AE$95:AE$105)+SUM(AG$95:AG$105)+SUM(AI$95:AI$105)</f>
        <v>756651.1495050455</v>
      </c>
      <c r="H137" s="112">
        <f>SUM(AK$95:AK$105)+SUM(AM$95:AM$105)+SUM(AO$95:AO$105)+SUM(AQ$95:AQ$105)</f>
        <v>2361533.6012720317</v>
      </c>
      <c r="I137" s="112">
        <f>SUM(AS$95:AS$105)+SUM(AU$95:AU$105)+SUM(AW$95:AW$105)+SUM(AY$95:AY$105)</f>
        <v>265996.96045393561</v>
      </c>
      <c r="J137" s="112">
        <f>SUM(BA$95:BA$105)+SUM(BC$95:BC$105)+SUM(BE$95:BE$105)+SUM(BG$95:BG$105)</f>
        <v>416307.22440563893</v>
      </c>
      <c r="K137" s="112">
        <f>SUM(BI$95:BI$105)+SUM(BK$95:BK$105)+SUM(BM$95:BM$105)+SUM(BO$95:BO$105)</f>
        <v>1267904.1204763281</v>
      </c>
      <c r="L137" s="112">
        <f>SUM(BQ$95:BQ$105)+SUM(BS$95:BS$105)+SUM(BU$95:BU$105)+SUM(BW$95:BW$105)</f>
        <v>1245242.9396810876</v>
      </c>
      <c r="M137" s="112">
        <f>SUM(BY$95:BY$105)+SUM(CA$95:CA$105)+SUM(CC$95:CC$105)+SUM(CE$95:CE$105)</f>
        <v>1038412.5733105619</v>
      </c>
      <c r="N137" s="112">
        <f>SUM(CG$95:CG$105)+SUM(CI$95:CI$105)+SUM(CK$95:CK$105)+SUM(CM$95:CM$105)</f>
        <v>207693.05736166355</v>
      </c>
      <c r="O137" s="112">
        <f>SUM(CO$95:CO$105)+SUM(CQ$95:CQ$105)+SUM(CS$95:CS$105)+SUM(CU$95:CU$105)</f>
        <v>690225.8700358721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5151630.3197156265</v>
      </c>
      <c r="F138" s="106">
        <f t="shared" si="2"/>
        <v>3196710.633901665</v>
      </c>
      <c r="G138" s="106">
        <f t="shared" si="2"/>
        <v>4991305.8833018588</v>
      </c>
      <c r="H138" s="106">
        <f t="shared" si="2"/>
        <v>4963164.1745057832</v>
      </c>
      <c r="I138" s="106">
        <f t="shared" si="2"/>
        <v>4576653.8880570279</v>
      </c>
      <c r="J138" s="106">
        <f t="shared" si="2"/>
        <v>4407023.1196649214</v>
      </c>
      <c r="K138" s="106">
        <f t="shared" si="2"/>
        <v>3622798.4799686475</v>
      </c>
      <c r="L138" s="106">
        <f t="shared" si="2"/>
        <v>6005154.5874591125</v>
      </c>
      <c r="M138" s="106">
        <f t="shared" si="2"/>
        <v>4404814.058167303</v>
      </c>
      <c r="N138" s="106">
        <f t="shared" si="2"/>
        <v>2786679.616408796</v>
      </c>
      <c r="O138" s="106">
        <f t="shared" si="2"/>
        <v>4426198.7038022736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166</v>
      </c>
      <c r="B1" s="105" t="s">
        <v>167</v>
      </c>
      <c r="C1" s="105" t="s">
        <v>168</v>
      </c>
      <c r="D1" s="105" t="s">
        <v>169</v>
      </c>
      <c r="E1" s="105" t="s">
        <v>170</v>
      </c>
    </row>
    <row r="2" spans="1:5" x14ac:dyDescent="0.2">
      <c r="A2" s="105" t="s">
        <v>126</v>
      </c>
      <c r="B2" s="105" t="s">
        <v>171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172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173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174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175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176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177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178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179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180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181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182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183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184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185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186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187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188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189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190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191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192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193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194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195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196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197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198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199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200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201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202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203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204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205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206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207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208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209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210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211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212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213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214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215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216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217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218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219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220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221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222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223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224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225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226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227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228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229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230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231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232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233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234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235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236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237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238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239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240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241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242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243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244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245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246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247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248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249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250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251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252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253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254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255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256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257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258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259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260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261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262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263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264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265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266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267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268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269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270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2016-11-18T22:19:29Z</dcterms:modified>
</cp:coreProperties>
</file>